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mc:AlternateContent xmlns:mc="http://schemas.openxmlformats.org/markup-compatibility/2006">
    <mc:Choice Requires="x15">
      <x15ac:absPath xmlns:x15ac="http://schemas.microsoft.com/office/spreadsheetml/2010/11/ac" url="/Users/Zydrunas.Gaudiesius/Library/CloudStorage/GoogleDrive-g@cool.lt/My Drive/let's do it/"/>
    </mc:Choice>
  </mc:AlternateContent>
  <xr:revisionPtr revIDLastSave="0" documentId="13_ncr:1_{EE923229-AA97-574E-A412-B572E55F9262}" xr6:coauthVersionLast="47" xr6:coauthVersionMax="47" xr10:uidLastSave="{00000000-0000-0000-0000-000000000000}"/>
  <bookViews>
    <workbookView xWindow="0" yWindow="600" windowWidth="25600" windowHeight="15400" activeTab="5" xr2:uid="{D92759EF-119C-44BC-871A-186C4E3F0679}"/>
  </bookViews>
  <sheets>
    <sheet name="Raw" sheetId="10" r:id="rId1"/>
    <sheet name="Įmonės" sheetId="2" r:id="rId2"/>
    <sheet name="Įmonės-analizei" sheetId="8" r:id="rId3"/>
    <sheet name="Kuryba" sheetId="13" r:id="rId4"/>
    <sheet name="PR" sheetId="14" r:id="rId5"/>
    <sheet name="Analizė-bendra" sheetId="9" r:id="rId6"/>
    <sheet name="Analizė-pokyčiai" sheetId="12" r:id="rId7"/>
  </sheets>
  <definedNames>
    <definedName name="_xlnm._FilterDatabase" localSheetId="0" hidden="1">Raw!$A$1:$BS$104</definedName>
    <definedName name="ExternalData_1" localSheetId="1" hidden="1">Įmonės!$D$1:$CD$170</definedName>
    <definedName name="Slicer_Įmonės_pavadinimas">#N/A</definedName>
    <definedName name="Slicer_Metai">#N/A</definedName>
    <definedName name="Slicer_Pagrindinis_brandas">#N/A</definedName>
    <definedName name="Slicer_Veikla__BTL">#N/A</definedName>
    <definedName name="Slicer_Veikla__BTL1">#N/A</definedName>
    <definedName name="Slicer_Veikla__Digital_media">#N/A</definedName>
    <definedName name="Slicer_Veikla__Digital_media1">#N/A</definedName>
    <definedName name="Slicer_Veikla__Konsultantai">#N/A</definedName>
    <definedName name="Slicer_Veikla__Konsultantai1">#N/A</definedName>
    <definedName name="Slicer_Veikla__kūryba">#N/A</definedName>
    <definedName name="Slicer_Veikla__kūryba1">#N/A</definedName>
    <definedName name="Slicer_Veikla__Media">#N/A</definedName>
    <definedName name="Slicer_Veikla__Media1">#N/A</definedName>
    <definedName name="Slicer_Veikla__PA">#N/A</definedName>
    <definedName name="Slicer_Veikla__PA1">#N/A</definedName>
    <definedName name="Slicer_Veikla__PR">#N/A</definedName>
    <definedName name="Slicer_Veikla__PR1">#N/A</definedName>
    <definedName name="Slicer_Veikla__Production_house">#N/A</definedName>
    <definedName name="Slicer_Veikla__Production_house1">#N/A</definedName>
    <definedName name="Slicer_Veikla__renginiai">#N/A</definedName>
    <definedName name="Slicer_Veikla__Renginiai1">#N/A</definedName>
  </definedNames>
  <calcPr calcId="191028"/>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14" l="1"/>
  <c r="S8" i="14"/>
  <c r="R8" i="14"/>
  <c r="Y8" i="14" s="1"/>
  <c r="Q8" i="14"/>
  <c r="P8" i="14"/>
  <c r="X8" i="14" s="1"/>
  <c r="O8" i="14"/>
  <c r="W8" i="14" s="1"/>
  <c r="N8" i="14"/>
  <c r="V8" i="14" s="1"/>
  <c r="T7" i="14"/>
  <c r="S7" i="14"/>
  <c r="R7" i="14"/>
  <c r="Y7" i="14" s="1"/>
  <c r="Q7" i="14"/>
  <c r="P7" i="14"/>
  <c r="X7" i="14" s="1"/>
  <c r="O7" i="14"/>
  <c r="W7" i="14" s="1"/>
  <c r="N7" i="14"/>
  <c r="V7" i="14" s="1"/>
  <c r="T6" i="14"/>
  <c r="S6" i="14"/>
  <c r="R6" i="14"/>
  <c r="Y6" i="14" s="1"/>
  <c r="Q6" i="14"/>
  <c r="P6" i="14"/>
  <c r="X6" i="14" s="1"/>
  <c r="O6" i="14"/>
  <c r="W6" i="14" s="1"/>
  <c r="N6" i="14"/>
  <c r="V6" i="14" s="1"/>
  <c r="T5" i="14"/>
  <c r="S5" i="14"/>
  <c r="R5" i="14"/>
  <c r="Y5" i="14" s="1"/>
  <c r="Q5" i="14"/>
  <c r="P5" i="14"/>
  <c r="X5" i="14" s="1"/>
  <c r="O5" i="14"/>
  <c r="W5" i="14" s="1"/>
  <c r="N5" i="14"/>
  <c r="V5" i="14" s="1"/>
  <c r="T4" i="14"/>
  <c r="S4" i="14"/>
  <c r="R4" i="14"/>
  <c r="Y4" i="14" s="1"/>
  <c r="Q4" i="14"/>
  <c r="P4" i="14"/>
  <c r="X4" i="14" s="1"/>
  <c r="O4" i="14"/>
  <c r="W4" i="14" s="1"/>
  <c r="N4" i="14"/>
  <c r="V4" i="14" s="1"/>
  <c r="T3" i="14"/>
  <c r="S3" i="14"/>
  <c r="R3" i="14"/>
  <c r="Y3" i="14" s="1"/>
  <c r="Q3" i="14"/>
  <c r="P3" i="14"/>
  <c r="X3" i="14" s="1"/>
  <c r="O3" i="14"/>
  <c r="W3" i="14" s="1"/>
  <c r="N3" i="14"/>
  <c r="V3" i="14" s="1"/>
  <c r="T10" i="13"/>
  <c r="Z3" i="13"/>
  <c r="W4" i="13"/>
  <c r="Z4" i="13"/>
  <c r="W5" i="13"/>
  <c r="Z5" i="13"/>
  <c r="W6" i="13"/>
  <c r="Z6" i="13"/>
  <c r="W7" i="13"/>
  <c r="Z7" i="13"/>
  <c r="W8" i="13"/>
  <c r="Z8" i="13"/>
  <c r="R10" i="13"/>
  <c r="T4" i="13"/>
  <c r="T5" i="13"/>
  <c r="T6" i="13"/>
  <c r="T7" i="13"/>
  <c r="T8" i="13"/>
  <c r="T3" i="13"/>
  <c r="S4" i="13"/>
  <c r="S5" i="13"/>
  <c r="S6" i="13"/>
  <c r="S7" i="13"/>
  <c r="S8" i="13"/>
  <c r="S3" i="13"/>
  <c r="S10" i="13" s="1"/>
  <c r="R4" i="13"/>
  <c r="R5" i="13"/>
  <c r="R6" i="13"/>
  <c r="R7" i="13"/>
  <c r="R8" i="13"/>
  <c r="R3" i="13"/>
  <c r="Q3" i="13"/>
  <c r="Y3" i="13" s="1"/>
  <c r="Q4" i="13"/>
  <c r="Y4" i="13" s="1"/>
  <c r="Q5" i="13"/>
  <c r="Y5" i="13" s="1"/>
  <c r="Q6" i="13"/>
  <c r="Y6" i="13" s="1"/>
  <c r="Q7" i="13"/>
  <c r="Y7" i="13" s="1"/>
  <c r="Q8" i="13"/>
  <c r="P4" i="13"/>
  <c r="X4" i="13" s="1"/>
  <c r="P5" i="13"/>
  <c r="X5" i="13" s="1"/>
  <c r="P6" i="13"/>
  <c r="X6" i="13" s="1"/>
  <c r="P7" i="13"/>
  <c r="X7" i="13" s="1"/>
  <c r="P8" i="13"/>
  <c r="P3" i="13"/>
  <c r="X3" i="13" s="1"/>
  <c r="O4" i="13"/>
  <c r="O5" i="13"/>
  <c r="O6" i="13"/>
  <c r="O7" i="13"/>
  <c r="O8" i="13"/>
  <c r="O3" i="13"/>
  <c r="N6" i="13"/>
  <c r="V6" i="13" s="1"/>
  <c r="N4" i="13"/>
  <c r="V4" i="13" s="1"/>
  <c r="N5" i="13"/>
  <c r="V5" i="13" s="1"/>
  <c r="N7" i="13"/>
  <c r="V7" i="13" s="1"/>
  <c r="N8" i="13"/>
  <c r="N3" i="13"/>
  <c r="V3" i="13" s="1"/>
  <c r="P374" i="8"/>
  <c r="Q44" i="12" a="1"/>
  <c r="Q44" i="12"/>
  <c r="J44" i="12" a="1"/>
  <c r="J44" i="12"/>
  <c r="C44" i="12" a="1"/>
  <c r="C44" i="12"/>
  <c r="Q3" i="12" a="1"/>
  <c r="Q3" i="12"/>
  <c r="J3" i="12" a="1"/>
  <c r="J3" i="12"/>
  <c r="C3" i="12" a="1"/>
  <c r="C3" i="12"/>
  <c r="I45" i="9" a="1"/>
  <c r="I45" i="9" s="1"/>
  <c r="J45" i="9" s="1"/>
  <c r="F45" i="9" a="1"/>
  <c r="F45" i="9" s="1"/>
  <c r="G45" i="9" s="1"/>
  <c r="C45" i="9" a="1"/>
  <c r="C45" i="9" s="1"/>
  <c r="D45" i="9" s="1"/>
  <c r="L4" i="9" a="1"/>
  <c r="L4" i="9" s="1"/>
  <c r="M4" i="9" s="1"/>
  <c r="I4" i="9" a="1"/>
  <c r="I4" i="9" s="1"/>
  <c r="J4" i="9" s="1"/>
  <c r="F4" i="9" a="1"/>
  <c r="F4" i="9" s="1"/>
  <c r="G4" i="9" s="1"/>
  <c r="C4" i="9" a="1"/>
  <c r="C4" i="9" s="1"/>
  <c r="N656" i="8"/>
  <c r="N661" i="8"/>
  <c r="Q661" i="8"/>
  <c r="U661" i="8"/>
  <c r="Y661" i="8"/>
  <c r="Z661" i="8"/>
  <c r="N660" i="8"/>
  <c r="Q660" i="8"/>
  <c r="R661" i="8" s="1"/>
  <c r="U660" i="8"/>
  <c r="V661" i="8" s="1"/>
  <c r="Y660" i="8"/>
  <c r="Z660" i="8"/>
  <c r="N659" i="8"/>
  <c r="Q659" i="8"/>
  <c r="R660" i="8" s="1"/>
  <c r="U659" i="8"/>
  <c r="V660" i="8" s="1"/>
  <c r="Y659" i="8"/>
  <c r="Z659" i="8"/>
  <c r="N658" i="8"/>
  <c r="Q658" i="8"/>
  <c r="R659" i="8" s="1"/>
  <c r="U658" i="8"/>
  <c r="V659" i="8" s="1"/>
  <c r="Y658" i="8"/>
  <c r="Z658" i="8"/>
  <c r="Q657" i="8"/>
  <c r="R658" i="8" s="1"/>
  <c r="U657" i="8"/>
  <c r="V658" i="8" s="1"/>
  <c r="Y657" i="8"/>
  <c r="Z657" i="8"/>
  <c r="Q656" i="8"/>
  <c r="R657" i="8" s="1"/>
  <c r="U656" i="8"/>
  <c r="V657" i="8" s="1"/>
  <c r="Y656" i="8"/>
  <c r="Z656" i="8"/>
  <c r="N655" i="8"/>
  <c r="Q655" i="8"/>
  <c r="R656" i="8" s="1"/>
  <c r="U655" i="8"/>
  <c r="V656" i="8" s="1"/>
  <c r="Y655" i="8"/>
  <c r="Z655" i="8"/>
  <c r="N654" i="8"/>
  <c r="Q654" i="8"/>
  <c r="R655" i="8" s="1"/>
  <c r="U654" i="8"/>
  <c r="V655" i="8" s="1"/>
  <c r="Y654" i="8"/>
  <c r="Z654" i="8"/>
  <c r="N653" i="8"/>
  <c r="Q653" i="8"/>
  <c r="R654" i="8" s="1"/>
  <c r="U653" i="8"/>
  <c r="V654" i="8" s="1"/>
  <c r="Y653" i="8"/>
  <c r="Z653" i="8"/>
  <c r="N652" i="8"/>
  <c r="Q652" i="8"/>
  <c r="R653" i="8" s="1"/>
  <c r="U652" i="8"/>
  <c r="V653" i="8" s="1"/>
  <c r="Y652" i="8"/>
  <c r="Z652" i="8"/>
  <c r="N648" i="8"/>
  <c r="N649" i="8"/>
  <c r="N650" i="8"/>
  <c r="N651" i="8"/>
  <c r="Q648" i="8"/>
  <c r="Q649" i="8"/>
  <c r="Q650" i="8"/>
  <c r="Q651" i="8"/>
  <c r="R649" i="8"/>
  <c r="R650" i="8"/>
  <c r="R651" i="8"/>
  <c r="U648" i="8"/>
  <c r="U649" i="8"/>
  <c r="U650" i="8"/>
  <c r="U651" i="8"/>
  <c r="V652" i="8" s="1"/>
  <c r="V649" i="8"/>
  <c r="V650" i="8"/>
  <c r="V651" i="8"/>
  <c r="Y648" i="8"/>
  <c r="Y649" i="8"/>
  <c r="Y650" i="8"/>
  <c r="Y651" i="8"/>
  <c r="Z648" i="8"/>
  <c r="Z649" i="8"/>
  <c r="Z650" i="8"/>
  <c r="Z651" i="8"/>
  <c r="N647" i="8"/>
  <c r="Q647" i="8"/>
  <c r="R648" i="8" s="1"/>
  <c r="U647" i="8"/>
  <c r="V648" i="8" s="1"/>
  <c r="Y647" i="8"/>
  <c r="Z647" i="8"/>
  <c r="N646" i="8"/>
  <c r="Q646" i="8"/>
  <c r="R647" i="8" s="1"/>
  <c r="U646" i="8"/>
  <c r="V647" i="8" s="1"/>
  <c r="Y646" i="8"/>
  <c r="Z646" i="8"/>
  <c r="N645" i="8"/>
  <c r="Q645" i="8"/>
  <c r="R646" i="8" s="1"/>
  <c r="U645" i="8"/>
  <c r="V646" i="8" s="1"/>
  <c r="Y645" i="8"/>
  <c r="Z645" i="8"/>
  <c r="N644" i="8"/>
  <c r="Q644" i="8"/>
  <c r="R645" i="8" s="1"/>
  <c r="U644" i="8"/>
  <c r="V645" i="8" s="1"/>
  <c r="Y644" i="8"/>
  <c r="Z644" i="8"/>
  <c r="N643" i="8"/>
  <c r="Q643" i="8"/>
  <c r="R644" i="8" s="1"/>
  <c r="U643" i="8"/>
  <c r="V644" i="8" s="1"/>
  <c r="Y643" i="8"/>
  <c r="Z643" i="8"/>
  <c r="N642" i="8"/>
  <c r="Q642" i="8"/>
  <c r="R643" i="8" s="1"/>
  <c r="U642" i="8"/>
  <c r="V643" i="8" s="1"/>
  <c r="Y642" i="8"/>
  <c r="Z642" i="8"/>
  <c r="Q641" i="8"/>
  <c r="R642" i="8" s="1"/>
  <c r="U641" i="8"/>
  <c r="V642" i="8" s="1"/>
  <c r="Y641" i="8"/>
  <c r="Z641" i="8"/>
  <c r="Q640" i="8"/>
  <c r="R641" i="8" s="1"/>
  <c r="U640" i="8"/>
  <c r="V641" i="8" s="1"/>
  <c r="Y640" i="8"/>
  <c r="Z640" i="8"/>
  <c r="Q639" i="8"/>
  <c r="R640" i="8" s="1"/>
  <c r="U639" i="8"/>
  <c r="V640" i="8" s="1"/>
  <c r="Y639" i="8"/>
  <c r="Z639" i="8"/>
  <c r="Q638" i="8"/>
  <c r="R639" i="8" s="1"/>
  <c r="U638" i="8"/>
  <c r="V639" i="8" s="1"/>
  <c r="Y638" i="8"/>
  <c r="Z638" i="8"/>
  <c r="Q637" i="8"/>
  <c r="R638" i="8" s="1"/>
  <c r="U637" i="8"/>
  <c r="V638" i="8" s="1"/>
  <c r="Y637" i="8"/>
  <c r="Z637" i="8"/>
  <c r="N636" i="8"/>
  <c r="Q636" i="8"/>
  <c r="R637" i="8" s="1"/>
  <c r="U636" i="8"/>
  <c r="V637" i="8" s="1"/>
  <c r="Y636" i="8"/>
  <c r="Z636" i="8"/>
  <c r="N635" i="8"/>
  <c r="Q635" i="8"/>
  <c r="R636" i="8" s="1"/>
  <c r="U635" i="8"/>
  <c r="V636" i="8" s="1"/>
  <c r="Y635" i="8"/>
  <c r="Z635" i="8"/>
  <c r="N634" i="8"/>
  <c r="Q634" i="8"/>
  <c r="R635" i="8" s="1"/>
  <c r="U634" i="8"/>
  <c r="V635" i="8" s="1"/>
  <c r="Y634" i="8"/>
  <c r="Z634" i="8"/>
  <c r="N633" i="8"/>
  <c r="Q633" i="8"/>
  <c r="R634" i="8" s="1"/>
  <c r="U633" i="8"/>
  <c r="V634" i="8" s="1"/>
  <c r="Y633" i="8"/>
  <c r="Z633" i="8"/>
  <c r="N632" i="8"/>
  <c r="Q632" i="8"/>
  <c r="R633" i="8" s="1"/>
  <c r="U632" i="8"/>
  <c r="V633" i="8" s="1"/>
  <c r="Y632" i="8"/>
  <c r="Z632" i="8"/>
  <c r="Q628" i="8"/>
  <c r="Q629" i="8"/>
  <c r="Q630" i="8"/>
  <c r="Q631" i="8"/>
  <c r="R632" i="8" s="1"/>
  <c r="R629" i="8"/>
  <c r="R630" i="8"/>
  <c r="R631" i="8"/>
  <c r="U628" i="8"/>
  <c r="U629" i="8"/>
  <c r="U630" i="8"/>
  <c r="U631" i="8"/>
  <c r="V632" i="8" s="1"/>
  <c r="V629" i="8"/>
  <c r="V630" i="8"/>
  <c r="V631" i="8"/>
  <c r="Y628" i="8"/>
  <c r="Y629" i="8"/>
  <c r="Y630" i="8"/>
  <c r="Y631" i="8"/>
  <c r="Z628" i="8"/>
  <c r="Z629" i="8"/>
  <c r="Z630" i="8"/>
  <c r="Z631" i="8"/>
  <c r="Q627" i="8"/>
  <c r="R628" i="8" s="1"/>
  <c r="U627" i="8"/>
  <c r="V628" i="8" s="1"/>
  <c r="Y627" i="8"/>
  <c r="Z627" i="8"/>
  <c r="Z622" i="8"/>
  <c r="Q623" i="8"/>
  <c r="Q624" i="8"/>
  <c r="Q625" i="8"/>
  <c r="Q626" i="8"/>
  <c r="R627" i="8" s="1"/>
  <c r="R623" i="8"/>
  <c r="R624" i="8"/>
  <c r="R625" i="8"/>
  <c r="R626" i="8"/>
  <c r="U623" i="8"/>
  <c r="U624" i="8"/>
  <c r="U625" i="8"/>
  <c r="U626" i="8"/>
  <c r="V627" i="8" s="1"/>
  <c r="V623" i="8"/>
  <c r="V624" i="8"/>
  <c r="V625" i="8"/>
  <c r="V626" i="8"/>
  <c r="Y623" i="8"/>
  <c r="Y624" i="8"/>
  <c r="Y625" i="8"/>
  <c r="Y626" i="8"/>
  <c r="Z623" i="8"/>
  <c r="Z624" i="8"/>
  <c r="Z625" i="8"/>
  <c r="Z626" i="8"/>
  <c r="Q621" i="8"/>
  <c r="U621" i="8"/>
  <c r="Y621" i="8"/>
  <c r="Z621" i="8"/>
  <c r="Q620" i="8"/>
  <c r="R621" i="8" s="1"/>
  <c r="U620" i="8"/>
  <c r="V621" i="8" s="1"/>
  <c r="Y620" i="8"/>
  <c r="Z620" i="8"/>
  <c r="Q619" i="8"/>
  <c r="R620" i="8" s="1"/>
  <c r="U619" i="8"/>
  <c r="V620" i="8" s="1"/>
  <c r="Y619" i="8"/>
  <c r="Z619" i="8"/>
  <c r="Q618" i="8"/>
  <c r="R619" i="8" s="1"/>
  <c r="U618" i="8"/>
  <c r="V619" i="8" s="1"/>
  <c r="Y618" i="8"/>
  <c r="Z618" i="8"/>
  <c r="Q617" i="8"/>
  <c r="R618" i="8" s="1"/>
  <c r="U617" i="8"/>
  <c r="V618" i="8" s="1"/>
  <c r="Y617" i="8"/>
  <c r="Z617" i="8"/>
  <c r="Q613" i="8"/>
  <c r="Q614" i="8"/>
  <c r="Q615" i="8"/>
  <c r="Q616" i="8"/>
  <c r="R617" i="8" s="1"/>
  <c r="R614" i="8"/>
  <c r="R615" i="8"/>
  <c r="R616" i="8"/>
  <c r="U613" i="8"/>
  <c r="U614" i="8"/>
  <c r="U615" i="8"/>
  <c r="U616" i="8"/>
  <c r="V617" i="8" s="1"/>
  <c r="V614" i="8"/>
  <c r="V615" i="8"/>
  <c r="V616" i="8"/>
  <c r="Y613" i="8"/>
  <c r="Y614" i="8"/>
  <c r="Y615" i="8"/>
  <c r="Y616" i="8"/>
  <c r="Z613" i="8"/>
  <c r="Z614" i="8"/>
  <c r="Z615" i="8"/>
  <c r="Z616" i="8"/>
  <c r="H83" i="12"/>
  <c r="G83" i="12"/>
  <c r="F83" i="12"/>
  <c r="E83" i="12"/>
  <c r="D83" i="12"/>
  <c r="H82" i="12"/>
  <c r="G82" i="12"/>
  <c r="F82" i="12"/>
  <c r="E82" i="12"/>
  <c r="D82" i="12"/>
  <c r="H81" i="12"/>
  <c r="G81" i="12"/>
  <c r="F81" i="12"/>
  <c r="E81" i="12"/>
  <c r="D81" i="12"/>
  <c r="H80" i="12"/>
  <c r="G80" i="12"/>
  <c r="F80" i="12"/>
  <c r="E80" i="12"/>
  <c r="D80" i="12"/>
  <c r="H79" i="12"/>
  <c r="G79" i="12"/>
  <c r="F79" i="12"/>
  <c r="E79" i="12"/>
  <c r="D79" i="12"/>
  <c r="H78" i="12"/>
  <c r="G78" i="12"/>
  <c r="F78" i="12"/>
  <c r="E78" i="12"/>
  <c r="D78" i="12"/>
  <c r="H77" i="12"/>
  <c r="G77" i="12"/>
  <c r="F77" i="12"/>
  <c r="E77" i="12"/>
  <c r="D77" i="12"/>
  <c r="H76" i="12"/>
  <c r="G76" i="12"/>
  <c r="F76" i="12"/>
  <c r="E76" i="12"/>
  <c r="D76" i="12"/>
  <c r="H75" i="12"/>
  <c r="G75" i="12"/>
  <c r="F75" i="12"/>
  <c r="E75" i="12"/>
  <c r="D75" i="12"/>
  <c r="H74" i="12"/>
  <c r="G74" i="12"/>
  <c r="F74" i="12"/>
  <c r="E74" i="12"/>
  <c r="D74" i="12"/>
  <c r="H73" i="12"/>
  <c r="G73" i="12"/>
  <c r="F73" i="12"/>
  <c r="E73" i="12"/>
  <c r="D73" i="12"/>
  <c r="H72" i="12"/>
  <c r="G72" i="12"/>
  <c r="F72" i="12"/>
  <c r="E72" i="12"/>
  <c r="D72" i="12"/>
  <c r="H71" i="12"/>
  <c r="G71" i="12"/>
  <c r="F71" i="12"/>
  <c r="E71" i="12"/>
  <c r="D71" i="12"/>
  <c r="H70" i="12"/>
  <c r="G70" i="12"/>
  <c r="F70" i="12"/>
  <c r="E70" i="12"/>
  <c r="D70" i="12"/>
  <c r="H69" i="12"/>
  <c r="G69" i="12"/>
  <c r="F69" i="12"/>
  <c r="E69" i="12"/>
  <c r="D69" i="12"/>
  <c r="H68" i="12"/>
  <c r="G68" i="12"/>
  <c r="F68" i="12"/>
  <c r="E68" i="12"/>
  <c r="D68" i="12"/>
  <c r="H67" i="12"/>
  <c r="G67" i="12"/>
  <c r="F67" i="12"/>
  <c r="E67" i="12"/>
  <c r="D67" i="12"/>
  <c r="H66" i="12"/>
  <c r="G66" i="12"/>
  <c r="F66" i="12"/>
  <c r="E66" i="12"/>
  <c r="D66" i="12"/>
  <c r="H65" i="12"/>
  <c r="G65" i="12"/>
  <c r="F65" i="12"/>
  <c r="E65" i="12"/>
  <c r="D65" i="12"/>
  <c r="H64" i="12"/>
  <c r="G64" i="12"/>
  <c r="F64" i="12"/>
  <c r="E64" i="12"/>
  <c r="D64" i="12"/>
  <c r="H63" i="12"/>
  <c r="G63" i="12"/>
  <c r="F63" i="12"/>
  <c r="E63" i="12"/>
  <c r="D63" i="12"/>
  <c r="H62" i="12"/>
  <c r="G62" i="12"/>
  <c r="F62" i="12"/>
  <c r="E62" i="12"/>
  <c r="D62" i="12"/>
  <c r="H61" i="12"/>
  <c r="G61" i="12"/>
  <c r="F61" i="12"/>
  <c r="E61" i="12"/>
  <c r="D61" i="12"/>
  <c r="H60" i="12"/>
  <c r="G60" i="12"/>
  <c r="F60" i="12"/>
  <c r="E60" i="12"/>
  <c r="D60" i="12"/>
  <c r="H59" i="12"/>
  <c r="G59" i="12"/>
  <c r="F59" i="12"/>
  <c r="E59" i="12"/>
  <c r="D59" i="12"/>
  <c r="H58" i="12"/>
  <c r="G58" i="12"/>
  <c r="F58" i="12"/>
  <c r="E58" i="12"/>
  <c r="D58" i="12"/>
  <c r="H57" i="12"/>
  <c r="G57" i="12"/>
  <c r="F57" i="12"/>
  <c r="E57" i="12"/>
  <c r="D57" i="12"/>
  <c r="H56" i="12"/>
  <c r="G56" i="12"/>
  <c r="F56" i="12"/>
  <c r="E56" i="12"/>
  <c r="D56" i="12"/>
  <c r="H55" i="12"/>
  <c r="G55" i="12"/>
  <c r="F55" i="12"/>
  <c r="E55" i="12"/>
  <c r="D55" i="12"/>
  <c r="H54" i="12"/>
  <c r="G54" i="12"/>
  <c r="F54" i="12"/>
  <c r="E54" i="12"/>
  <c r="D54" i="12"/>
  <c r="H53" i="12"/>
  <c r="G53" i="12"/>
  <c r="F53" i="12"/>
  <c r="E53" i="12"/>
  <c r="D53" i="12"/>
  <c r="H52" i="12"/>
  <c r="G52" i="12"/>
  <c r="F52" i="12"/>
  <c r="E52" i="12"/>
  <c r="D52" i="12"/>
  <c r="H51" i="12"/>
  <c r="G51" i="12"/>
  <c r="F51" i="12"/>
  <c r="E51" i="12"/>
  <c r="D51" i="12"/>
  <c r="H50" i="12"/>
  <c r="G50" i="12"/>
  <c r="F50" i="12"/>
  <c r="E50" i="12"/>
  <c r="D50" i="12"/>
  <c r="H49" i="12"/>
  <c r="G49" i="12"/>
  <c r="F49" i="12"/>
  <c r="E49" i="12"/>
  <c r="D49" i="12"/>
  <c r="H48" i="12"/>
  <c r="G48" i="12"/>
  <c r="F48" i="12"/>
  <c r="E48" i="12"/>
  <c r="D48" i="12"/>
  <c r="H47" i="12"/>
  <c r="G47" i="12"/>
  <c r="F47" i="12"/>
  <c r="E47" i="12"/>
  <c r="D47" i="12"/>
  <c r="H46" i="12"/>
  <c r="G46" i="12"/>
  <c r="F46" i="12"/>
  <c r="E46" i="12"/>
  <c r="D46" i="12"/>
  <c r="H45" i="12"/>
  <c r="G45" i="12"/>
  <c r="F45" i="12"/>
  <c r="E45" i="12"/>
  <c r="D45" i="12"/>
  <c r="H44" i="12"/>
  <c r="G44" i="12"/>
  <c r="F44" i="12"/>
  <c r="E44" i="12"/>
  <c r="D44" i="12"/>
  <c r="N3" i="8"/>
  <c r="N4" i="8"/>
  <c r="N5" i="8"/>
  <c r="N6" i="8"/>
  <c r="N7" i="8"/>
  <c r="N9" i="8"/>
  <c r="N10" i="8"/>
  <c r="N11" i="8"/>
  <c r="N12" i="8"/>
  <c r="N13" i="8"/>
  <c r="N15" i="8"/>
  <c r="N16" i="8"/>
  <c r="N17" i="8"/>
  <c r="N18" i="8"/>
  <c r="N19" i="8"/>
  <c r="N21" i="8"/>
  <c r="N22" i="8"/>
  <c r="N23" i="8"/>
  <c r="N24" i="8"/>
  <c r="N25" i="8"/>
  <c r="N27" i="8"/>
  <c r="N28" i="8"/>
  <c r="N29" i="8"/>
  <c r="N30" i="8"/>
  <c r="N31" i="8"/>
  <c r="N33" i="8"/>
  <c r="N34" i="8"/>
  <c r="N35" i="8"/>
  <c r="N36" i="8"/>
  <c r="N37" i="8"/>
  <c r="N39" i="8"/>
  <c r="N40" i="8"/>
  <c r="N41" i="8"/>
  <c r="N42" i="8"/>
  <c r="N43" i="8"/>
  <c r="N45" i="8"/>
  <c r="N46" i="8"/>
  <c r="N47" i="8"/>
  <c r="N48" i="8"/>
  <c r="N49" i="8"/>
  <c r="N51" i="8"/>
  <c r="N52" i="8"/>
  <c r="N53" i="8"/>
  <c r="N54" i="8"/>
  <c r="N55" i="8"/>
  <c r="N57" i="8"/>
  <c r="N58" i="8"/>
  <c r="N59" i="8"/>
  <c r="N60" i="8"/>
  <c r="N61" i="8"/>
  <c r="N63" i="8"/>
  <c r="N64" i="8"/>
  <c r="N65" i="8"/>
  <c r="N66" i="8"/>
  <c r="N67" i="8"/>
  <c r="N69" i="8"/>
  <c r="N70" i="8"/>
  <c r="N71" i="8"/>
  <c r="N72" i="8"/>
  <c r="N73" i="8"/>
  <c r="N75" i="8"/>
  <c r="N76" i="8"/>
  <c r="N77" i="8"/>
  <c r="N78" i="8"/>
  <c r="N79" i="8"/>
  <c r="N81" i="8"/>
  <c r="N82" i="8"/>
  <c r="N83" i="8"/>
  <c r="N84" i="8"/>
  <c r="N85" i="8"/>
  <c r="N87" i="8"/>
  <c r="N88" i="8"/>
  <c r="N89" i="8"/>
  <c r="N90" i="8"/>
  <c r="N91" i="8"/>
  <c r="N93" i="8"/>
  <c r="N94" i="8"/>
  <c r="N95" i="8"/>
  <c r="N96" i="8"/>
  <c r="N97" i="8"/>
  <c r="N99" i="8"/>
  <c r="N100" i="8"/>
  <c r="N101" i="8"/>
  <c r="N102" i="8"/>
  <c r="N103" i="8"/>
  <c r="N105" i="8"/>
  <c r="N106" i="8"/>
  <c r="N107" i="8"/>
  <c r="N108" i="8"/>
  <c r="N109" i="8"/>
  <c r="N111" i="8"/>
  <c r="N112" i="8"/>
  <c r="N113" i="8"/>
  <c r="N114" i="8"/>
  <c r="N115" i="8"/>
  <c r="N117" i="8"/>
  <c r="N118" i="8"/>
  <c r="N119" i="8"/>
  <c r="N120" i="8"/>
  <c r="N121" i="8"/>
  <c r="N123" i="8"/>
  <c r="N124" i="8"/>
  <c r="N125" i="8"/>
  <c r="N126" i="8"/>
  <c r="N127" i="8"/>
  <c r="N129" i="8"/>
  <c r="N130" i="8"/>
  <c r="N131" i="8"/>
  <c r="N132" i="8"/>
  <c r="N133" i="8"/>
  <c r="N135" i="8"/>
  <c r="N136" i="8"/>
  <c r="N137" i="8"/>
  <c r="N138" i="8"/>
  <c r="N139" i="8"/>
  <c r="N141" i="8"/>
  <c r="N142" i="8"/>
  <c r="N143" i="8"/>
  <c r="N144" i="8"/>
  <c r="N145" i="8"/>
  <c r="N147" i="8"/>
  <c r="N148" i="8"/>
  <c r="N149" i="8"/>
  <c r="N150" i="8"/>
  <c r="N151" i="8"/>
  <c r="N153" i="8"/>
  <c r="N154" i="8"/>
  <c r="N155" i="8"/>
  <c r="N156" i="8"/>
  <c r="N157" i="8"/>
  <c r="N159" i="8"/>
  <c r="N160" i="8"/>
  <c r="N161" i="8"/>
  <c r="N162" i="8"/>
  <c r="N163" i="8"/>
  <c r="N165" i="8"/>
  <c r="N166" i="8"/>
  <c r="N167" i="8"/>
  <c r="N168" i="8"/>
  <c r="N169" i="8"/>
  <c r="N171" i="8"/>
  <c r="N172" i="8"/>
  <c r="N173" i="8"/>
  <c r="N174" i="8"/>
  <c r="N175" i="8"/>
  <c r="N177" i="8"/>
  <c r="N178" i="8"/>
  <c r="N179" i="8"/>
  <c r="N180" i="8"/>
  <c r="N181" i="8"/>
  <c r="N183" i="8"/>
  <c r="N184" i="8"/>
  <c r="N185" i="8"/>
  <c r="N186" i="8"/>
  <c r="N187" i="8"/>
  <c r="N189" i="8"/>
  <c r="N190" i="8"/>
  <c r="N191" i="8"/>
  <c r="N192" i="8"/>
  <c r="N193" i="8"/>
  <c r="N195" i="8"/>
  <c r="N196" i="8"/>
  <c r="N197" i="8"/>
  <c r="N198" i="8"/>
  <c r="N199" i="8"/>
  <c r="N201" i="8"/>
  <c r="N202" i="8"/>
  <c r="N203" i="8"/>
  <c r="N204" i="8"/>
  <c r="N205" i="8"/>
  <c r="N207" i="8"/>
  <c r="N208" i="8"/>
  <c r="N209" i="8"/>
  <c r="N210" i="8"/>
  <c r="N211" i="8"/>
  <c r="N213" i="8"/>
  <c r="N214" i="8"/>
  <c r="N215" i="8"/>
  <c r="N216" i="8"/>
  <c r="N217" i="8"/>
  <c r="N219" i="8"/>
  <c r="N220" i="8"/>
  <c r="N221" i="8"/>
  <c r="N222" i="8"/>
  <c r="N223" i="8"/>
  <c r="N225" i="8"/>
  <c r="N226" i="8"/>
  <c r="N227" i="8"/>
  <c r="N228" i="8"/>
  <c r="N229" i="8"/>
  <c r="N231" i="8"/>
  <c r="N232" i="8"/>
  <c r="N233" i="8"/>
  <c r="N234" i="8"/>
  <c r="N235" i="8"/>
  <c r="N237" i="8"/>
  <c r="N238" i="8"/>
  <c r="N239" i="8"/>
  <c r="N240" i="8"/>
  <c r="N241" i="8"/>
  <c r="N243" i="8"/>
  <c r="N244" i="8"/>
  <c r="N245" i="8"/>
  <c r="N246" i="8"/>
  <c r="N247" i="8"/>
  <c r="N249" i="8"/>
  <c r="N250" i="8"/>
  <c r="N251" i="8"/>
  <c r="N252" i="8"/>
  <c r="N253" i="8"/>
  <c r="N255" i="8"/>
  <c r="N256" i="8"/>
  <c r="N257" i="8"/>
  <c r="N258" i="8"/>
  <c r="N259" i="8"/>
  <c r="N261" i="8"/>
  <c r="N262" i="8"/>
  <c r="N263" i="8"/>
  <c r="N264" i="8"/>
  <c r="N265" i="8"/>
  <c r="N267" i="8"/>
  <c r="N268" i="8"/>
  <c r="N269" i="8"/>
  <c r="N270" i="8"/>
  <c r="N271" i="8"/>
  <c r="N273" i="8"/>
  <c r="N274" i="8"/>
  <c r="N275" i="8"/>
  <c r="N276" i="8"/>
  <c r="N277" i="8"/>
  <c r="N279" i="8"/>
  <c r="N280" i="8"/>
  <c r="N281" i="8"/>
  <c r="N282" i="8"/>
  <c r="N283" i="8"/>
  <c r="N285" i="8"/>
  <c r="N286" i="8"/>
  <c r="N287" i="8"/>
  <c r="N288" i="8"/>
  <c r="N289" i="8"/>
  <c r="N291" i="8"/>
  <c r="N292" i="8"/>
  <c r="N293" i="8"/>
  <c r="N294" i="8"/>
  <c r="N295" i="8"/>
  <c r="N297" i="8"/>
  <c r="N298" i="8"/>
  <c r="N299" i="8"/>
  <c r="N300" i="8"/>
  <c r="N301" i="8"/>
  <c r="N303" i="8"/>
  <c r="N304" i="8"/>
  <c r="N305" i="8"/>
  <c r="N306" i="8"/>
  <c r="N307" i="8"/>
  <c r="N309" i="8"/>
  <c r="N310" i="8"/>
  <c r="N311" i="8"/>
  <c r="N312" i="8"/>
  <c r="N313" i="8"/>
  <c r="N314" i="8"/>
  <c r="N315" i="8"/>
  <c r="N316" i="8"/>
  <c r="N317" i="8"/>
  <c r="N318" i="8"/>
  <c r="N320" i="8"/>
  <c r="N321" i="8"/>
  <c r="N322" i="8"/>
  <c r="N323" i="8"/>
  <c r="N324" i="8"/>
  <c r="N325" i="8"/>
  <c r="N326" i="8"/>
  <c r="N327" i="8"/>
  <c r="N328" i="8"/>
  <c r="N330" i="8"/>
  <c r="N331" i="8"/>
  <c r="N332" i="8"/>
  <c r="N333" i="8"/>
  <c r="N334" i="8"/>
  <c r="N336" i="8"/>
  <c r="N337" i="8"/>
  <c r="N338" i="8"/>
  <c r="N339" i="8"/>
  <c r="N340" i="8"/>
  <c r="N341" i="8"/>
  <c r="N342" i="8"/>
  <c r="N343" i="8"/>
  <c r="N344" i="8"/>
  <c r="N346" i="8"/>
  <c r="N347" i="8"/>
  <c r="N348" i="8"/>
  <c r="N349" i="8"/>
  <c r="N350" i="8"/>
  <c r="N352" i="8"/>
  <c r="N353" i="8"/>
  <c r="N354" i="8"/>
  <c r="N355" i="8"/>
  <c r="N356" i="8"/>
  <c r="N358" i="8"/>
  <c r="N359" i="8"/>
  <c r="N360" i="8"/>
  <c r="N361" i="8"/>
  <c r="N362" i="8"/>
  <c r="N364" i="8"/>
  <c r="N365" i="8"/>
  <c r="N366" i="8"/>
  <c r="N367" i="8"/>
  <c r="N368" i="8"/>
  <c r="N370" i="8"/>
  <c r="N371" i="8"/>
  <c r="N372" i="8"/>
  <c r="N373" i="8"/>
  <c r="N374" i="8"/>
  <c r="N376" i="8"/>
  <c r="N377" i="8"/>
  <c r="N378" i="8"/>
  <c r="N379" i="8"/>
  <c r="N380" i="8"/>
  <c r="N382" i="8"/>
  <c r="N383" i="8"/>
  <c r="N384" i="8"/>
  <c r="N385" i="8"/>
  <c r="N386" i="8"/>
  <c r="N388" i="8"/>
  <c r="N389" i="8"/>
  <c r="N390" i="8"/>
  <c r="N391" i="8"/>
  <c r="N392" i="8"/>
  <c r="N394" i="8"/>
  <c r="N395" i="8"/>
  <c r="N396" i="8"/>
  <c r="N397" i="8"/>
  <c r="N398" i="8"/>
  <c r="N400" i="8"/>
  <c r="N401" i="8"/>
  <c r="N402" i="8"/>
  <c r="N403" i="8"/>
  <c r="N404" i="8"/>
  <c r="N406" i="8"/>
  <c r="N407" i="8"/>
  <c r="N408" i="8"/>
  <c r="N409" i="8"/>
  <c r="N410" i="8"/>
  <c r="N412" i="8"/>
  <c r="N413" i="8"/>
  <c r="N414" i="8"/>
  <c r="N415" i="8"/>
  <c r="N416" i="8"/>
  <c r="N418" i="8"/>
  <c r="N419" i="8"/>
  <c r="N420" i="8"/>
  <c r="N421" i="8"/>
  <c r="N422" i="8"/>
  <c r="N424" i="8"/>
  <c r="N425" i="8"/>
  <c r="N426" i="8"/>
  <c r="N427" i="8"/>
  <c r="N428" i="8"/>
  <c r="N430" i="8"/>
  <c r="N431" i="8"/>
  <c r="N432" i="8"/>
  <c r="N433" i="8"/>
  <c r="N434" i="8"/>
  <c r="N436" i="8"/>
  <c r="N437" i="8"/>
  <c r="N438" i="8"/>
  <c r="N439" i="8"/>
  <c r="N440" i="8"/>
  <c r="N442" i="8"/>
  <c r="N443" i="8"/>
  <c r="N444" i="8"/>
  <c r="N445" i="8"/>
  <c r="N446" i="8"/>
  <c r="N448" i="8"/>
  <c r="N449" i="8"/>
  <c r="N450" i="8"/>
  <c r="N451" i="8"/>
  <c r="N452" i="8"/>
  <c r="N454" i="8"/>
  <c r="N455" i="8"/>
  <c r="N456" i="8"/>
  <c r="N457" i="8"/>
  <c r="N458" i="8"/>
  <c r="N460" i="8"/>
  <c r="N461" i="8"/>
  <c r="N462" i="8"/>
  <c r="N463" i="8"/>
  <c r="N464" i="8"/>
  <c r="N466" i="8"/>
  <c r="N467" i="8"/>
  <c r="N468" i="8"/>
  <c r="N469" i="8"/>
  <c r="N470" i="8"/>
  <c r="N471" i="8"/>
  <c r="N472" i="8"/>
  <c r="N473" i="8"/>
  <c r="N474" i="8"/>
  <c r="N476" i="8"/>
  <c r="N477" i="8"/>
  <c r="N478" i="8"/>
  <c r="N479" i="8"/>
  <c r="N480" i="8"/>
  <c r="N482" i="8"/>
  <c r="N483" i="8"/>
  <c r="N484" i="8"/>
  <c r="N485" i="8"/>
  <c r="N486" i="8"/>
  <c r="N488" i="8"/>
  <c r="N489" i="8"/>
  <c r="N490" i="8"/>
  <c r="N491" i="8"/>
  <c r="N492" i="8"/>
  <c r="N494" i="8"/>
  <c r="N495" i="8"/>
  <c r="N496" i="8"/>
  <c r="N497" i="8"/>
  <c r="N498" i="8"/>
  <c r="N500" i="8"/>
  <c r="N501" i="8"/>
  <c r="N502" i="8"/>
  <c r="N503" i="8"/>
  <c r="N504" i="8"/>
  <c r="N506" i="8"/>
  <c r="N507" i="8"/>
  <c r="N508" i="8"/>
  <c r="N509" i="8"/>
  <c r="N510" i="8"/>
  <c r="N512" i="8"/>
  <c r="N513" i="8"/>
  <c r="N514" i="8"/>
  <c r="N515" i="8"/>
  <c r="N516" i="8"/>
  <c r="N518" i="8"/>
  <c r="N519" i="8"/>
  <c r="N520" i="8"/>
  <c r="N521" i="8"/>
  <c r="N522" i="8"/>
  <c r="N524" i="8"/>
  <c r="N525" i="8"/>
  <c r="N526" i="8"/>
  <c r="N527" i="8"/>
  <c r="N528" i="8"/>
  <c r="N530" i="8"/>
  <c r="N531" i="8"/>
  <c r="N532" i="8"/>
  <c r="N533" i="8"/>
  <c r="N534" i="8"/>
  <c r="N536" i="8"/>
  <c r="N537" i="8"/>
  <c r="N538" i="8"/>
  <c r="N539" i="8"/>
  <c r="N540" i="8"/>
  <c r="N542" i="8"/>
  <c r="N543" i="8"/>
  <c r="N544" i="8"/>
  <c r="N545" i="8"/>
  <c r="N546" i="8"/>
  <c r="N548" i="8"/>
  <c r="N549" i="8"/>
  <c r="N550" i="8"/>
  <c r="N551" i="8"/>
  <c r="N552" i="8"/>
  <c r="N554" i="8"/>
  <c r="N555" i="8"/>
  <c r="N556" i="8"/>
  <c r="N557" i="8"/>
  <c r="N558" i="8"/>
  <c r="N560" i="8"/>
  <c r="N561" i="8"/>
  <c r="N562" i="8"/>
  <c r="N563" i="8"/>
  <c r="N564" i="8"/>
  <c r="N566" i="8"/>
  <c r="N567" i="8"/>
  <c r="N568" i="8"/>
  <c r="N569" i="8"/>
  <c r="N570" i="8"/>
  <c r="N572" i="8"/>
  <c r="N573" i="8"/>
  <c r="N574" i="8"/>
  <c r="N575" i="8"/>
  <c r="N576" i="8"/>
  <c r="N578" i="8"/>
  <c r="N579" i="8"/>
  <c r="N580" i="8"/>
  <c r="N581" i="8"/>
  <c r="N582" i="8"/>
  <c r="N584" i="8"/>
  <c r="N585" i="8"/>
  <c r="N586" i="8"/>
  <c r="N587" i="8"/>
  <c r="N588" i="8"/>
  <c r="N590" i="8"/>
  <c r="N591" i="8"/>
  <c r="N592" i="8"/>
  <c r="N593" i="8"/>
  <c r="N594" i="8"/>
  <c r="N596" i="8"/>
  <c r="N597" i="8"/>
  <c r="N598" i="8"/>
  <c r="N599" i="8"/>
  <c r="N600" i="8"/>
  <c r="N602" i="8"/>
  <c r="N603" i="8"/>
  <c r="N604" i="8"/>
  <c r="N605" i="8"/>
  <c r="N606" i="8"/>
  <c r="N607" i="8"/>
  <c r="N608" i="8"/>
  <c r="N609" i="8"/>
  <c r="N610" i="8"/>
  <c r="N611" i="8"/>
  <c r="Q7" i="8"/>
  <c r="Q6" i="8"/>
  <c r="Q3" i="8"/>
  <c r="Q2" i="8"/>
  <c r="Y2" i="8" s="1"/>
  <c r="Q4" i="8"/>
  <c r="Y4" i="8" s="1"/>
  <c r="Q5" i="8"/>
  <c r="Y5" i="8" s="1"/>
  <c r="Q8" i="8"/>
  <c r="Q9" i="8"/>
  <c r="Y9" i="8" s="1"/>
  <c r="Q10" i="8"/>
  <c r="Y10" i="8" s="1"/>
  <c r="Q11" i="8"/>
  <c r="Y11" i="8" s="1"/>
  <c r="Q12" i="8"/>
  <c r="Y12" i="8" s="1"/>
  <c r="Q13" i="8"/>
  <c r="Y13" i="8" s="1"/>
  <c r="Q17" i="8"/>
  <c r="Q18" i="8"/>
  <c r="Y18" i="8" s="1"/>
  <c r="Q19" i="8"/>
  <c r="Q14" i="8"/>
  <c r="Q16" i="8"/>
  <c r="Q15" i="8"/>
  <c r="Y15" i="8" s="1"/>
  <c r="Q24" i="8"/>
  <c r="Q25" i="8"/>
  <c r="Y25" i="8" s="1"/>
  <c r="Q23" i="8"/>
  <c r="Q22" i="8"/>
  <c r="Q21" i="8"/>
  <c r="Q20" i="8"/>
  <c r="Q30" i="8"/>
  <c r="Q28" i="8"/>
  <c r="Q29" i="8"/>
  <c r="Y29" i="8" s="1"/>
  <c r="Q27" i="8"/>
  <c r="Q26" i="8"/>
  <c r="Q31" i="8"/>
  <c r="Q36" i="8"/>
  <c r="Q35" i="8"/>
  <c r="Q34" i="8"/>
  <c r="Q32" i="8"/>
  <c r="Q33" i="8"/>
  <c r="Y33" i="8" s="1"/>
  <c r="Q37" i="8"/>
  <c r="Q92" i="8"/>
  <c r="Q93" i="8"/>
  <c r="Y93" i="8" s="1"/>
  <c r="Q94" i="8"/>
  <c r="Y94" i="8" s="1"/>
  <c r="Q95" i="8"/>
  <c r="Y95" i="8" s="1"/>
  <c r="Q96" i="8"/>
  <c r="Y96" i="8" s="1"/>
  <c r="Q97" i="8"/>
  <c r="Y97" i="8" s="1"/>
  <c r="Q38" i="8"/>
  <c r="Q39" i="8"/>
  <c r="Y39" i="8" s="1"/>
  <c r="Q40" i="8"/>
  <c r="Y40" i="8" s="1"/>
  <c r="Q41" i="8"/>
  <c r="Y41" i="8" s="1"/>
  <c r="Q42" i="8"/>
  <c r="Y42" i="8" s="1"/>
  <c r="Q43" i="8"/>
  <c r="Y43" i="8" s="1"/>
  <c r="Q47" i="8"/>
  <c r="Q46" i="8"/>
  <c r="Q48" i="8"/>
  <c r="Y48" i="8" s="1"/>
  <c r="Q49" i="8"/>
  <c r="Y49" i="8" s="1"/>
  <c r="Q44" i="8"/>
  <c r="Q45" i="8"/>
  <c r="Y45" i="8" s="1"/>
  <c r="Q54" i="8"/>
  <c r="Q50" i="8"/>
  <c r="Q51" i="8"/>
  <c r="Y51" i="8" s="1"/>
  <c r="Q55" i="8"/>
  <c r="Q53" i="8"/>
  <c r="Q52" i="8"/>
  <c r="Y52" i="8" s="1"/>
  <c r="Q61" i="8"/>
  <c r="Q60" i="8"/>
  <c r="Q59" i="8"/>
  <c r="Q58" i="8"/>
  <c r="Q56" i="8"/>
  <c r="Q57" i="8"/>
  <c r="Y57" i="8" s="1"/>
  <c r="Q66" i="8"/>
  <c r="Q67" i="8"/>
  <c r="Y67" i="8" s="1"/>
  <c r="Q65" i="8"/>
  <c r="Q64" i="8"/>
  <c r="Q63" i="8"/>
  <c r="Q62" i="8"/>
  <c r="Q70" i="8"/>
  <c r="Q71" i="8"/>
  <c r="Y71" i="8" s="1"/>
  <c r="Q72" i="8"/>
  <c r="Y72" i="8" s="1"/>
  <c r="Q69" i="8"/>
  <c r="Q68" i="8"/>
  <c r="Q73" i="8"/>
  <c r="Y73" i="8" s="1"/>
  <c r="Q74" i="8"/>
  <c r="Q75" i="8"/>
  <c r="Y75" i="8" s="1"/>
  <c r="Q76" i="8"/>
  <c r="Y76" i="8" s="1"/>
  <c r="Q77" i="8"/>
  <c r="Y77" i="8" s="1"/>
  <c r="Q78" i="8"/>
  <c r="Y78" i="8" s="1"/>
  <c r="Q79" i="8"/>
  <c r="Q80" i="8"/>
  <c r="Q81" i="8"/>
  <c r="Y81" i="8" s="1"/>
  <c r="Q82" i="8"/>
  <c r="Y82" i="8" s="1"/>
  <c r="Q83" i="8"/>
  <c r="Y83" i="8" s="1"/>
  <c r="Q84" i="8"/>
  <c r="Y84" i="8" s="1"/>
  <c r="Q85" i="8"/>
  <c r="Q90" i="8"/>
  <c r="Q89" i="8"/>
  <c r="Q88" i="8"/>
  <c r="Q87" i="8"/>
  <c r="Q86" i="8"/>
  <c r="Q91" i="8"/>
  <c r="Y91" i="8" s="1"/>
  <c r="Q98" i="8"/>
  <c r="Q99" i="8"/>
  <c r="Y99" i="8" s="1"/>
  <c r="Q100" i="8"/>
  <c r="Y100" i="8" s="1"/>
  <c r="Q101" i="8"/>
  <c r="Y101" i="8" s="1"/>
  <c r="Q102" i="8"/>
  <c r="Y102" i="8" s="1"/>
  <c r="Q103" i="8"/>
  <c r="Y103" i="8" s="1"/>
  <c r="Q108" i="8"/>
  <c r="Q107" i="8"/>
  <c r="Q109" i="8"/>
  <c r="Q106" i="8"/>
  <c r="Q104" i="8"/>
  <c r="Q105" i="8"/>
  <c r="Y105" i="8" s="1"/>
  <c r="Q114" i="8"/>
  <c r="Q115" i="8"/>
  <c r="Y115" i="8" s="1"/>
  <c r="Q113" i="8"/>
  <c r="Q112" i="8"/>
  <c r="Q111" i="8"/>
  <c r="Q110" i="8"/>
  <c r="Q116" i="8"/>
  <c r="Q117" i="8"/>
  <c r="Y117" i="8" s="1"/>
  <c r="Q118" i="8"/>
  <c r="Y118" i="8" s="1"/>
  <c r="Q119" i="8"/>
  <c r="Y119" i="8" s="1"/>
  <c r="Q120" i="8"/>
  <c r="Y120" i="8" s="1"/>
  <c r="Q121" i="8"/>
  <c r="Y121" i="8" s="1"/>
  <c r="Q122" i="8"/>
  <c r="Q123" i="8"/>
  <c r="Y123" i="8" s="1"/>
  <c r="Q124" i="8"/>
  <c r="Y124" i="8" s="1"/>
  <c r="Q125" i="8"/>
  <c r="Y125" i="8" s="1"/>
  <c r="Q126" i="8"/>
  <c r="Y126" i="8" s="1"/>
  <c r="Q127" i="8"/>
  <c r="Y127" i="8" s="1"/>
  <c r="Q133" i="8"/>
  <c r="Q132" i="8"/>
  <c r="Q131" i="8"/>
  <c r="Q128" i="8"/>
  <c r="Q129" i="8"/>
  <c r="Y129" i="8" s="1"/>
  <c r="Q130" i="8"/>
  <c r="Y130" i="8" s="1"/>
  <c r="Q134" i="8"/>
  <c r="Q135" i="8"/>
  <c r="Y135" i="8" s="1"/>
  <c r="Q136" i="8"/>
  <c r="Y136" i="8" s="1"/>
  <c r="Q137" i="8"/>
  <c r="Y137" i="8" s="1"/>
  <c r="Q138" i="8"/>
  <c r="Y138" i="8" s="1"/>
  <c r="Q139" i="8"/>
  <c r="Y139" i="8" s="1"/>
  <c r="Q145" i="8"/>
  <c r="Q144" i="8"/>
  <c r="Q140" i="8"/>
  <c r="Q141" i="8"/>
  <c r="Y141" i="8" s="1"/>
  <c r="Q142" i="8"/>
  <c r="Y142" i="8" s="1"/>
  <c r="Q143" i="8"/>
  <c r="Y143" i="8" s="1"/>
  <c r="Q146" i="8"/>
  <c r="Q148" i="8"/>
  <c r="Q149" i="8"/>
  <c r="Y149" i="8" s="1"/>
  <c r="Q150" i="8"/>
  <c r="Y150" i="8" s="1"/>
  <c r="Q147" i="8"/>
  <c r="Y147" i="8" s="1"/>
  <c r="Q151" i="8"/>
  <c r="Q152" i="8"/>
  <c r="Q155" i="8"/>
  <c r="Q154" i="8"/>
  <c r="Q156" i="8"/>
  <c r="Y156" i="8" s="1"/>
  <c r="Q153" i="8"/>
  <c r="Y153" i="8" s="1"/>
  <c r="Q157" i="8"/>
  <c r="Y157" i="8" s="1"/>
  <c r="Q160" i="8"/>
  <c r="Q161" i="8"/>
  <c r="Y161" i="8" s="1"/>
  <c r="Q162" i="8"/>
  <c r="Y162" i="8" s="1"/>
  <c r="Q158" i="8"/>
  <c r="Q159" i="8"/>
  <c r="Y159" i="8" s="1"/>
  <c r="Q163" i="8"/>
  <c r="Y163" i="8" s="1"/>
  <c r="Q164" i="8"/>
  <c r="Q165" i="8"/>
  <c r="Y165" i="8" s="1"/>
  <c r="Q166" i="8"/>
  <c r="Y166" i="8" s="1"/>
  <c r="Q167" i="8"/>
  <c r="Y167" i="8" s="1"/>
  <c r="Q168" i="8"/>
  <c r="Y168" i="8" s="1"/>
  <c r="Q169" i="8"/>
  <c r="Y169" i="8" s="1"/>
  <c r="Q170" i="8"/>
  <c r="Q171" i="8"/>
  <c r="Y171" i="8" s="1"/>
  <c r="Q172" i="8"/>
  <c r="Y172" i="8" s="1"/>
  <c r="Q173" i="8"/>
  <c r="Y173" i="8" s="1"/>
  <c r="Q174" i="8"/>
  <c r="Y174" i="8" s="1"/>
  <c r="Q175" i="8"/>
  <c r="Y175" i="8" s="1"/>
  <c r="Q178" i="8"/>
  <c r="Q176" i="8"/>
  <c r="Q179" i="8"/>
  <c r="Y179" i="8" s="1"/>
  <c r="Q177" i="8"/>
  <c r="Y177" i="8" s="1"/>
  <c r="Q180" i="8"/>
  <c r="Y180" i="8" s="1"/>
  <c r="Q181" i="8"/>
  <c r="Y181" i="8" s="1"/>
  <c r="Q187" i="8"/>
  <c r="Q186" i="8"/>
  <c r="Q185" i="8"/>
  <c r="Q184" i="8"/>
  <c r="Q183" i="8"/>
  <c r="Q182" i="8"/>
  <c r="Q193" i="8"/>
  <c r="Q192" i="8"/>
  <c r="Q191" i="8"/>
  <c r="Q190" i="8"/>
  <c r="Q188" i="8"/>
  <c r="Q189" i="8"/>
  <c r="Y189" i="8" s="1"/>
  <c r="Q199" i="8"/>
  <c r="Q198" i="8"/>
  <c r="Q197" i="8"/>
  <c r="Q196" i="8"/>
  <c r="Q194" i="8"/>
  <c r="Q195" i="8"/>
  <c r="Y195" i="8" s="1"/>
  <c r="Q203" i="8"/>
  <c r="Q204" i="8"/>
  <c r="Y204" i="8" s="1"/>
  <c r="Q202" i="8"/>
  <c r="Q200" i="8"/>
  <c r="Q201" i="8"/>
  <c r="Y201" i="8" s="1"/>
  <c r="Q205" i="8"/>
  <c r="Y205" i="8" s="1"/>
  <c r="Q206" i="8"/>
  <c r="Q207" i="8"/>
  <c r="Y207" i="8" s="1"/>
  <c r="Q208" i="8"/>
  <c r="Y208" i="8" s="1"/>
  <c r="Q209" i="8"/>
  <c r="Y209" i="8" s="1"/>
  <c r="Q210" i="8"/>
  <c r="Y210" i="8" s="1"/>
  <c r="Q211" i="8"/>
  <c r="Y211" i="8" s="1"/>
  <c r="Q212" i="8"/>
  <c r="Q213" i="8"/>
  <c r="Y213" i="8" s="1"/>
  <c r="Q214" i="8"/>
  <c r="Y214" i="8" s="1"/>
  <c r="Q215" i="8"/>
  <c r="Y215" i="8" s="1"/>
  <c r="Q216" i="8"/>
  <c r="Y216" i="8" s="1"/>
  <c r="Q217" i="8"/>
  <c r="Y217" i="8" s="1"/>
  <c r="Q221" i="8"/>
  <c r="Q219" i="8"/>
  <c r="Q218" i="8"/>
  <c r="Q220" i="8"/>
  <c r="Y220" i="8" s="1"/>
  <c r="Q222" i="8"/>
  <c r="Y222" i="8" s="1"/>
  <c r="Q223" i="8"/>
  <c r="Y223" i="8" s="1"/>
  <c r="Q227" i="8"/>
  <c r="Q228" i="8"/>
  <c r="Y228" i="8" s="1"/>
  <c r="Q229" i="8"/>
  <c r="Y229" i="8" s="1"/>
  <c r="Q226" i="8"/>
  <c r="Q224" i="8"/>
  <c r="Q225" i="8"/>
  <c r="Y225" i="8" s="1"/>
  <c r="Q230" i="8"/>
  <c r="Q231" i="8"/>
  <c r="Y231" i="8" s="1"/>
  <c r="Q232" i="8"/>
  <c r="Y232" i="8" s="1"/>
  <c r="Q233" i="8"/>
  <c r="Y233" i="8" s="1"/>
  <c r="Q234" i="8"/>
  <c r="Y234" i="8" s="1"/>
  <c r="Q235" i="8"/>
  <c r="Y235" i="8" s="1"/>
  <c r="Q240" i="8"/>
  <c r="Q241" i="8"/>
  <c r="Y241" i="8" s="1"/>
  <c r="Q239" i="8"/>
  <c r="Q238" i="8"/>
  <c r="Q237" i="8"/>
  <c r="Q236" i="8"/>
  <c r="Q246" i="8"/>
  <c r="Q247" i="8"/>
  <c r="Q242" i="8"/>
  <c r="Q245" i="8"/>
  <c r="Q244" i="8"/>
  <c r="Q243" i="8"/>
  <c r="Y243" i="8" s="1"/>
  <c r="Q252" i="8"/>
  <c r="Q253" i="8"/>
  <c r="Y253" i="8" s="1"/>
  <c r="Q251" i="8"/>
  <c r="Q250" i="8"/>
  <c r="Q249" i="8"/>
  <c r="Q248" i="8"/>
  <c r="Q258" i="8"/>
  <c r="Q259" i="8"/>
  <c r="Q257" i="8"/>
  <c r="Q256" i="8"/>
  <c r="Q254" i="8"/>
  <c r="Q255" i="8"/>
  <c r="Y255" i="8" s="1"/>
  <c r="Q260" i="8"/>
  <c r="Q261" i="8"/>
  <c r="Y261" i="8" s="1"/>
  <c r="Q262" i="8"/>
  <c r="Y262" i="8" s="1"/>
  <c r="Q263" i="8"/>
  <c r="Y263" i="8" s="1"/>
  <c r="Q264" i="8"/>
  <c r="Y264" i="8" s="1"/>
  <c r="Q265" i="8"/>
  <c r="Y265" i="8" s="1"/>
  <c r="Q266" i="8"/>
  <c r="Q267" i="8"/>
  <c r="Y267" i="8" s="1"/>
  <c r="Q268" i="8"/>
  <c r="Y268" i="8" s="1"/>
  <c r="Q269" i="8"/>
  <c r="Y269" i="8" s="1"/>
  <c r="Q270" i="8"/>
  <c r="Y270" i="8" s="1"/>
  <c r="Q271" i="8"/>
  <c r="Y271" i="8" s="1"/>
  <c r="Q277" i="8"/>
  <c r="Q276" i="8"/>
  <c r="Q275" i="8"/>
  <c r="Q274" i="8"/>
  <c r="Q273" i="8"/>
  <c r="Q272" i="8"/>
  <c r="Q283" i="8"/>
  <c r="Q281" i="8"/>
  <c r="Q282" i="8"/>
  <c r="Y282" i="8" s="1"/>
  <c r="Q280" i="8"/>
  <c r="Q279" i="8"/>
  <c r="Q278" i="8"/>
  <c r="Q288" i="8"/>
  <c r="Q289" i="8"/>
  <c r="Y289" i="8" s="1"/>
  <c r="Q285" i="8"/>
  <c r="Q286" i="8"/>
  <c r="Y286" i="8" s="1"/>
  <c r="Q284" i="8"/>
  <c r="Q287" i="8"/>
  <c r="Y287" i="8" s="1"/>
  <c r="Q294" i="8"/>
  <c r="Q295" i="8"/>
  <c r="Q293" i="8"/>
  <c r="Q292" i="8"/>
  <c r="Q290" i="8"/>
  <c r="Q291" i="8"/>
  <c r="Y291" i="8" s="1"/>
  <c r="Q301" i="8"/>
  <c r="Q296" i="8"/>
  <c r="Q300" i="8"/>
  <c r="Q299" i="8"/>
  <c r="Q298" i="8"/>
  <c r="Q297" i="8"/>
  <c r="Y297" i="8" s="1"/>
  <c r="Q302" i="8"/>
  <c r="Q303" i="8"/>
  <c r="Y303" i="8" s="1"/>
  <c r="Q304" i="8"/>
  <c r="Y304" i="8" s="1"/>
  <c r="Q305" i="8"/>
  <c r="Y305" i="8" s="1"/>
  <c r="Q306" i="8"/>
  <c r="Y306" i="8" s="1"/>
  <c r="Q307" i="8"/>
  <c r="Y307" i="8" s="1"/>
  <c r="Q308" i="8"/>
  <c r="Q309" i="8"/>
  <c r="Y309" i="8" s="1"/>
  <c r="Q310" i="8"/>
  <c r="Y310" i="8" s="1"/>
  <c r="Q311" i="8"/>
  <c r="Y311" i="8" s="1"/>
  <c r="Q312" i="8"/>
  <c r="Y312" i="8" s="1"/>
  <c r="Q313" i="8"/>
  <c r="Y313" i="8" s="1"/>
  <c r="Q314" i="8"/>
  <c r="Y314" i="8" s="1"/>
  <c r="Q315" i="8"/>
  <c r="Y315" i="8" s="1"/>
  <c r="Q316" i="8"/>
  <c r="Y316" i="8" s="1"/>
  <c r="Q317" i="8"/>
  <c r="Y317" i="8" s="1"/>
  <c r="Q318" i="8"/>
  <c r="Y318" i="8" s="1"/>
  <c r="Q323" i="8"/>
  <c r="Q321" i="8"/>
  <c r="Q322" i="8"/>
  <c r="Y322" i="8" s="1"/>
  <c r="Q319" i="8"/>
  <c r="Q320" i="8"/>
  <c r="Y320" i="8" s="1"/>
  <c r="Q324" i="8"/>
  <c r="Y324" i="8" s="1"/>
  <c r="Q325" i="8"/>
  <c r="Y325" i="8" s="1"/>
  <c r="Q326" i="8"/>
  <c r="Y326" i="8" s="1"/>
  <c r="Q327" i="8"/>
  <c r="Y327" i="8" s="1"/>
  <c r="Q328" i="8"/>
  <c r="Y328" i="8" s="1"/>
  <c r="Q332" i="8"/>
  <c r="Q331" i="8"/>
  <c r="Q333" i="8"/>
  <c r="Y333" i="8" s="1"/>
  <c r="Q329" i="8"/>
  <c r="Q330" i="8"/>
  <c r="Y330" i="8" s="1"/>
  <c r="Q334" i="8"/>
  <c r="Y334" i="8" s="1"/>
  <c r="Q340" i="8"/>
  <c r="Q335" i="8"/>
  <c r="Q336" i="8"/>
  <c r="Y336" i="8" s="1"/>
  <c r="Q337" i="8"/>
  <c r="Y337" i="8" s="1"/>
  <c r="Q338" i="8"/>
  <c r="Y338" i="8" s="1"/>
  <c r="Q339" i="8"/>
  <c r="Y339" i="8" s="1"/>
  <c r="Q341" i="8"/>
  <c r="Y341" i="8" s="1"/>
  <c r="Q342" i="8"/>
  <c r="Y342" i="8" s="1"/>
  <c r="Q343" i="8"/>
  <c r="Y343" i="8" s="1"/>
  <c r="Q344" i="8"/>
  <c r="Y344" i="8" s="1"/>
  <c r="Q347" i="8"/>
  <c r="Q348" i="8"/>
  <c r="Y348" i="8" s="1"/>
  <c r="Q350" i="8"/>
  <c r="Q349" i="8"/>
  <c r="Y349" i="8" s="1"/>
  <c r="Q346" i="8"/>
  <c r="Q345" i="8"/>
  <c r="Q351" i="8"/>
  <c r="Q352" i="8"/>
  <c r="Y352" i="8" s="1"/>
  <c r="Q353" i="8"/>
  <c r="Y353" i="8" s="1"/>
  <c r="Q354" i="8"/>
  <c r="Y354" i="8" s="1"/>
  <c r="Q355" i="8"/>
  <c r="Y355" i="8" s="1"/>
  <c r="Q356" i="8"/>
  <c r="Y356" i="8" s="1"/>
  <c r="Q361" i="8"/>
  <c r="Q362" i="8"/>
  <c r="Y362" i="8" s="1"/>
  <c r="Q360" i="8"/>
  <c r="Q359" i="8"/>
  <c r="Q358" i="8"/>
  <c r="Q357" i="8"/>
  <c r="Q363" i="8"/>
  <c r="Q364" i="8"/>
  <c r="Y364" i="8" s="1"/>
  <c r="Q365" i="8"/>
  <c r="Y365" i="8" s="1"/>
  <c r="Q366" i="8"/>
  <c r="Y366" i="8" s="1"/>
  <c r="Q367" i="8"/>
  <c r="Y367" i="8" s="1"/>
  <c r="Q368" i="8"/>
  <c r="Y368" i="8" s="1"/>
  <c r="Q369" i="8"/>
  <c r="Q370" i="8"/>
  <c r="Y370" i="8" s="1"/>
  <c r="Q371" i="8"/>
  <c r="Y371" i="8" s="1"/>
  <c r="Q372" i="8"/>
  <c r="Y372" i="8" s="1"/>
  <c r="Q373" i="8"/>
  <c r="Y373" i="8" s="1"/>
  <c r="Q374" i="8"/>
  <c r="Q378" i="8"/>
  <c r="Q379" i="8"/>
  <c r="Y379" i="8" s="1"/>
  <c r="Q376" i="8"/>
  <c r="Q377" i="8"/>
  <c r="Y377" i="8" s="1"/>
  <c r="Q375" i="8"/>
  <c r="Q380" i="8"/>
  <c r="Q386" i="8"/>
  <c r="Q385" i="8"/>
  <c r="Q384" i="8"/>
  <c r="Q382" i="8"/>
  <c r="Q383" i="8"/>
  <c r="Y383" i="8" s="1"/>
  <c r="Q381" i="8"/>
  <c r="Q391" i="8"/>
  <c r="Q389" i="8"/>
  <c r="Q390" i="8"/>
  <c r="Y390" i="8" s="1"/>
  <c r="Q392" i="8"/>
  <c r="Q387" i="8"/>
  <c r="Q388" i="8"/>
  <c r="Y388" i="8" s="1"/>
  <c r="Q398" i="8"/>
  <c r="Q395" i="8"/>
  <c r="Q396" i="8"/>
  <c r="Y396" i="8" s="1"/>
  <c r="Q397" i="8"/>
  <c r="Y397" i="8" s="1"/>
  <c r="Q393" i="8"/>
  <c r="Q394" i="8"/>
  <c r="Y394" i="8" s="1"/>
  <c r="Q404" i="8"/>
  <c r="Q403" i="8"/>
  <c r="Q402" i="8"/>
  <c r="Q401" i="8"/>
  <c r="Q399" i="8"/>
  <c r="Q400" i="8"/>
  <c r="Y400" i="8" s="1"/>
  <c r="Q410" i="8"/>
  <c r="Q409" i="8"/>
  <c r="Q405" i="8"/>
  <c r="Q406" i="8"/>
  <c r="Y406" i="8" s="1"/>
  <c r="Q407" i="8"/>
  <c r="Y407" i="8" s="1"/>
  <c r="Q408" i="8"/>
  <c r="Y408" i="8" s="1"/>
  <c r="Q415" i="8"/>
  <c r="Q416" i="8"/>
  <c r="Y416" i="8" s="1"/>
  <c r="Q414" i="8"/>
  <c r="Q411" i="8"/>
  <c r="Q413" i="8"/>
  <c r="Q412" i="8"/>
  <c r="Y412" i="8" s="1"/>
  <c r="Q422" i="8"/>
  <c r="Q417" i="8"/>
  <c r="Q418" i="8"/>
  <c r="Y418" i="8" s="1"/>
  <c r="Q419" i="8"/>
  <c r="Y419" i="8" s="1"/>
  <c r="Q420" i="8"/>
  <c r="Y420" i="8" s="1"/>
  <c r="Q421" i="8"/>
  <c r="Y421" i="8" s="1"/>
  <c r="Q427" i="8"/>
  <c r="Q425" i="8"/>
  <c r="Q423" i="8"/>
  <c r="Q426" i="8"/>
  <c r="Y426" i="8" s="1"/>
  <c r="Q424" i="8"/>
  <c r="Y424" i="8" s="1"/>
  <c r="Q428" i="8"/>
  <c r="Y428" i="8" s="1"/>
  <c r="Q432" i="8"/>
  <c r="Q434" i="8"/>
  <c r="Q433" i="8"/>
  <c r="Y433" i="8" s="1"/>
  <c r="Q431" i="8"/>
  <c r="Q429" i="8"/>
  <c r="Q430" i="8"/>
  <c r="Y430" i="8" s="1"/>
  <c r="Q440" i="8"/>
  <c r="Q439" i="8"/>
  <c r="Q437" i="8"/>
  <c r="Q438" i="8"/>
  <c r="Y438" i="8" s="1"/>
  <c r="Q435" i="8"/>
  <c r="Q436" i="8"/>
  <c r="Y436" i="8" s="1"/>
  <c r="Q446" i="8"/>
  <c r="Q444" i="8"/>
  <c r="Q443" i="8"/>
  <c r="Q445" i="8"/>
  <c r="Y445" i="8" s="1"/>
  <c r="Q442" i="8"/>
  <c r="Q441" i="8"/>
  <c r="Q451" i="8"/>
  <c r="Q452" i="8"/>
  <c r="Y452" i="8" s="1"/>
  <c r="Q450" i="8"/>
  <c r="Q449" i="8"/>
  <c r="Q448" i="8"/>
  <c r="Q447" i="8"/>
  <c r="Q453" i="8"/>
  <c r="Q454" i="8"/>
  <c r="Y454" i="8" s="1"/>
  <c r="Q455" i="8"/>
  <c r="Y455" i="8" s="1"/>
  <c r="Q456" i="8"/>
  <c r="Y456" i="8" s="1"/>
  <c r="Q457" i="8"/>
  <c r="Y457" i="8" s="1"/>
  <c r="Q458" i="8"/>
  <c r="Y458" i="8" s="1"/>
  <c r="Q464" i="8"/>
  <c r="Q463" i="8"/>
  <c r="Q462" i="8"/>
  <c r="Q461" i="8"/>
  <c r="Q460" i="8"/>
  <c r="Q459" i="8"/>
  <c r="Q465" i="8"/>
  <c r="Q466" i="8"/>
  <c r="Y466" i="8" s="1"/>
  <c r="Q467" i="8"/>
  <c r="Y467" i="8" s="1"/>
  <c r="Q468" i="8"/>
  <c r="Y468" i="8" s="1"/>
  <c r="Q469" i="8"/>
  <c r="Y469" i="8" s="1"/>
  <c r="Q470" i="8"/>
  <c r="Y470" i="8" s="1"/>
  <c r="Q471" i="8"/>
  <c r="Y471" i="8" s="1"/>
  <c r="Q472" i="8"/>
  <c r="Y472" i="8" s="1"/>
  <c r="Q473" i="8"/>
  <c r="Y473" i="8" s="1"/>
  <c r="Q474" i="8"/>
  <c r="Y474" i="8" s="1"/>
  <c r="Q478" i="8"/>
  <c r="Q479" i="8"/>
  <c r="Y479" i="8" s="1"/>
  <c r="Q480" i="8"/>
  <c r="Q477" i="8"/>
  <c r="Q476" i="8"/>
  <c r="Q475" i="8"/>
  <c r="Q481" i="8"/>
  <c r="Q482" i="8"/>
  <c r="Y482" i="8" s="1"/>
  <c r="Q483" i="8"/>
  <c r="Y483" i="8" s="1"/>
  <c r="Q484" i="8"/>
  <c r="Y484" i="8" s="1"/>
  <c r="Q485" i="8"/>
  <c r="Y485" i="8" s="1"/>
  <c r="Q486" i="8"/>
  <c r="Y486" i="8" s="1"/>
  <c r="Q490" i="8"/>
  <c r="Q491" i="8"/>
  <c r="Y491" i="8" s="1"/>
  <c r="Q492" i="8"/>
  <c r="Q487" i="8"/>
  <c r="Q488" i="8"/>
  <c r="Y488" i="8" s="1"/>
  <c r="Q489" i="8"/>
  <c r="Y489" i="8" s="1"/>
  <c r="Q493" i="8"/>
  <c r="Q494" i="8"/>
  <c r="Y494" i="8" s="1"/>
  <c r="Q495" i="8"/>
  <c r="Y495" i="8" s="1"/>
  <c r="Q496" i="8"/>
  <c r="Y496" i="8" s="1"/>
  <c r="Q497" i="8"/>
  <c r="Y497" i="8" s="1"/>
  <c r="Q498" i="8"/>
  <c r="Y498" i="8" s="1"/>
  <c r="Q504" i="8"/>
  <c r="Q502" i="8"/>
  <c r="Q503" i="8"/>
  <c r="Y503" i="8" s="1"/>
  <c r="Q501" i="8"/>
  <c r="Q500" i="8"/>
  <c r="Q499" i="8"/>
  <c r="Q509" i="8"/>
  <c r="Q507" i="8"/>
  <c r="Q508" i="8"/>
  <c r="Y508" i="8" s="1"/>
  <c r="Q510" i="8"/>
  <c r="Y510" i="8" s="1"/>
  <c r="Q505" i="8"/>
  <c r="Q506" i="8"/>
  <c r="Y506" i="8" s="1"/>
  <c r="Q511" i="8"/>
  <c r="Q512" i="8"/>
  <c r="Y512" i="8" s="1"/>
  <c r="Q513" i="8"/>
  <c r="Y513" i="8" s="1"/>
  <c r="Q514" i="8"/>
  <c r="Y514" i="8" s="1"/>
  <c r="Q515" i="8"/>
  <c r="Y515" i="8" s="1"/>
  <c r="Q516" i="8"/>
  <c r="Y516" i="8" s="1"/>
  <c r="Q517" i="8"/>
  <c r="Q518" i="8"/>
  <c r="Y518" i="8" s="1"/>
  <c r="Q519" i="8"/>
  <c r="Y519" i="8" s="1"/>
  <c r="Q520" i="8"/>
  <c r="Y520" i="8" s="1"/>
  <c r="Q522" i="8"/>
  <c r="Q521" i="8"/>
  <c r="Y521" i="8" s="1"/>
  <c r="Q523" i="8"/>
  <c r="Q524" i="8"/>
  <c r="Y524" i="8" s="1"/>
  <c r="Q525" i="8"/>
  <c r="Y525" i="8" s="1"/>
  <c r="Q526" i="8"/>
  <c r="Y526" i="8" s="1"/>
  <c r="Q527" i="8"/>
  <c r="Y527" i="8" s="1"/>
  <c r="Q528" i="8"/>
  <c r="Y528" i="8" s="1"/>
  <c r="Q534" i="8"/>
  <c r="Q532" i="8"/>
  <c r="Q533" i="8"/>
  <c r="Y533" i="8" s="1"/>
  <c r="Q531" i="8"/>
  <c r="Q529" i="8"/>
  <c r="Q530" i="8"/>
  <c r="Y530" i="8" s="1"/>
  <c r="Q535" i="8"/>
  <c r="Q536" i="8"/>
  <c r="Y536" i="8" s="1"/>
  <c r="Q537" i="8"/>
  <c r="Y537" i="8" s="1"/>
  <c r="Q538" i="8"/>
  <c r="Y538" i="8" s="1"/>
  <c r="Q539" i="8"/>
  <c r="Y539" i="8" s="1"/>
  <c r="Q540" i="8"/>
  <c r="Y540" i="8" s="1"/>
  <c r="Q541" i="8"/>
  <c r="Q542" i="8"/>
  <c r="Y542" i="8" s="1"/>
  <c r="Q543" i="8"/>
  <c r="Y543" i="8" s="1"/>
  <c r="Q544" i="8"/>
  <c r="Y544" i="8" s="1"/>
  <c r="Q545" i="8"/>
  <c r="Y545" i="8" s="1"/>
  <c r="Q546" i="8"/>
  <c r="Y546" i="8" s="1"/>
  <c r="Q547" i="8"/>
  <c r="Q548" i="8"/>
  <c r="Y548" i="8" s="1"/>
  <c r="Q549" i="8"/>
  <c r="Y549" i="8" s="1"/>
  <c r="Q550" i="8"/>
  <c r="Y550" i="8" s="1"/>
  <c r="Q551" i="8"/>
  <c r="Y551" i="8" s="1"/>
  <c r="Q552" i="8"/>
  <c r="Q553" i="8"/>
  <c r="Q554" i="8"/>
  <c r="Y554" i="8" s="1"/>
  <c r="Q555" i="8"/>
  <c r="Y555" i="8" s="1"/>
  <c r="Q556" i="8"/>
  <c r="Y556" i="8" s="1"/>
  <c r="Q557" i="8"/>
  <c r="Y557" i="8" s="1"/>
  <c r="Q558" i="8"/>
  <c r="Y558" i="8" s="1"/>
  <c r="Q562" i="8"/>
  <c r="Q561" i="8"/>
  <c r="Q564" i="8"/>
  <c r="Q563" i="8"/>
  <c r="Y563" i="8" s="1"/>
  <c r="Q559" i="8"/>
  <c r="Q560" i="8"/>
  <c r="Y560" i="8" s="1"/>
  <c r="Q568" i="8"/>
  <c r="Q569" i="8"/>
  <c r="Y569" i="8" s="1"/>
  <c r="Q567" i="8"/>
  <c r="Q565" i="8"/>
  <c r="Q570" i="8"/>
  <c r="Y570" i="8" s="1"/>
  <c r="Q566" i="8"/>
  <c r="Y566" i="8" s="1"/>
  <c r="Q571" i="8"/>
  <c r="Q572" i="8"/>
  <c r="Y572" i="8" s="1"/>
  <c r="Q573" i="8"/>
  <c r="Y573" i="8" s="1"/>
  <c r="Q574" i="8"/>
  <c r="Y574" i="8" s="1"/>
  <c r="Q575" i="8"/>
  <c r="Y575" i="8" s="1"/>
  <c r="Q576" i="8"/>
  <c r="Y576" i="8" s="1"/>
  <c r="Q578" i="8"/>
  <c r="Q577" i="8"/>
  <c r="Q580" i="8"/>
  <c r="Q581" i="8"/>
  <c r="Y581" i="8" s="1"/>
  <c r="Q579" i="8"/>
  <c r="Y579" i="8" s="1"/>
  <c r="Q582" i="8"/>
  <c r="Y582" i="8" s="1"/>
  <c r="Q588" i="8"/>
  <c r="Q586" i="8"/>
  <c r="Q587" i="8"/>
  <c r="Y587" i="8" s="1"/>
  <c r="Q585" i="8"/>
  <c r="Q583" i="8"/>
  <c r="Q584" i="8"/>
  <c r="Y584" i="8" s="1"/>
  <c r="Q594" i="8"/>
  <c r="Q593" i="8"/>
  <c r="Q592" i="8"/>
  <c r="Q591" i="8"/>
  <c r="Q590" i="8"/>
  <c r="Q589" i="8"/>
  <c r="Q600" i="8"/>
  <c r="Q599" i="8"/>
  <c r="Q598" i="8"/>
  <c r="Q597" i="8"/>
  <c r="Q596" i="8"/>
  <c r="Q595" i="8"/>
  <c r="Q601" i="8"/>
  <c r="Q602" i="8"/>
  <c r="Y602" i="8" s="1"/>
  <c r="Q603" i="8"/>
  <c r="Y603" i="8" s="1"/>
  <c r="Q604" i="8"/>
  <c r="Y604" i="8" s="1"/>
  <c r="Q605" i="8"/>
  <c r="Y605" i="8" s="1"/>
  <c r="Q606" i="8"/>
  <c r="Y606" i="8" s="1"/>
  <c r="Q607" i="8"/>
  <c r="Y607" i="8" s="1"/>
  <c r="Q608" i="8"/>
  <c r="Y608" i="8" s="1"/>
  <c r="Q609" i="8"/>
  <c r="Y609" i="8" s="1"/>
  <c r="Q610" i="8"/>
  <c r="Y610" i="8" s="1"/>
  <c r="Q611" i="8"/>
  <c r="Y611" i="8" s="1"/>
  <c r="Q612" i="8"/>
  <c r="X344" i="8"/>
  <c r="P486" i="8"/>
  <c r="AE104" i="2"/>
  <c r="AF104" i="2" s="1"/>
  <c r="AH104" i="2"/>
  <c r="AI104" i="2" s="1"/>
  <c r="AL104" i="2"/>
  <c r="AM104" i="2" s="1"/>
  <c r="AP104" i="2"/>
  <c r="AQ104" i="2" s="1"/>
  <c r="AT104" i="2"/>
  <c r="AU104" i="2" s="1"/>
  <c r="AX104" i="2"/>
  <c r="AY104" i="2" s="1"/>
  <c r="BB104" i="2"/>
  <c r="AE106" i="2"/>
  <c r="AF106" i="2" s="1"/>
  <c r="AH106" i="2"/>
  <c r="AI106" i="2" s="1"/>
  <c r="AL106" i="2"/>
  <c r="AM106" i="2" s="1"/>
  <c r="AP106" i="2"/>
  <c r="AQ106" i="2" s="1"/>
  <c r="AT106" i="2"/>
  <c r="AU106" i="2" s="1"/>
  <c r="AX106" i="2"/>
  <c r="AY106" i="2" s="1"/>
  <c r="BB106" i="2"/>
  <c r="AE107" i="2"/>
  <c r="AF107" i="2" s="1"/>
  <c r="AH107" i="2"/>
  <c r="AI107" i="2" s="1"/>
  <c r="AL107" i="2"/>
  <c r="AM107" i="2" s="1"/>
  <c r="AP107" i="2"/>
  <c r="AQ107" i="2" s="1"/>
  <c r="AT107" i="2"/>
  <c r="AU107" i="2" s="1"/>
  <c r="AX107" i="2"/>
  <c r="AY107" i="2" s="1"/>
  <c r="BB107" i="2"/>
  <c r="AE108" i="2"/>
  <c r="AF108" i="2" s="1"/>
  <c r="AH108" i="2"/>
  <c r="AI108" i="2" s="1"/>
  <c r="AL108" i="2"/>
  <c r="AM108" i="2" s="1"/>
  <c r="AP108" i="2"/>
  <c r="AQ108" i="2" s="1"/>
  <c r="AT108" i="2"/>
  <c r="AU108" i="2" s="1"/>
  <c r="AX108" i="2"/>
  <c r="AY108" i="2" s="1"/>
  <c r="BB108" i="2"/>
  <c r="AE109" i="2"/>
  <c r="AF109" i="2" s="1"/>
  <c r="AH109" i="2"/>
  <c r="AI109" i="2" s="1"/>
  <c r="AL109" i="2"/>
  <c r="AM109" i="2" s="1"/>
  <c r="AP109" i="2"/>
  <c r="AQ109" i="2" s="1"/>
  <c r="AT109" i="2"/>
  <c r="AU109" i="2" s="1"/>
  <c r="AX109" i="2"/>
  <c r="AY109" i="2" s="1"/>
  <c r="BB109" i="2"/>
  <c r="AE112" i="2"/>
  <c r="AF112" i="2" s="1"/>
  <c r="AH112" i="2"/>
  <c r="AI112" i="2" s="1"/>
  <c r="AL112" i="2"/>
  <c r="AM112" i="2" s="1"/>
  <c r="AP112" i="2"/>
  <c r="AQ112" i="2" s="1"/>
  <c r="AT112" i="2"/>
  <c r="AU112" i="2" s="1"/>
  <c r="AX112" i="2"/>
  <c r="AY112" i="2" s="1"/>
  <c r="BB112" i="2"/>
  <c r="AE113" i="2"/>
  <c r="AF113" i="2" s="1"/>
  <c r="AH113" i="2"/>
  <c r="AI113" i="2" s="1"/>
  <c r="AL113" i="2"/>
  <c r="AM113" i="2" s="1"/>
  <c r="AP113" i="2"/>
  <c r="AQ113" i="2" s="1"/>
  <c r="AT113" i="2"/>
  <c r="AU113" i="2" s="1"/>
  <c r="AX113" i="2"/>
  <c r="AY113" i="2" s="1"/>
  <c r="BB113" i="2"/>
  <c r="AE114" i="2"/>
  <c r="AF114" i="2" s="1"/>
  <c r="AH114" i="2"/>
  <c r="AI114" i="2" s="1"/>
  <c r="AL114" i="2"/>
  <c r="AM114" i="2" s="1"/>
  <c r="AP114" i="2"/>
  <c r="AQ114" i="2" s="1"/>
  <c r="AT114" i="2"/>
  <c r="AU114" i="2" s="1"/>
  <c r="AX114" i="2"/>
  <c r="AY114" i="2" s="1"/>
  <c r="BB114" i="2"/>
  <c r="AE115" i="2"/>
  <c r="AF115" i="2" s="1"/>
  <c r="AH115" i="2"/>
  <c r="AI115" i="2" s="1"/>
  <c r="AL115" i="2"/>
  <c r="AM115" i="2" s="1"/>
  <c r="AP115" i="2"/>
  <c r="AQ115" i="2" s="1"/>
  <c r="AT115" i="2"/>
  <c r="AU115" i="2" s="1"/>
  <c r="AX115" i="2"/>
  <c r="AY115" i="2" s="1"/>
  <c r="BB115" i="2"/>
  <c r="AE116" i="2"/>
  <c r="AF116" i="2" s="1"/>
  <c r="AH116" i="2"/>
  <c r="AI116" i="2" s="1"/>
  <c r="AL116" i="2"/>
  <c r="AM116" i="2" s="1"/>
  <c r="AP116" i="2"/>
  <c r="AQ116" i="2" s="1"/>
  <c r="AT116" i="2"/>
  <c r="AU116" i="2" s="1"/>
  <c r="AX116" i="2"/>
  <c r="AY116" i="2" s="1"/>
  <c r="BB116" i="2"/>
  <c r="AE117" i="2"/>
  <c r="AF117" i="2" s="1"/>
  <c r="AH117" i="2"/>
  <c r="AI117" i="2" s="1"/>
  <c r="AL117" i="2"/>
  <c r="AM117" i="2" s="1"/>
  <c r="AP117" i="2"/>
  <c r="AQ117" i="2" s="1"/>
  <c r="AT117" i="2"/>
  <c r="AU117" i="2" s="1"/>
  <c r="AX117" i="2"/>
  <c r="AY117" i="2" s="1"/>
  <c r="BB117" i="2"/>
  <c r="AE121" i="2"/>
  <c r="AF121" i="2" s="1"/>
  <c r="AH121" i="2"/>
  <c r="AI121" i="2" s="1"/>
  <c r="AL121" i="2"/>
  <c r="AM121" i="2" s="1"/>
  <c r="AP121" i="2"/>
  <c r="AQ121" i="2" s="1"/>
  <c r="AT121" i="2"/>
  <c r="AU121" i="2" s="1"/>
  <c r="AX121" i="2"/>
  <c r="AY121" i="2" s="1"/>
  <c r="BB121" i="2"/>
  <c r="AE123" i="2"/>
  <c r="AF123" i="2" s="1"/>
  <c r="AH123" i="2"/>
  <c r="AI123" i="2" s="1"/>
  <c r="AL123" i="2"/>
  <c r="AM123" i="2" s="1"/>
  <c r="AP123" i="2"/>
  <c r="AQ123" i="2" s="1"/>
  <c r="AT123" i="2"/>
  <c r="AU123" i="2" s="1"/>
  <c r="AX123" i="2"/>
  <c r="AY123" i="2" s="1"/>
  <c r="BB123" i="2"/>
  <c r="AE124" i="2"/>
  <c r="AF124" i="2" s="1"/>
  <c r="AH124" i="2"/>
  <c r="AI124" i="2" s="1"/>
  <c r="AL124" i="2"/>
  <c r="AM124" i="2" s="1"/>
  <c r="AP124" i="2"/>
  <c r="AQ124" i="2" s="1"/>
  <c r="AT124" i="2"/>
  <c r="AU124" i="2" s="1"/>
  <c r="AX124" i="2"/>
  <c r="AY124" i="2" s="1"/>
  <c r="BB124" i="2"/>
  <c r="AE126" i="2"/>
  <c r="AF126" i="2" s="1"/>
  <c r="AH126" i="2"/>
  <c r="AI126" i="2" s="1"/>
  <c r="AL126" i="2"/>
  <c r="AM126" i="2" s="1"/>
  <c r="AP126" i="2"/>
  <c r="AQ126" i="2" s="1"/>
  <c r="AT126" i="2"/>
  <c r="AU126" i="2" s="1"/>
  <c r="AX126" i="2"/>
  <c r="AY126" i="2" s="1"/>
  <c r="BB126" i="2"/>
  <c r="AE128" i="2"/>
  <c r="AF128" i="2" s="1"/>
  <c r="AH128" i="2"/>
  <c r="AI128" i="2" s="1"/>
  <c r="AL128" i="2"/>
  <c r="AM128" i="2" s="1"/>
  <c r="AP128" i="2"/>
  <c r="AQ128" i="2" s="1"/>
  <c r="AT128" i="2"/>
  <c r="AU128" i="2" s="1"/>
  <c r="AX128" i="2"/>
  <c r="AY128" i="2" s="1"/>
  <c r="BB128" i="2"/>
  <c r="AE130" i="2"/>
  <c r="AF130" i="2" s="1"/>
  <c r="AH130" i="2"/>
  <c r="AI130" i="2" s="1"/>
  <c r="AL130" i="2"/>
  <c r="AM130" i="2" s="1"/>
  <c r="AP130" i="2"/>
  <c r="AQ130" i="2" s="1"/>
  <c r="AT130" i="2"/>
  <c r="AU130" i="2" s="1"/>
  <c r="AX130" i="2"/>
  <c r="AY130" i="2" s="1"/>
  <c r="BB130" i="2"/>
  <c r="AE131" i="2"/>
  <c r="AF131" i="2" s="1"/>
  <c r="AH131" i="2"/>
  <c r="AI131" i="2" s="1"/>
  <c r="AL131" i="2"/>
  <c r="AM131" i="2" s="1"/>
  <c r="AP131" i="2"/>
  <c r="AQ131" i="2" s="1"/>
  <c r="AT131" i="2"/>
  <c r="AU131" i="2" s="1"/>
  <c r="AX131" i="2"/>
  <c r="AY131" i="2" s="1"/>
  <c r="BB131" i="2"/>
  <c r="AE132" i="2"/>
  <c r="AF132" i="2" s="1"/>
  <c r="AH132" i="2"/>
  <c r="AI132" i="2" s="1"/>
  <c r="AL132" i="2"/>
  <c r="AM132" i="2" s="1"/>
  <c r="AP132" i="2"/>
  <c r="AQ132" i="2" s="1"/>
  <c r="AT132" i="2"/>
  <c r="AU132" i="2" s="1"/>
  <c r="AX132" i="2"/>
  <c r="AY132" i="2" s="1"/>
  <c r="BB132" i="2"/>
  <c r="AE134" i="2"/>
  <c r="AF134" i="2" s="1"/>
  <c r="AH134" i="2"/>
  <c r="AI134" i="2" s="1"/>
  <c r="AL134" i="2"/>
  <c r="AM134" i="2" s="1"/>
  <c r="AP134" i="2"/>
  <c r="AQ134" i="2" s="1"/>
  <c r="AT134" i="2"/>
  <c r="AU134" i="2" s="1"/>
  <c r="AX134" i="2"/>
  <c r="AY134" i="2" s="1"/>
  <c r="BB134" i="2"/>
  <c r="AE135" i="2"/>
  <c r="AF135" i="2" s="1"/>
  <c r="AH135" i="2"/>
  <c r="AI135" i="2" s="1"/>
  <c r="AL135" i="2"/>
  <c r="AM135" i="2" s="1"/>
  <c r="AP135" i="2"/>
  <c r="AQ135" i="2" s="1"/>
  <c r="AT135" i="2"/>
  <c r="AU135" i="2" s="1"/>
  <c r="AX135" i="2"/>
  <c r="AY135" i="2" s="1"/>
  <c r="BB135" i="2"/>
  <c r="AE136" i="2"/>
  <c r="AF136" i="2" s="1"/>
  <c r="AH136" i="2"/>
  <c r="AI136" i="2" s="1"/>
  <c r="AL136" i="2"/>
  <c r="AM136" i="2" s="1"/>
  <c r="AP136" i="2"/>
  <c r="AQ136" i="2" s="1"/>
  <c r="AT136" i="2"/>
  <c r="AU136" i="2" s="1"/>
  <c r="AX136" i="2"/>
  <c r="AY136" i="2" s="1"/>
  <c r="BB136" i="2"/>
  <c r="AE137" i="2"/>
  <c r="AF137" i="2" s="1"/>
  <c r="AH137" i="2"/>
  <c r="AI137" i="2" s="1"/>
  <c r="AL137" i="2"/>
  <c r="AM137" i="2" s="1"/>
  <c r="AP137" i="2"/>
  <c r="AQ137" i="2" s="1"/>
  <c r="AT137" i="2"/>
  <c r="AU137" i="2" s="1"/>
  <c r="AX137" i="2"/>
  <c r="AY137" i="2" s="1"/>
  <c r="BB137" i="2"/>
  <c r="AE138" i="2"/>
  <c r="AF138" i="2" s="1"/>
  <c r="AH138" i="2"/>
  <c r="AI138" i="2" s="1"/>
  <c r="AL138" i="2"/>
  <c r="AM138" i="2" s="1"/>
  <c r="AP138" i="2"/>
  <c r="AQ138" i="2" s="1"/>
  <c r="AT138" i="2"/>
  <c r="AU138" i="2" s="1"/>
  <c r="AX138" i="2"/>
  <c r="AY138" i="2" s="1"/>
  <c r="BB138" i="2"/>
  <c r="AE139" i="2"/>
  <c r="AF139" i="2" s="1"/>
  <c r="AH139" i="2"/>
  <c r="AI139" i="2" s="1"/>
  <c r="AL139" i="2"/>
  <c r="AM139" i="2" s="1"/>
  <c r="AP139" i="2"/>
  <c r="AQ139" i="2" s="1"/>
  <c r="AT139" i="2"/>
  <c r="AU139" i="2" s="1"/>
  <c r="AX139" i="2"/>
  <c r="AY139" i="2" s="1"/>
  <c r="BB139" i="2"/>
  <c r="AE140" i="2"/>
  <c r="AF140" i="2" s="1"/>
  <c r="AH140" i="2"/>
  <c r="AI140" i="2" s="1"/>
  <c r="AL140" i="2"/>
  <c r="AM140" i="2" s="1"/>
  <c r="AP140" i="2"/>
  <c r="AQ140" i="2" s="1"/>
  <c r="AT140" i="2"/>
  <c r="AU140" i="2" s="1"/>
  <c r="AX140" i="2"/>
  <c r="AY140" i="2" s="1"/>
  <c r="BB140" i="2"/>
  <c r="AE142" i="2"/>
  <c r="AF142" i="2" s="1"/>
  <c r="AH142" i="2"/>
  <c r="AI142" i="2" s="1"/>
  <c r="AL142" i="2"/>
  <c r="AM142" i="2" s="1"/>
  <c r="AP142" i="2"/>
  <c r="AQ142" i="2" s="1"/>
  <c r="AT142" i="2"/>
  <c r="AU142" i="2" s="1"/>
  <c r="AX142" i="2"/>
  <c r="AY142" i="2" s="1"/>
  <c r="BB142" i="2"/>
  <c r="AE143" i="2"/>
  <c r="AF143" i="2" s="1"/>
  <c r="AH143" i="2"/>
  <c r="AI143" i="2" s="1"/>
  <c r="AL143" i="2"/>
  <c r="AM143" i="2" s="1"/>
  <c r="AP143" i="2"/>
  <c r="AQ143" i="2" s="1"/>
  <c r="AT143" i="2"/>
  <c r="AU143" i="2" s="1"/>
  <c r="AX143" i="2"/>
  <c r="AY143" i="2" s="1"/>
  <c r="BB143" i="2"/>
  <c r="AE144" i="2"/>
  <c r="AF144" i="2" s="1"/>
  <c r="AH144" i="2"/>
  <c r="AI144" i="2" s="1"/>
  <c r="AL144" i="2"/>
  <c r="AM144" i="2" s="1"/>
  <c r="AP144" i="2"/>
  <c r="AQ144" i="2" s="1"/>
  <c r="AT144" i="2"/>
  <c r="AU144" i="2" s="1"/>
  <c r="AX144" i="2"/>
  <c r="AY144" i="2" s="1"/>
  <c r="BB144" i="2"/>
  <c r="AE148" i="2"/>
  <c r="AF148" i="2" s="1"/>
  <c r="AH148" i="2"/>
  <c r="AI148" i="2" s="1"/>
  <c r="AL148" i="2"/>
  <c r="AM148" i="2" s="1"/>
  <c r="AP148" i="2"/>
  <c r="AQ148" i="2" s="1"/>
  <c r="AT148" i="2"/>
  <c r="AU148" i="2" s="1"/>
  <c r="AX148" i="2"/>
  <c r="AY148" i="2" s="1"/>
  <c r="BB148" i="2"/>
  <c r="AE150" i="2"/>
  <c r="AF150" i="2" s="1"/>
  <c r="AH150" i="2"/>
  <c r="AI150" i="2" s="1"/>
  <c r="AL150" i="2"/>
  <c r="AM150" i="2" s="1"/>
  <c r="AP150" i="2"/>
  <c r="AQ150" i="2" s="1"/>
  <c r="AT150" i="2"/>
  <c r="AU150" i="2" s="1"/>
  <c r="AX150" i="2"/>
  <c r="AY150" i="2" s="1"/>
  <c r="BB150" i="2"/>
  <c r="AE152" i="2"/>
  <c r="AF152" i="2" s="1"/>
  <c r="AH152" i="2"/>
  <c r="AI152" i="2" s="1"/>
  <c r="AL152" i="2"/>
  <c r="AM152" i="2" s="1"/>
  <c r="AP152" i="2"/>
  <c r="AQ152" i="2" s="1"/>
  <c r="AT152" i="2"/>
  <c r="AU152" i="2" s="1"/>
  <c r="AX152" i="2"/>
  <c r="AY152" i="2" s="1"/>
  <c r="BB152" i="2"/>
  <c r="AE153" i="2"/>
  <c r="AF153" i="2" s="1"/>
  <c r="AH153" i="2"/>
  <c r="AI153" i="2" s="1"/>
  <c r="AL153" i="2"/>
  <c r="AM153" i="2" s="1"/>
  <c r="AP153" i="2"/>
  <c r="AQ153" i="2" s="1"/>
  <c r="AT153" i="2"/>
  <c r="AU153" i="2" s="1"/>
  <c r="AX153" i="2"/>
  <c r="AY153" i="2" s="1"/>
  <c r="BB153" i="2"/>
  <c r="AE154" i="2"/>
  <c r="AF154" i="2" s="1"/>
  <c r="AH154" i="2"/>
  <c r="AI154" i="2" s="1"/>
  <c r="AL154" i="2"/>
  <c r="AM154" i="2" s="1"/>
  <c r="AP154" i="2"/>
  <c r="AQ154" i="2" s="1"/>
  <c r="AT154" i="2"/>
  <c r="AU154" i="2" s="1"/>
  <c r="AX154" i="2"/>
  <c r="AY154" i="2" s="1"/>
  <c r="BB154" i="2"/>
  <c r="AE158" i="2"/>
  <c r="AF158" i="2" s="1"/>
  <c r="AH158" i="2"/>
  <c r="AI158" i="2" s="1"/>
  <c r="AL158" i="2"/>
  <c r="AM158" i="2" s="1"/>
  <c r="AP158" i="2"/>
  <c r="AQ158" i="2" s="1"/>
  <c r="AT158" i="2"/>
  <c r="AU158" i="2" s="1"/>
  <c r="AX158" i="2"/>
  <c r="AY158" i="2" s="1"/>
  <c r="BB158" i="2"/>
  <c r="AE161" i="2"/>
  <c r="AF161" i="2" s="1"/>
  <c r="AH161" i="2"/>
  <c r="AI161" i="2" s="1"/>
  <c r="AL161" i="2"/>
  <c r="AM161" i="2" s="1"/>
  <c r="AP161" i="2"/>
  <c r="AQ161" i="2" s="1"/>
  <c r="AT161" i="2"/>
  <c r="AU161" i="2" s="1"/>
  <c r="AX161" i="2"/>
  <c r="AY161" i="2" s="1"/>
  <c r="BB161" i="2"/>
  <c r="AE163" i="2"/>
  <c r="AF163" i="2" s="1"/>
  <c r="AH163" i="2"/>
  <c r="AI163" i="2" s="1"/>
  <c r="AL163" i="2"/>
  <c r="AM163" i="2" s="1"/>
  <c r="AP163" i="2"/>
  <c r="AQ163" i="2" s="1"/>
  <c r="AT163" i="2"/>
  <c r="AU163" i="2" s="1"/>
  <c r="AX163" i="2"/>
  <c r="AY163" i="2" s="1"/>
  <c r="BB163" i="2"/>
  <c r="AE166" i="2"/>
  <c r="AF166" i="2" s="1"/>
  <c r="AH166" i="2"/>
  <c r="AI166" i="2" s="1"/>
  <c r="AL166" i="2"/>
  <c r="AM166" i="2" s="1"/>
  <c r="AP166" i="2"/>
  <c r="AQ166" i="2" s="1"/>
  <c r="AT166" i="2"/>
  <c r="AU166" i="2" s="1"/>
  <c r="AX166" i="2"/>
  <c r="AY166" i="2" s="1"/>
  <c r="BB166" i="2"/>
  <c r="AE167" i="2"/>
  <c r="AF167" i="2" s="1"/>
  <c r="AH167" i="2"/>
  <c r="AI167" i="2" s="1"/>
  <c r="AL167" i="2"/>
  <c r="AM167" i="2" s="1"/>
  <c r="AP167" i="2"/>
  <c r="AQ167" i="2" s="1"/>
  <c r="AT167" i="2"/>
  <c r="AU167" i="2" s="1"/>
  <c r="AX167" i="2"/>
  <c r="AY167" i="2" s="1"/>
  <c r="BB167" i="2"/>
  <c r="AE168" i="2"/>
  <c r="AF168" i="2" s="1"/>
  <c r="AH168" i="2"/>
  <c r="AI168" i="2" s="1"/>
  <c r="AL168" i="2"/>
  <c r="AM168" i="2" s="1"/>
  <c r="AP168" i="2"/>
  <c r="AQ168" i="2" s="1"/>
  <c r="AT168" i="2"/>
  <c r="AU168" i="2" s="1"/>
  <c r="AX168" i="2"/>
  <c r="AY168" i="2" s="1"/>
  <c r="BB168" i="2"/>
  <c r="AE169" i="2"/>
  <c r="AF169" i="2" s="1"/>
  <c r="AH169" i="2"/>
  <c r="AI169" i="2" s="1"/>
  <c r="AL169" i="2"/>
  <c r="AM169" i="2" s="1"/>
  <c r="AP169" i="2"/>
  <c r="AQ169" i="2" s="1"/>
  <c r="AT169" i="2"/>
  <c r="AU169" i="2" s="1"/>
  <c r="AX169" i="2"/>
  <c r="AY169" i="2" s="1"/>
  <c r="BB169" i="2"/>
  <c r="AE105" i="2"/>
  <c r="AF105" i="2" s="1"/>
  <c r="AE110" i="2"/>
  <c r="AF110" i="2" s="1"/>
  <c r="AE111" i="2"/>
  <c r="AF111" i="2" s="1"/>
  <c r="AE118" i="2"/>
  <c r="AF118" i="2" s="1"/>
  <c r="AE119" i="2"/>
  <c r="AF119" i="2" s="1"/>
  <c r="AE120" i="2"/>
  <c r="AF120" i="2" s="1"/>
  <c r="AE122" i="2"/>
  <c r="AF122" i="2" s="1"/>
  <c r="AE125" i="2"/>
  <c r="AF125" i="2" s="1"/>
  <c r="AE127" i="2"/>
  <c r="AF127" i="2" s="1"/>
  <c r="AE129" i="2"/>
  <c r="AF129" i="2" s="1"/>
  <c r="AE133" i="2"/>
  <c r="AF133" i="2" s="1"/>
  <c r="AE141" i="2"/>
  <c r="AF141" i="2" s="1"/>
  <c r="AE145" i="2"/>
  <c r="AF145" i="2" s="1"/>
  <c r="AE146" i="2"/>
  <c r="AF146" i="2" s="1"/>
  <c r="AE147" i="2"/>
  <c r="AF147" i="2" s="1"/>
  <c r="AE149" i="2"/>
  <c r="AF149" i="2" s="1"/>
  <c r="AE151" i="2"/>
  <c r="AF151" i="2" s="1"/>
  <c r="AE155" i="2"/>
  <c r="AF155" i="2" s="1"/>
  <c r="AE156" i="2"/>
  <c r="AF156" i="2" s="1"/>
  <c r="AE157" i="2"/>
  <c r="AF157" i="2" s="1"/>
  <c r="AE159" i="2"/>
  <c r="AF159" i="2" s="1"/>
  <c r="AE160" i="2"/>
  <c r="AF160" i="2" s="1"/>
  <c r="AE162" i="2"/>
  <c r="AF162" i="2" s="1"/>
  <c r="AE164" i="2"/>
  <c r="AF164" i="2" s="1"/>
  <c r="AE165" i="2"/>
  <c r="AF165" i="2" s="1"/>
  <c r="AE170" i="2"/>
  <c r="AF170" i="2" s="1"/>
  <c r="AH105" i="2"/>
  <c r="AI105" i="2" s="1"/>
  <c r="AH110" i="2"/>
  <c r="AI110" i="2" s="1"/>
  <c r="AH111" i="2"/>
  <c r="AI111" i="2" s="1"/>
  <c r="AH118" i="2"/>
  <c r="AI118" i="2" s="1"/>
  <c r="AH119" i="2"/>
  <c r="AI119" i="2" s="1"/>
  <c r="AH120" i="2"/>
  <c r="AI120" i="2" s="1"/>
  <c r="AH122" i="2"/>
  <c r="AI122" i="2" s="1"/>
  <c r="AH125" i="2"/>
  <c r="AI125" i="2" s="1"/>
  <c r="AH127" i="2"/>
  <c r="AI127" i="2" s="1"/>
  <c r="AH129" i="2"/>
  <c r="AI129" i="2" s="1"/>
  <c r="AH133" i="2"/>
  <c r="AI133" i="2" s="1"/>
  <c r="AH141" i="2"/>
  <c r="AI141" i="2" s="1"/>
  <c r="AH145" i="2"/>
  <c r="AI145" i="2" s="1"/>
  <c r="AH146" i="2"/>
  <c r="AI146" i="2" s="1"/>
  <c r="AH147" i="2"/>
  <c r="AI147" i="2" s="1"/>
  <c r="AH149" i="2"/>
  <c r="AI149" i="2" s="1"/>
  <c r="AH151" i="2"/>
  <c r="AI151" i="2" s="1"/>
  <c r="AH155" i="2"/>
  <c r="AI155" i="2" s="1"/>
  <c r="AH156" i="2"/>
  <c r="AI156" i="2" s="1"/>
  <c r="AH157" i="2"/>
  <c r="AI157" i="2" s="1"/>
  <c r="AH159" i="2"/>
  <c r="AI159" i="2" s="1"/>
  <c r="AH160" i="2"/>
  <c r="AI160" i="2" s="1"/>
  <c r="AH162" i="2"/>
  <c r="AI162" i="2" s="1"/>
  <c r="AH164" i="2"/>
  <c r="AI164" i="2" s="1"/>
  <c r="AH165" i="2"/>
  <c r="AI165" i="2" s="1"/>
  <c r="AH170" i="2"/>
  <c r="AI170" i="2" s="1"/>
  <c r="AL105" i="2"/>
  <c r="AM105" i="2" s="1"/>
  <c r="AL110" i="2"/>
  <c r="AM110" i="2" s="1"/>
  <c r="AL111" i="2"/>
  <c r="AM111" i="2" s="1"/>
  <c r="AL118" i="2"/>
  <c r="AM118" i="2" s="1"/>
  <c r="AL119" i="2"/>
  <c r="AM119" i="2" s="1"/>
  <c r="AL120" i="2"/>
  <c r="AM120" i="2" s="1"/>
  <c r="AL122" i="2"/>
  <c r="AM122" i="2" s="1"/>
  <c r="AL125" i="2"/>
  <c r="AM125" i="2" s="1"/>
  <c r="AL127" i="2"/>
  <c r="AM127" i="2" s="1"/>
  <c r="AL129" i="2"/>
  <c r="AM129" i="2" s="1"/>
  <c r="AL133" i="2"/>
  <c r="AM133" i="2" s="1"/>
  <c r="AL141" i="2"/>
  <c r="AM141" i="2" s="1"/>
  <c r="AL145" i="2"/>
  <c r="AM145" i="2" s="1"/>
  <c r="AL146" i="2"/>
  <c r="AM146" i="2" s="1"/>
  <c r="AL147" i="2"/>
  <c r="AM147" i="2" s="1"/>
  <c r="AL149" i="2"/>
  <c r="AM149" i="2" s="1"/>
  <c r="AL151" i="2"/>
  <c r="AM151" i="2" s="1"/>
  <c r="AL155" i="2"/>
  <c r="AM155" i="2" s="1"/>
  <c r="AL156" i="2"/>
  <c r="AM156" i="2" s="1"/>
  <c r="AL157" i="2"/>
  <c r="AM157" i="2" s="1"/>
  <c r="AL159" i="2"/>
  <c r="AM159" i="2" s="1"/>
  <c r="AL160" i="2"/>
  <c r="AM160" i="2" s="1"/>
  <c r="AL162" i="2"/>
  <c r="AM162" i="2" s="1"/>
  <c r="AL164" i="2"/>
  <c r="AM164" i="2" s="1"/>
  <c r="AL165" i="2"/>
  <c r="AM165" i="2" s="1"/>
  <c r="AL170" i="2"/>
  <c r="AM170" i="2" s="1"/>
  <c r="AP105" i="2"/>
  <c r="AQ105" i="2" s="1"/>
  <c r="AP110" i="2"/>
  <c r="AQ110" i="2" s="1"/>
  <c r="AP111" i="2"/>
  <c r="AQ111" i="2" s="1"/>
  <c r="AP118" i="2"/>
  <c r="AQ118" i="2" s="1"/>
  <c r="AP119" i="2"/>
  <c r="AQ119" i="2" s="1"/>
  <c r="AP120" i="2"/>
  <c r="AQ120" i="2" s="1"/>
  <c r="AP122" i="2"/>
  <c r="AQ122" i="2" s="1"/>
  <c r="AP125" i="2"/>
  <c r="AQ125" i="2" s="1"/>
  <c r="AP127" i="2"/>
  <c r="AQ127" i="2" s="1"/>
  <c r="AP129" i="2"/>
  <c r="AQ129" i="2" s="1"/>
  <c r="AP133" i="2"/>
  <c r="AQ133" i="2" s="1"/>
  <c r="AP141" i="2"/>
  <c r="AQ141" i="2" s="1"/>
  <c r="AP145" i="2"/>
  <c r="AQ145" i="2" s="1"/>
  <c r="AP146" i="2"/>
  <c r="AQ146" i="2" s="1"/>
  <c r="AP147" i="2"/>
  <c r="AQ147" i="2" s="1"/>
  <c r="AP149" i="2"/>
  <c r="AQ149" i="2" s="1"/>
  <c r="AP151" i="2"/>
  <c r="AQ151" i="2" s="1"/>
  <c r="AP155" i="2"/>
  <c r="AQ155" i="2" s="1"/>
  <c r="AP156" i="2"/>
  <c r="AQ156" i="2" s="1"/>
  <c r="AP157" i="2"/>
  <c r="AQ157" i="2" s="1"/>
  <c r="AP159" i="2"/>
  <c r="AQ159" i="2" s="1"/>
  <c r="AP160" i="2"/>
  <c r="AQ160" i="2" s="1"/>
  <c r="AP162" i="2"/>
  <c r="AQ162" i="2" s="1"/>
  <c r="AP164" i="2"/>
  <c r="AQ164" i="2" s="1"/>
  <c r="AP165" i="2"/>
  <c r="AQ165" i="2" s="1"/>
  <c r="AP170" i="2"/>
  <c r="AQ170" i="2" s="1"/>
  <c r="AT105" i="2"/>
  <c r="AU105" i="2" s="1"/>
  <c r="AT110" i="2"/>
  <c r="AU110" i="2" s="1"/>
  <c r="AT111" i="2"/>
  <c r="AU111" i="2" s="1"/>
  <c r="AT118" i="2"/>
  <c r="AU118" i="2" s="1"/>
  <c r="AT119" i="2"/>
  <c r="AU119" i="2" s="1"/>
  <c r="AT120" i="2"/>
  <c r="AU120" i="2" s="1"/>
  <c r="AT122" i="2"/>
  <c r="AU122" i="2" s="1"/>
  <c r="AT125" i="2"/>
  <c r="AU125" i="2" s="1"/>
  <c r="AT127" i="2"/>
  <c r="AU127" i="2" s="1"/>
  <c r="AT129" i="2"/>
  <c r="AU129" i="2" s="1"/>
  <c r="AT133" i="2"/>
  <c r="AU133" i="2" s="1"/>
  <c r="AT141" i="2"/>
  <c r="AU141" i="2" s="1"/>
  <c r="AT145" i="2"/>
  <c r="AU145" i="2" s="1"/>
  <c r="AT146" i="2"/>
  <c r="AU146" i="2" s="1"/>
  <c r="AT147" i="2"/>
  <c r="AU147" i="2" s="1"/>
  <c r="AT149" i="2"/>
  <c r="AU149" i="2" s="1"/>
  <c r="AT151" i="2"/>
  <c r="AU151" i="2" s="1"/>
  <c r="AT155" i="2"/>
  <c r="AU155" i="2" s="1"/>
  <c r="AT156" i="2"/>
  <c r="AU156" i="2" s="1"/>
  <c r="AT157" i="2"/>
  <c r="AU157" i="2" s="1"/>
  <c r="AT159" i="2"/>
  <c r="AU159" i="2" s="1"/>
  <c r="AT160" i="2"/>
  <c r="AU160" i="2" s="1"/>
  <c r="AT162" i="2"/>
  <c r="AU162" i="2" s="1"/>
  <c r="AT164" i="2"/>
  <c r="AU164" i="2" s="1"/>
  <c r="AT165" i="2"/>
  <c r="AU165" i="2" s="1"/>
  <c r="AT170" i="2"/>
  <c r="AU170" i="2" s="1"/>
  <c r="AX105" i="2"/>
  <c r="AY105" i="2" s="1"/>
  <c r="AX110" i="2"/>
  <c r="AY110" i="2" s="1"/>
  <c r="AX111" i="2"/>
  <c r="AY111" i="2" s="1"/>
  <c r="AX118" i="2"/>
  <c r="AY118" i="2" s="1"/>
  <c r="AX119" i="2"/>
  <c r="AY119" i="2" s="1"/>
  <c r="AX120" i="2"/>
  <c r="AY120" i="2" s="1"/>
  <c r="AX122" i="2"/>
  <c r="AY122" i="2" s="1"/>
  <c r="AX125" i="2"/>
  <c r="AY125" i="2" s="1"/>
  <c r="AX127" i="2"/>
  <c r="AY127" i="2" s="1"/>
  <c r="AX129" i="2"/>
  <c r="AY129" i="2" s="1"/>
  <c r="AX133" i="2"/>
  <c r="AY133" i="2" s="1"/>
  <c r="AX141" i="2"/>
  <c r="AY141" i="2" s="1"/>
  <c r="AX145" i="2"/>
  <c r="AY145" i="2" s="1"/>
  <c r="AX146" i="2"/>
  <c r="AY146" i="2" s="1"/>
  <c r="AX147" i="2"/>
  <c r="AY147" i="2" s="1"/>
  <c r="AX149" i="2"/>
  <c r="AY149" i="2" s="1"/>
  <c r="AX151" i="2"/>
  <c r="AY151" i="2" s="1"/>
  <c r="AX155" i="2"/>
  <c r="AY155" i="2" s="1"/>
  <c r="AX156" i="2"/>
  <c r="AY156" i="2" s="1"/>
  <c r="AX157" i="2"/>
  <c r="AY157" i="2" s="1"/>
  <c r="AX159" i="2"/>
  <c r="AY159" i="2" s="1"/>
  <c r="AX160" i="2"/>
  <c r="AY160" i="2" s="1"/>
  <c r="AX162" i="2"/>
  <c r="AY162" i="2" s="1"/>
  <c r="AX164" i="2"/>
  <c r="AY164" i="2" s="1"/>
  <c r="AX165" i="2"/>
  <c r="AY165" i="2" s="1"/>
  <c r="AX170" i="2"/>
  <c r="AY170" i="2" s="1"/>
  <c r="BB105" i="2"/>
  <c r="BB110" i="2"/>
  <c r="BB111" i="2"/>
  <c r="BB118" i="2"/>
  <c r="BB119" i="2"/>
  <c r="BB120" i="2"/>
  <c r="BB122" i="2"/>
  <c r="BB125" i="2"/>
  <c r="BB127" i="2"/>
  <c r="BB129" i="2"/>
  <c r="BB133" i="2"/>
  <c r="BB141" i="2"/>
  <c r="BB145" i="2"/>
  <c r="BB146" i="2"/>
  <c r="BB147" i="2"/>
  <c r="BB149" i="2"/>
  <c r="BB151" i="2"/>
  <c r="BB155" i="2"/>
  <c r="BB156" i="2"/>
  <c r="BB157" i="2"/>
  <c r="BB159" i="2"/>
  <c r="BB160" i="2"/>
  <c r="BB162" i="2"/>
  <c r="BB164" i="2"/>
  <c r="BB165" i="2"/>
  <c r="BB170" i="2"/>
  <c r="P610" i="8"/>
  <c r="X611" i="8"/>
  <c r="X610" i="8"/>
  <c r="X609" i="8"/>
  <c r="X608" i="8"/>
  <c r="T611" i="8"/>
  <c r="T610" i="8"/>
  <c r="T609" i="8"/>
  <c r="T608" i="8"/>
  <c r="X552" i="8"/>
  <c r="X551" i="8"/>
  <c r="X550" i="8"/>
  <c r="X549" i="8"/>
  <c r="T552" i="8"/>
  <c r="T551" i="8"/>
  <c r="T550" i="8"/>
  <c r="T549" i="8"/>
  <c r="T12" i="8"/>
  <c r="T11" i="8"/>
  <c r="T10" i="8"/>
  <c r="N10" i="14" l="1"/>
  <c r="O10" i="14"/>
  <c r="P10" i="14"/>
  <c r="Q10" i="14"/>
  <c r="R10" i="14"/>
  <c r="S10" i="14"/>
  <c r="T10" i="14"/>
  <c r="V8" i="13"/>
  <c r="N10" i="13"/>
  <c r="W3" i="13"/>
  <c r="O10" i="13"/>
  <c r="X8" i="13"/>
  <c r="P10" i="13"/>
  <c r="Y8" i="13"/>
  <c r="Q10" i="13"/>
  <c r="Y85" i="8"/>
  <c r="Y31" i="8"/>
  <c r="Y37" i="8"/>
  <c r="Y151" i="8"/>
  <c r="Y247" i="8"/>
  <c r="Y492" i="8"/>
  <c r="Y552" i="8"/>
  <c r="Y374" i="8"/>
  <c r="Y79" i="8"/>
  <c r="Y380" i="8"/>
  <c r="Y295" i="8"/>
  <c r="Y55" i="8"/>
  <c r="Y259" i="8"/>
  <c r="Y392" i="8"/>
  <c r="Y109" i="8"/>
  <c r="Y480" i="8"/>
  <c r="Y19" i="8"/>
  <c r="Y612" i="8"/>
  <c r="R613" i="8"/>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K45" i="12"/>
  <c r="L45" i="12"/>
  <c r="M45" i="12"/>
  <c r="N45" i="12"/>
  <c r="O45" i="12"/>
  <c r="K46" i="12"/>
  <c r="L46" i="12"/>
  <c r="M46" i="12"/>
  <c r="N46" i="12"/>
  <c r="O46" i="12"/>
  <c r="K47" i="12"/>
  <c r="L47" i="12"/>
  <c r="M47" i="12"/>
  <c r="N47" i="12"/>
  <c r="O47" i="12"/>
  <c r="K48" i="12"/>
  <c r="L48" i="12"/>
  <c r="M48" i="12"/>
  <c r="N48" i="12"/>
  <c r="O48" i="12"/>
  <c r="K49" i="12"/>
  <c r="L49" i="12"/>
  <c r="M49" i="12"/>
  <c r="N49" i="12"/>
  <c r="O49" i="12"/>
  <c r="K50" i="12"/>
  <c r="L50" i="12"/>
  <c r="M50" i="12"/>
  <c r="N50" i="12"/>
  <c r="O50" i="12"/>
  <c r="K51" i="12"/>
  <c r="L51" i="12"/>
  <c r="M51" i="12"/>
  <c r="N51" i="12"/>
  <c r="O51" i="12"/>
  <c r="K52" i="12"/>
  <c r="L52" i="12"/>
  <c r="M52" i="12"/>
  <c r="N52" i="12"/>
  <c r="O52" i="12"/>
  <c r="K53" i="12"/>
  <c r="L53" i="12"/>
  <c r="M53" i="12"/>
  <c r="N53" i="12"/>
  <c r="O53" i="12"/>
  <c r="K54" i="12"/>
  <c r="L54" i="12"/>
  <c r="M54" i="12"/>
  <c r="N54" i="12"/>
  <c r="O54" i="12"/>
  <c r="K55" i="12"/>
  <c r="L55" i="12"/>
  <c r="M55" i="12"/>
  <c r="N55" i="12"/>
  <c r="O55" i="12"/>
  <c r="K56" i="12"/>
  <c r="L56" i="12"/>
  <c r="M56" i="12"/>
  <c r="N56" i="12"/>
  <c r="O56" i="12"/>
  <c r="K57" i="12"/>
  <c r="L57" i="12"/>
  <c r="M57" i="12"/>
  <c r="N57" i="12"/>
  <c r="O57" i="12"/>
  <c r="K58" i="12"/>
  <c r="L58" i="12"/>
  <c r="M58" i="12"/>
  <c r="N58" i="12"/>
  <c r="O58" i="12"/>
  <c r="K59" i="12"/>
  <c r="L59" i="12"/>
  <c r="M59" i="12"/>
  <c r="N59" i="12"/>
  <c r="O59" i="12"/>
  <c r="K60" i="12"/>
  <c r="L60" i="12"/>
  <c r="M60" i="12"/>
  <c r="N60" i="12"/>
  <c r="O60" i="12"/>
  <c r="K61" i="12"/>
  <c r="L61" i="12"/>
  <c r="M61" i="12"/>
  <c r="N61" i="12"/>
  <c r="O61" i="12"/>
  <c r="K62" i="12"/>
  <c r="L62" i="12"/>
  <c r="M62" i="12"/>
  <c r="N62" i="12"/>
  <c r="O62" i="12"/>
  <c r="K63" i="12"/>
  <c r="L63" i="12"/>
  <c r="M63" i="12"/>
  <c r="N63" i="12"/>
  <c r="O63" i="12"/>
  <c r="K64" i="12"/>
  <c r="L64" i="12"/>
  <c r="M64" i="12"/>
  <c r="N64" i="12"/>
  <c r="O64" i="12"/>
  <c r="K65" i="12"/>
  <c r="L65" i="12"/>
  <c r="M65" i="12"/>
  <c r="N65" i="12"/>
  <c r="O65" i="12"/>
  <c r="K66" i="12"/>
  <c r="L66" i="12"/>
  <c r="M66" i="12"/>
  <c r="N66" i="12"/>
  <c r="O66" i="12"/>
  <c r="K67" i="12"/>
  <c r="L67" i="12"/>
  <c r="M67" i="12"/>
  <c r="N67" i="12"/>
  <c r="O67" i="12"/>
  <c r="K68" i="12"/>
  <c r="L68" i="12"/>
  <c r="M68" i="12"/>
  <c r="N68" i="12"/>
  <c r="O68" i="12"/>
  <c r="K69" i="12"/>
  <c r="L69" i="12"/>
  <c r="M69" i="12"/>
  <c r="N69" i="12"/>
  <c r="O69" i="12"/>
  <c r="K70" i="12"/>
  <c r="L70" i="12"/>
  <c r="M70" i="12"/>
  <c r="N70" i="12"/>
  <c r="O70" i="12"/>
  <c r="K71" i="12"/>
  <c r="L71" i="12"/>
  <c r="M71" i="12"/>
  <c r="N71" i="12"/>
  <c r="O71" i="12"/>
  <c r="K72" i="12"/>
  <c r="L72" i="12"/>
  <c r="M72" i="12"/>
  <c r="N72" i="12"/>
  <c r="O72" i="12"/>
  <c r="K73" i="12"/>
  <c r="L73" i="12"/>
  <c r="M73" i="12"/>
  <c r="N73" i="12"/>
  <c r="O73" i="12"/>
  <c r="K74" i="12"/>
  <c r="L74" i="12"/>
  <c r="M74" i="12"/>
  <c r="N74" i="12"/>
  <c r="O74" i="12"/>
  <c r="K75" i="12"/>
  <c r="L75" i="12"/>
  <c r="M75" i="12"/>
  <c r="N75" i="12"/>
  <c r="O75" i="12"/>
  <c r="K76" i="12"/>
  <c r="L76" i="12"/>
  <c r="M76" i="12"/>
  <c r="N76" i="12"/>
  <c r="O76" i="12"/>
  <c r="K77" i="12"/>
  <c r="L77" i="12"/>
  <c r="M77" i="12"/>
  <c r="N77" i="12"/>
  <c r="O77" i="12"/>
  <c r="K78" i="12"/>
  <c r="L78" i="12"/>
  <c r="M78" i="12"/>
  <c r="N78" i="12"/>
  <c r="O78" i="12"/>
  <c r="K79" i="12"/>
  <c r="L79" i="12"/>
  <c r="M79" i="12"/>
  <c r="N79" i="12"/>
  <c r="O79" i="12"/>
  <c r="K80" i="12"/>
  <c r="L80" i="12"/>
  <c r="M80" i="12"/>
  <c r="N80" i="12"/>
  <c r="O80" i="12"/>
  <c r="K81" i="12"/>
  <c r="L81" i="12"/>
  <c r="M81" i="12"/>
  <c r="N81" i="12"/>
  <c r="O81" i="12"/>
  <c r="K82" i="12"/>
  <c r="L82" i="12"/>
  <c r="M82" i="12"/>
  <c r="N82" i="12"/>
  <c r="O82" i="12"/>
  <c r="K83" i="12"/>
  <c r="L83" i="12"/>
  <c r="M83" i="12"/>
  <c r="N83" i="12"/>
  <c r="O83" i="12"/>
  <c r="H3" i="12"/>
  <c r="G3" i="12"/>
  <c r="F3" i="12"/>
  <c r="E3" i="12"/>
  <c r="D3" i="12"/>
  <c r="H42" i="12"/>
  <c r="G42" i="12"/>
  <c r="F42" i="12"/>
  <c r="E42" i="12"/>
  <c r="D42" i="12"/>
  <c r="H41" i="12"/>
  <c r="G41" i="12"/>
  <c r="F41" i="12"/>
  <c r="E41" i="12"/>
  <c r="D41" i="12"/>
  <c r="H40" i="12"/>
  <c r="G40" i="12"/>
  <c r="F40" i="12"/>
  <c r="E40" i="12"/>
  <c r="D40" i="12"/>
  <c r="H39" i="12"/>
  <c r="G39" i="12"/>
  <c r="F39" i="12"/>
  <c r="E39" i="12"/>
  <c r="D39" i="12"/>
  <c r="H38" i="12"/>
  <c r="G38" i="12"/>
  <c r="F38" i="12"/>
  <c r="E38" i="12"/>
  <c r="D38" i="12"/>
  <c r="H37" i="12"/>
  <c r="G37" i="12"/>
  <c r="F37" i="12"/>
  <c r="E37" i="12"/>
  <c r="D37" i="12"/>
  <c r="H36" i="12"/>
  <c r="G36" i="12"/>
  <c r="F36" i="12"/>
  <c r="E36" i="12"/>
  <c r="D36" i="12"/>
  <c r="H35" i="12"/>
  <c r="G35" i="12"/>
  <c r="F35" i="12"/>
  <c r="E35" i="12"/>
  <c r="D35" i="12"/>
  <c r="H34" i="12"/>
  <c r="G34" i="12"/>
  <c r="F34" i="12"/>
  <c r="E34" i="12"/>
  <c r="D34" i="12"/>
  <c r="H33" i="12"/>
  <c r="G33" i="12"/>
  <c r="F33" i="12"/>
  <c r="E33" i="12"/>
  <c r="D33" i="12"/>
  <c r="H32" i="12"/>
  <c r="G32" i="12"/>
  <c r="F32" i="12"/>
  <c r="E32" i="12"/>
  <c r="D32" i="12"/>
  <c r="H31" i="12"/>
  <c r="G31" i="12"/>
  <c r="F31" i="12"/>
  <c r="E31" i="12"/>
  <c r="D31" i="12"/>
  <c r="H30" i="12"/>
  <c r="G30" i="12"/>
  <c r="F30" i="12"/>
  <c r="E30" i="12"/>
  <c r="D30" i="12"/>
  <c r="H29" i="12"/>
  <c r="G29" i="12"/>
  <c r="F29" i="12"/>
  <c r="E29" i="12"/>
  <c r="D29" i="12"/>
  <c r="H28" i="12"/>
  <c r="G28" i="12"/>
  <c r="F28" i="12"/>
  <c r="E28" i="12"/>
  <c r="D28" i="12"/>
  <c r="H27" i="12"/>
  <c r="G27" i="12"/>
  <c r="F27" i="12"/>
  <c r="E27" i="12"/>
  <c r="D27" i="12"/>
  <c r="H26" i="12"/>
  <c r="G26" i="12"/>
  <c r="F26" i="12"/>
  <c r="E26" i="12"/>
  <c r="D26" i="12"/>
  <c r="H25" i="12"/>
  <c r="G25" i="12"/>
  <c r="F25" i="12"/>
  <c r="E25" i="12"/>
  <c r="D25" i="12"/>
  <c r="H24" i="12"/>
  <c r="G24" i="12"/>
  <c r="F24" i="12"/>
  <c r="E24" i="12"/>
  <c r="D24" i="12"/>
  <c r="H23" i="12"/>
  <c r="G23" i="12"/>
  <c r="F23" i="12"/>
  <c r="E23" i="12"/>
  <c r="D23" i="12"/>
  <c r="H22" i="12"/>
  <c r="G22" i="12"/>
  <c r="F22" i="12"/>
  <c r="E22" i="12"/>
  <c r="D22" i="12"/>
  <c r="H21" i="12"/>
  <c r="G21" i="12"/>
  <c r="F21" i="12"/>
  <c r="E21" i="12"/>
  <c r="D21" i="12"/>
  <c r="H20" i="12"/>
  <c r="G20" i="12"/>
  <c r="F20" i="12"/>
  <c r="E20" i="12"/>
  <c r="D20" i="12"/>
  <c r="H19" i="12"/>
  <c r="G19" i="12"/>
  <c r="F19" i="12"/>
  <c r="E19" i="12"/>
  <c r="D19" i="12"/>
  <c r="H18" i="12"/>
  <c r="G18" i="12"/>
  <c r="F18" i="12"/>
  <c r="E18" i="12"/>
  <c r="D18" i="12"/>
  <c r="H17" i="12"/>
  <c r="G17" i="12"/>
  <c r="F17" i="12"/>
  <c r="E17" i="12"/>
  <c r="D17" i="12"/>
  <c r="H16" i="12"/>
  <c r="G16" i="12"/>
  <c r="F16" i="12"/>
  <c r="E16" i="12"/>
  <c r="D16" i="12"/>
  <c r="H15" i="12"/>
  <c r="G15" i="12"/>
  <c r="F15" i="12"/>
  <c r="E15" i="12"/>
  <c r="D15" i="12"/>
  <c r="H14" i="12"/>
  <c r="G14" i="12"/>
  <c r="F14" i="12"/>
  <c r="E14" i="12"/>
  <c r="D14" i="12"/>
  <c r="H13" i="12"/>
  <c r="G13" i="12"/>
  <c r="F13" i="12"/>
  <c r="E13" i="12"/>
  <c r="D13" i="12"/>
  <c r="H12" i="12"/>
  <c r="G12" i="12"/>
  <c r="F12" i="12"/>
  <c r="E12" i="12"/>
  <c r="D12" i="12"/>
  <c r="H11" i="12"/>
  <c r="G11" i="12"/>
  <c r="F11" i="12"/>
  <c r="E11" i="12"/>
  <c r="D11" i="12"/>
  <c r="H10" i="12"/>
  <c r="G10" i="12"/>
  <c r="F10" i="12"/>
  <c r="E10" i="12"/>
  <c r="D10" i="12"/>
  <c r="H9" i="12"/>
  <c r="G9" i="12"/>
  <c r="F9" i="12"/>
  <c r="E9" i="12"/>
  <c r="D9" i="12"/>
  <c r="H8" i="12"/>
  <c r="G8" i="12"/>
  <c r="F8" i="12"/>
  <c r="E8" i="12"/>
  <c r="D8" i="12"/>
  <c r="H7" i="12"/>
  <c r="G7" i="12"/>
  <c r="F7" i="12"/>
  <c r="E7" i="12"/>
  <c r="D7" i="12"/>
  <c r="H6" i="12"/>
  <c r="G6" i="12"/>
  <c r="F6" i="12"/>
  <c r="E6" i="12"/>
  <c r="D6" i="12"/>
  <c r="H5" i="12"/>
  <c r="G5" i="12"/>
  <c r="F5" i="12"/>
  <c r="E5" i="12"/>
  <c r="D5" i="12"/>
  <c r="H4" i="12"/>
  <c r="G4" i="12"/>
  <c r="F4" i="12"/>
  <c r="E4" i="12"/>
  <c r="D4" i="12"/>
  <c r="V3" i="12"/>
  <c r="U3" i="12"/>
  <c r="T3" i="12"/>
  <c r="S3" i="12"/>
  <c r="R3" i="12"/>
  <c r="V42" i="12"/>
  <c r="U42" i="12"/>
  <c r="T42" i="12"/>
  <c r="S42" i="12"/>
  <c r="R42" i="12"/>
  <c r="V41" i="12"/>
  <c r="U41" i="12"/>
  <c r="T41" i="12"/>
  <c r="S41" i="12"/>
  <c r="R41" i="12"/>
  <c r="V40" i="12"/>
  <c r="U40" i="12"/>
  <c r="T40" i="12"/>
  <c r="S40" i="12"/>
  <c r="R40" i="12"/>
  <c r="V39" i="12"/>
  <c r="U39" i="12"/>
  <c r="T39" i="12"/>
  <c r="S39" i="12"/>
  <c r="R39" i="12"/>
  <c r="V38" i="12"/>
  <c r="U38" i="12"/>
  <c r="T38" i="12"/>
  <c r="S38" i="12"/>
  <c r="R38" i="12"/>
  <c r="V37" i="12"/>
  <c r="U37" i="12"/>
  <c r="T37" i="12"/>
  <c r="S37" i="12"/>
  <c r="R37" i="12"/>
  <c r="V36" i="12"/>
  <c r="U36" i="12"/>
  <c r="T36" i="12"/>
  <c r="S36" i="12"/>
  <c r="R36" i="12"/>
  <c r="V35" i="12"/>
  <c r="U35" i="12"/>
  <c r="T35" i="12"/>
  <c r="S35" i="12"/>
  <c r="R35" i="12"/>
  <c r="V34" i="12"/>
  <c r="U34" i="12"/>
  <c r="T34" i="12"/>
  <c r="S34" i="12"/>
  <c r="R34" i="12"/>
  <c r="V33" i="12"/>
  <c r="U33" i="12"/>
  <c r="T33" i="12"/>
  <c r="S33" i="12"/>
  <c r="R33" i="12"/>
  <c r="V32" i="12"/>
  <c r="U32" i="12"/>
  <c r="T32" i="12"/>
  <c r="S32" i="12"/>
  <c r="R32" i="12"/>
  <c r="V31" i="12"/>
  <c r="U31" i="12"/>
  <c r="T31" i="12"/>
  <c r="S31" i="12"/>
  <c r="R31" i="12"/>
  <c r="V30" i="12"/>
  <c r="U30" i="12"/>
  <c r="T30" i="12"/>
  <c r="S30" i="12"/>
  <c r="R30" i="12"/>
  <c r="V29" i="12"/>
  <c r="U29" i="12"/>
  <c r="T29" i="12"/>
  <c r="S29" i="12"/>
  <c r="R29" i="12"/>
  <c r="V28" i="12"/>
  <c r="U28" i="12"/>
  <c r="T28" i="12"/>
  <c r="S28" i="12"/>
  <c r="R28" i="12"/>
  <c r="V27" i="12"/>
  <c r="U27" i="12"/>
  <c r="T27" i="12"/>
  <c r="S27" i="12"/>
  <c r="R27" i="12"/>
  <c r="V26" i="12"/>
  <c r="U26" i="12"/>
  <c r="T26" i="12"/>
  <c r="S26" i="12"/>
  <c r="R26" i="12"/>
  <c r="V25" i="12"/>
  <c r="U25" i="12"/>
  <c r="T25" i="12"/>
  <c r="S25" i="12"/>
  <c r="R25" i="12"/>
  <c r="V24" i="12"/>
  <c r="U24" i="12"/>
  <c r="T24" i="12"/>
  <c r="S24" i="12"/>
  <c r="R24" i="12"/>
  <c r="V23" i="12"/>
  <c r="U23" i="12"/>
  <c r="T23" i="12"/>
  <c r="S23" i="12"/>
  <c r="R23" i="12"/>
  <c r="V22" i="12"/>
  <c r="U22" i="12"/>
  <c r="T22" i="12"/>
  <c r="S22" i="12"/>
  <c r="R22" i="12"/>
  <c r="V21" i="12"/>
  <c r="U21" i="12"/>
  <c r="T21" i="12"/>
  <c r="S21" i="12"/>
  <c r="R21" i="12"/>
  <c r="V20" i="12"/>
  <c r="U20" i="12"/>
  <c r="T20" i="12"/>
  <c r="S20" i="12"/>
  <c r="R20" i="12"/>
  <c r="V19" i="12"/>
  <c r="U19" i="12"/>
  <c r="T19" i="12"/>
  <c r="S19" i="12"/>
  <c r="R19" i="12"/>
  <c r="V18" i="12"/>
  <c r="U18" i="12"/>
  <c r="T18" i="12"/>
  <c r="S18" i="12"/>
  <c r="R18" i="12"/>
  <c r="V17" i="12"/>
  <c r="U17" i="12"/>
  <c r="T17" i="12"/>
  <c r="S17" i="12"/>
  <c r="R17" i="12"/>
  <c r="V16" i="12"/>
  <c r="U16" i="12"/>
  <c r="T16" i="12"/>
  <c r="S16" i="12"/>
  <c r="R16" i="12"/>
  <c r="V15" i="12"/>
  <c r="U15" i="12"/>
  <c r="T15" i="12"/>
  <c r="S15" i="12"/>
  <c r="R15" i="12"/>
  <c r="V14" i="12"/>
  <c r="U14" i="12"/>
  <c r="T14" i="12"/>
  <c r="S14" i="12"/>
  <c r="R14" i="12"/>
  <c r="V13" i="12"/>
  <c r="U13" i="12"/>
  <c r="T13" i="12"/>
  <c r="S13" i="12"/>
  <c r="R13" i="12"/>
  <c r="V12" i="12"/>
  <c r="U12" i="12"/>
  <c r="T12" i="12"/>
  <c r="S12" i="12"/>
  <c r="R12" i="12"/>
  <c r="V11" i="12"/>
  <c r="U11" i="12"/>
  <c r="T11" i="12"/>
  <c r="S11" i="12"/>
  <c r="R11" i="12"/>
  <c r="V10" i="12"/>
  <c r="U10" i="12"/>
  <c r="T10" i="12"/>
  <c r="S10" i="12"/>
  <c r="R10" i="12"/>
  <c r="V9" i="12"/>
  <c r="U9" i="12"/>
  <c r="T9" i="12"/>
  <c r="S9" i="12"/>
  <c r="R9" i="12"/>
  <c r="V8" i="12"/>
  <c r="U8" i="12"/>
  <c r="T8" i="12"/>
  <c r="S8" i="12"/>
  <c r="R8" i="12"/>
  <c r="V7" i="12"/>
  <c r="U7" i="12"/>
  <c r="T7" i="12"/>
  <c r="S7" i="12"/>
  <c r="R7" i="12"/>
  <c r="V6" i="12"/>
  <c r="U6" i="12"/>
  <c r="T6" i="12"/>
  <c r="S6" i="12"/>
  <c r="R6" i="12"/>
  <c r="V5" i="12"/>
  <c r="U5" i="12"/>
  <c r="T5" i="12"/>
  <c r="S5" i="12"/>
  <c r="R5" i="12"/>
  <c r="V4" i="12"/>
  <c r="U4" i="12"/>
  <c r="T4" i="12"/>
  <c r="S4" i="12"/>
  <c r="R4" i="12"/>
  <c r="V44" i="12"/>
  <c r="U44" i="12"/>
  <c r="T44" i="12"/>
  <c r="S44" i="12"/>
  <c r="R44" i="12"/>
  <c r="V83" i="12"/>
  <c r="U83" i="12"/>
  <c r="T83" i="12"/>
  <c r="S83" i="12"/>
  <c r="R83" i="12"/>
  <c r="V82" i="12"/>
  <c r="U82" i="12"/>
  <c r="T82" i="12"/>
  <c r="S82" i="12"/>
  <c r="R82" i="12"/>
  <c r="V81" i="12"/>
  <c r="U81" i="12"/>
  <c r="T81" i="12"/>
  <c r="S81" i="12"/>
  <c r="R81" i="12"/>
  <c r="V80" i="12"/>
  <c r="U80" i="12"/>
  <c r="T80" i="12"/>
  <c r="S80" i="12"/>
  <c r="R80" i="12"/>
  <c r="V79" i="12"/>
  <c r="U79" i="12"/>
  <c r="T79" i="12"/>
  <c r="S79" i="12"/>
  <c r="R79" i="12"/>
  <c r="V78" i="12"/>
  <c r="U78" i="12"/>
  <c r="T78" i="12"/>
  <c r="S78" i="12"/>
  <c r="R78" i="12"/>
  <c r="V77" i="12"/>
  <c r="U77" i="12"/>
  <c r="T77" i="12"/>
  <c r="S77" i="12"/>
  <c r="R77" i="12"/>
  <c r="V76" i="12"/>
  <c r="U76" i="12"/>
  <c r="T76" i="12"/>
  <c r="S76" i="12"/>
  <c r="R76" i="12"/>
  <c r="V75" i="12"/>
  <c r="U75" i="12"/>
  <c r="T75" i="12"/>
  <c r="S75" i="12"/>
  <c r="R75" i="12"/>
  <c r="V74" i="12"/>
  <c r="U74" i="12"/>
  <c r="T74" i="12"/>
  <c r="S74" i="12"/>
  <c r="R74" i="12"/>
  <c r="V73" i="12"/>
  <c r="U73" i="12"/>
  <c r="T73" i="12"/>
  <c r="S73" i="12"/>
  <c r="R73" i="12"/>
  <c r="V72" i="12"/>
  <c r="U72" i="12"/>
  <c r="T72" i="12"/>
  <c r="S72" i="12"/>
  <c r="R72" i="12"/>
  <c r="V71" i="12"/>
  <c r="U71" i="12"/>
  <c r="T71" i="12"/>
  <c r="S71" i="12"/>
  <c r="R71" i="12"/>
  <c r="V70" i="12"/>
  <c r="U70" i="12"/>
  <c r="T70" i="12"/>
  <c r="S70" i="12"/>
  <c r="R70" i="12"/>
  <c r="V69" i="12"/>
  <c r="U69" i="12"/>
  <c r="T69" i="12"/>
  <c r="S69" i="12"/>
  <c r="R69" i="12"/>
  <c r="V68" i="12"/>
  <c r="U68" i="12"/>
  <c r="T68" i="12"/>
  <c r="S68" i="12"/>
  <c r="R68" i="12"/>
  <c r="V67" i="12"/>
  <c r="U67" i="12"/>
  <c r="T67" i="12"/>
  <c r="S67" i="12"/>
  <c r="R67" i="12"/>
  <c r="V66" i="12"/>
  <c r="U66" i="12"/>
  <c r="T66" i="12"/>
  <c r="S66" i="12"/>
  <c r="R66" i="12"/>
  <c r="V65" i="12"/>
  <c r="U65" i="12"/>
  <c r="T65" i="12"/>
  <c r="S65" i="12"/>
  <c r="R65" i="12"/>
  <c r="V64" i="12"/>
  <c r="U64" i="12"/>
  <c r="T64" i="12"/>
  <c r="S64" i="12"/>
  <c r="R64" i="12"/>
  <c r="V63" i="12"/>
  <c r="U63" i="12"/>
  <c r="T63" i="12"/>
  <c r="S63" i="12"/>
  <c r="R63" i="12"/>
  <c r="V62" i="12"/>
  <c r="U62" i="12"/>
  <c r="T62" i="12"/>
  <c r="S62" i="12"/>
  <c r="R62" i="12"/>
  <c r="V61" i="12"/>
  <c r="U61" i="12"/>
  <c r="T61" i="12"/>
  <c r="S61" i="12"/>
  <c r="R61" i="12"/>
  <c r="V60" i="12"/>
  <c r="U60" i="12"/>
  <c r="T60" i="12"/>
  <c r="S60" i="12"/>
  <c r="R60" i="12"/>
  <c r="V59" i="12"/>
  <c r="U59" i="12"/>
  <c r="T59" i="12"/>
  <c r="S59" i="12"/>
  <c r="R59" i="12"/>
  <c r="V58" i="12"/>
  <c r="U58" i="12"/>
  <c r="T58" i="12"/>
  <c r="S58" i="12"/>
  <c r="R58" i="12"/>
  <c r="V57" i="12"/>
  <c r="U57" i="12"/>
  <c r="T57" i="12"/>
  <c r="S57" i="12"/>
  <c r="R57" i="12"/>
  <c r="V56" i="12"/>
  <c r="U56" i="12"/>
  <c r="T56" i="12"/>
  <c r="S56" i="12"/>
  <c r="R56" i="12"/>
  <c r="V55" i="12"/>
  <c r="U55" i="12"/>
  <c r="T55" i="12"/>
  <c r="S55" i="12"/>
  <c r="R55" i="12"/>
  <c r="V54" i="12"/>
  <c r="U54" i="12"/>
  <c r="T54" i="12"/>
  <c r="S54" i="12"/>
  <c r="R54" i="12"/>
  <c r="V53" i="12"/>
  <c r="U53" i="12"/>
  <c r="T53" i="12"/>
  <c r="S53" i="12"/>
  <c r="R53" i="12"/>
  <c r="V52" i="12"/>
  <c r="U52" i="12"/>
  <c r="T52" i="12"/>
  <c r="S52" i="12"/>
  <c r="R52" i="12"/>
  <c r="V51" i="12"/>
  <c r="U51" i="12"/>
  <c r="T51" i="12"/>
  <c r="S51" i="12"/>
  <c r="R51" i="12"/>
  <c r="V50" i="12"/>
  <c r="U50" i="12"/>
  <c r="T50" i="12"/>
  <c r="S50" i="12"/>
  <c r="R50" i="12"/>
  <c r="V49" i="12"/>
  <c r="U49" i="12"/>
  <c r="T49" i="12"/>
  <c r="S49" i="12"/>
  <c r="R49" i="12"/>
  <c r="V48" i="12"/>
  <c r="U48" i="12"/>
  <c r="T48" i="12"/>
  <c r="S48" i="12"/>
  <c r="R48" i="12"/>
  <c r="V47" i="12"/>
  <c r="U47" i="12"/>
  <c r="T47" i="12"/>
  <c r="S47" i="12"/>
  <c r="R47" i="12"/>
  <c r="V46" i="12"/>
  <c r="U46" i="12"/>
  <c r="T46" i="12"/>
  <c r="S46" i="12"/>
  <c r="R46" i="12"/>
  <c r="V45" i="12"/>
  <c r="U45" i="12"/>
  <c r="T45" i="12"/>
  <c r="S45" i="12"/>
  <c r="R45" i="12"/>
  <c r="O3" i="12"/>
  <c r="N3" i="12"/>
  <c r="M3" i="12"/>
  <c r="L3" i="12"/>
  <c r="K3" i="12"/>
  <c r="O42" i="12"/>
  <c r="N42" i="12"/>
  <c r="M42" i="12"/>
  <c r="L42" i="12"/>
  <c r="K42" i="12"/>
  <c r="O41" i="12"/>
  <c r="N41" i="12"/>
  <c r="M41" i="12"/>
  <c r="L41" i="12"/>
  <c r="K41" i="12"/>
  <c r="O40" i="12"/>
  <c r="N40" i="12"/>
  <c r="M40" i="12"/>
  <c r="L40" i="12"/>
  <c r="K40" i="12"/>
  <c r="O39" i="12"/>
  <c r="N39" i="12"/>
  <c r="M39" i="12"/>
  <c r="L39" i="12"/>
  <c r="K39" i="12"/>
  <c r="O38" i="12"/>
  <c r="N38" i="12"/>
  <c r="M38" i="12"/>
  <c r="L38" i="12"/>
  <c r="K38" i="12"/>
  <c r="O37" i="12"/>
  <c r="N37" i="12"/>
  <c r="M37" i="12"/>
  <c r="L37" i="12"/>
  <c r="K37" i="12"/>
  <c r="O36" i="12"/>
  <c r="N36" i="12"/>
  <c r="M36" i="12"/>
  <c r="L36" i="12"/>
  <c r="K36" i="12"/>
  <c r="O35" i="12"/>
  <c r="N35" i="12"/>
  <c r="M35" i="12"/>
  <c r="L35" i="12"/>
  <c r="K35" i="12"/>
  <c r="O34" i="12"/>
  <c r="N34" i="12"/>
  <c r="M34" i="12"/>
  <c r="L34" i="12"/>
  <c r="K34" i="12"/>
  <c r="O33" i="12"/>
  <c r="N33" i="12"/>
  <c r="M33" i="12"/>
  <c r="L33" i="12"/>
  <c r="K33" i="12"/>
  <c r="O32" i="12"/>
  <c r="N32" i="12"/>
  <c r="M32" i="12"/>
  <c r="L32" i="12"/>
  <c r="K32" i="12"/>
  <c r="O31" i="12"/>
  <c r="N31" i="12"/>
  <c r="M31" i="12"/>
  <c r="L31" i="12"/>
  <c r="K31" i="12"/>
  <c r="O30" i="12"/>
  <c r="N30" i="12"/>
  <c r="M30" i="12"/>
  <c r="L30" i="12"/>
  <c r="K30" i="12"/>
  <c r="O29" i="12"/>
  <c r="N29" i="12"/>
  <c r="M29" i="12"/>
  <c r="L29" i="12"/>
  <c r="K29" i="12"/>
  <c r="O28" i="12"/>
  <c r="N28" i="12"/>
  <c r="M28" i="12"/>
  <c r="L28" i="12"/>
  <c r="K28" i="12"/>
  <c r="O27" i="12"/>
  <c r="N27" i="12"/>
  <c r="M27" i="12"/>
  <c r="L27" i="12"/>
  <c r="K27" i="12"/>
  <c r="O26" i="12"/>
  <c r="N26" i="12"/>
  <c r="M26" i="12"/>
  <c r="L26" i="12"/>
  <c r="K26" i="12"/>
  <c r="O25" i="12"/>
  <c r="N25" i="12"/>
  <c r="M25" i="12"/>
  <c r="L25" i="12"/>
  <c r="K25" i="12"/>
  <c r="O24" i="12"/>
  <c r="N24" i="12"/>
  <c r="M24" i="12"/>
  <c r="L24" i="12"/>
  <c r="K24" i="12"/>
  <c r="O23" i="12"/>
  <c r="N23" i="12"/>
  <c r="M23" i="12"/>
  <c r="L23" i="12"/>
  <c r="K23" i="12"/>
  <c r="O22" i="12"/>
  <c r="N22" i="12"/>
  <c r="M22" i="12"/>
  <c r="L22" i="12"/>
  <c r="K22" i="12"/>
  <c r="O21" i="12"/>
  <c r="N21" i="12"/>
  <c r="M21" i="12"/>
  <c r="L21" i="12"/>
  <c r="K21" i="12"/>
  <c r="O20" i="12"/>
  <c r="N20" i="12"/>
  <c r="M20" i="12"/>
  <c r="L20" i="12"/>
  <c r="K20" i="12"/>
  <c r="O19" i="12"/>
  <c r="N19" i="12"/>
  <c r="M19" i="12"/>
  <c r="L19" i="12"/>
  <c r="K19" i="12"/>
  <c r="O18" i="12"/>
  <c r="N18" i="12"/>
  <c r="M18" i="12"/>
  <c r="L18" i="12"/>
  <c r="K18" i="12"/>
  <c r="O17" i="12"/>
  <c r="N17" i="12"/>
  <c r="M17" i="12"/>
  <c r="L17" i="12"/>
  <c r="K17" i="12"/>
  <c r="O16" i="12"/>
  <c r="N16" i="12"/>
  <c r="M16" i="12"/>
  <c r="L16" i="12"/>
  <c r="K16" i="12"/>
  <c r="O15" i="12"/>
  <c r="N15" i="12"/>
  <c r="M15" i="12"/>
  <c r="L15" i="12"/>
  <c r="K15" i="12"/>
  <c r="O14" i="12"/>
  <c r="N14" i="12"/>
  <c r="M14" i="12"/>
  <c r="L14" i="12"/>
  <c r="K14" i="12"/>
  <c r="O13" i="12"/>
  <c r="N13" i="12"/>
  <c r="M13" i="12"/>
  <c r="L13" i="12"/>
  <c r="K13" i="12"/>
  <c r="O12" i="12"/>
  <c r="N12" i="12"/>
  <c r="M12" i="12"/>
  <c r="L12" i="12"/>
  <c r="K12" i="12"/>
  <c r="O11" i="12"/>
  <c r="N11" i="12"/>
  <c r="M11" i="12"/>
  <c r="L11" i="12"/>
  <c r="K11" i="12"/>
  <c r="O10" i="12"/>
  <c r="N10" i="12"/>
  <c r="M10" i="12"/>
  <c r="L10" i="12"/>
  <c r="K10" i="12"/>
  <c r="O9" i="12"/>
  <c r="N9" i="12"/>
  <c r="M9" i="12"/>
  <c r="L9" i="12"/>
  <c r="K9" i="12"/>
  <c r="O8" i="12"/>
  <c r="N8" i="12"/>
  <c r="M8" i="12"/>
  <c r="L8" i="12"/>
  <c r="K8" i="12"/>
  <c r="O7" i="12"/>
  <c r="N7" i="12"/>
  <c r="M7" i="12"/>
  <c r="L7" i="12"/>
  <c r="K7" i="12"/>
  <c r="O6" i="12"/>
  <c r="N6" i="12"/>
  <c r="M6" i="12"/>
  <c r="L6" i="12"/>
  <c r="K6" i="12"/>
  <c r="O5" i="12"/>
  <c r="N5" i="12"/>
  <c r="M5" i="12"/>
  <c r="L5" i="12"/>
  <c r="K5" i="12"/>
  <c r="O4" i="12"/>
  <c r="N4" i="12"/>
  <c r="M4" i="12"/>
  <c r="L4" i="12"/>
  <c r="K4" i="12"/>
  <c r="O44" i="12"/>
  <c r="N44" i="12"/>
  <c r="M44" i="12"/>
  <c r="L44" i="12"/>
  <c r="K44" i="12"/>
  <c r="U601" i="8"/>
  <c r="Y601" i="8"/>
  <c r="U595" i="8"/>
  <c r="Y595" i="8"/>
  <c r="U596" i="8"/>
  <c r="Y596" i="8"/>
  <c r="U597" i="8"/>
  <c r="Y597" i="8"/>
  <c r="U598" i="8"/>
  <c r="Y598" i="8"/>
  <c r="U599" i="8"/>
  <c r="Y599" i="8"/>
  <c r="U600" i="8"/>
  <c r="Y600" i="8"/>
  <c r="U589" i="8"/>
  <c r="Y589" i="8"/>
  <c r="U590" i="8"/>
  <c r="Y590" i="8"/>
  <c r="U591" i="8"/>
  <c r="Y591" i="8"/>
  <c r="U592" i="8"/>
  <c r="Y592" i="8"/>
  <c r="U593" i="8"/>
  <c r="Y593" i="8"/>
  <c r="U594" i="8"/>
  <c r="Y594" i="8"/>
  <c r="U583" i="8"/>
  <c r="Y583" i="8"/>
  <c r="U585" i="8"/>
  <c r="Y585" i="8"/>
  <c r="U586" i="8"/>
  <c r="Y586" i="8"/>
  <c r="U588" i="8"/>
  <c r="Y588" i="8"/>
  <c r="U580" i="8"/>
  <c r="Y580" i="8"/>
  <c r="U577" i="8"/>
  <c r="Y577" i="8"/>
  <c r="U578" i="8"/>
  <c r="Y578" i="8"/>
  <c r="U571" i="8"/>
  <c r="Y571" i="8"/>
  <c r="U565" i="8"/>
  <c r="Y565" i="8"/>
  <c r="U567" i="8"/>
  <c r="Y567" i="8"/>
  <c r="U568" i="8"/>
  <c r="Y568" i="8"/>
  <c r="U559" i="8"/>
  <c r="Y559" i="8"/>
  <c r="U564" i="8"/>
  <c r="Y564" i="8"/>
  <c r="U561" i="8"/>
  <c r="Y561" i="8"/>
  <c r="U562" i="8"/>
  <c r="Y562" i="8"/>
  <c r="U553" i="8"/>
  <c r="Y553" i="8"/>
  <c r="U547" i="8"/>
  <c r="Y547" i="8"/>
  <c r="U541" i="8"/>
  <c r="Y541" i="8"/>
  <c r="U535" i="8"/>
  <c r="Y535" i="8"/>
  <c r="U529" i="8"/>
  <c r="Y529" i="8"/>
  <c r="U531" i="8"/>
  <c r="Y531" i="8"/>
  <c r="U532" i="8"/>
  <c r="Y532" i="8"/>
  <c r="U534" i="8"/>
  <c r="Y534" i="8"/>
  <c r="U523" i="8"/>
  <c r="Y523" i="8"/>
  <c r="U522" i="8"/>
  <c r="Y522" i="8"/>
  <c r="U517" i="8"/>
  <c r="Y517" i="8"/>
  <c r="U511" i="8"/>
  <c r="Y511" i="8"/>
  <c r="U505" i="8"/>
  <c r="Y505" i="8"/>
  <c r="U507" i="8"/>
  <c r="Y507" i="8"/>
  <c r="U509" i="8"/>
  <c r="Y509" i="8"/>
  <c r="U499" i="8"/>
  <c r="Y499" i="8"/>
  <c r="U500" i="8"/>
  <c r="Y500" i="8"/>
  <c r="U501" i="8"/>
  <c r="Y501" i="8"/>
  <c r="U502" i="8"/>
  <c r="Y502" i="8"/>
  <c r="U504" i="8"/>
  <c r="Y504" i="8"/>
  <c r="U493" i="8"/>
  <c r="Y493" i="8"/>
  <c r="U487" i="8"/>
  <c r="Y487" i="8"/>
  <c r="U490" i="8"/>
  <c r="Y490" i="8"/>
  <c r="U481" i="8"/>
  <c r="Y481" i="8"/>
  <c r="U475" i="8"/>
  <c r="Y475" i="8"/>
  <c r="U476" i="8"/>
  <c r="Y476" i="8"/>
  <c r="U477" i="8"/>
  <c r="Y477" i="8"/>
  <c r="U478" i="8"/>
  <c r="Y478" i="8"/>
  <c r="U465" i="8"/>
  <c r="Y465" i="8"/>
  <c r="U459" i="8"/>
  <c r="Y459" i="8"/>
  <c r="U460" i="8"/>
  <c r="Y460" i="8"/>
  <c r="U461" i="8"/>
  <c r="Y461" i="8"/>
  <c r="U462" i="8"/>
  <c r="Y462" i="8"/>
  <c r="U463" i="8"/>
  <c r="Y463" i="8"/>
  <c r="U464" i="8"/>
  <c r="Y464" i="8"/>
  <c r="U453" i="8"/>
  <c r="Y453" i="8"/>
  <c r="U447" i="8"/>
  <c r="Y447" i="8"/>
  <c r="U448" i="8"/>
  <c r="Y448" i="8"/>
  <c r="U449" i="8"/>
  <c r="Y449" i="8"/>
  <c r="U450" i="8"/>
  <c r="Y450" i="8"/>
  <c r="U451" i="8"/>
  <c r="Y451" i="8"/>
  <c r="U441" i="8"/>
  <c r="Y441" i="8"/>
  <c r="U442" i="8"/>
  <c r="Y442" i="8"/>
  <c r="U443" i="8"/>
  <c r="Y443" i="8"/>
  <c r="U444" i="8"/>
  <c r="Y444" i="8"/>
  <c r="U446" i="8"/>
  <c r="Y446" i="8"/>
  <c r="U435" i="8"/>
  <c r="Y435" i="8"/>
  <c r="U437" i="8"/>
  <c r="Y437" i="8"/>
  <c r="U439" i="8"/>
  <c r="Y439" i="8"/>
  <c r="U440" i="8"/>
  <c r="Y440" i="8"/>
  <c r="U429" i="8"/>
  <c r="Y429" i="8"/>
  <c r="U431" i="8"/>
  <c r="Y431" i="8"/>
  <c r="U434" i="8"/>
  <c r="Y434" i="8"/>
  <c r="U432" i="8"/>
  <c r="Y432" i="8"/>
  <c r="U423" i="8"/>
  <c r="Y423" i="8"/>
  <c r="U425" i="8"/>
  <c r="Y425" i="8"/>
  <c r="U427" i="8"/>
  <c r="Y427" i="8"/>
  <c r="U417" i="8"/>
  <c r="Y417" i="8"/>
  <c r="U422" i="8"/>
  <c r="Y422" i="8"/>
  <c r="U413" i="8"/>
  <c r="Y413" i="8"/>
  <c r="U411" i="8"/>
  <c r="Y411" i="8"/>
  <c r="U414" i="8"/>
  <c r="Y414" i="8"/>
  <c r="U415" i="8"/>
  <c r="Y415" i="8"/>
  <c r="U405" i="8"/>
  <c r="Y405" i="8"/>
  <c r="U409" i="8"/>
  <c r="Y409" i="8"/>
  <c r="U410" i="8"/>
  <c r="Y410" i="8"/>
  <c r="U399" i="8"/>
  <c r="Y399" i="8"/>
  <c r="U401" i="8"/>
  <c r="Y401" i="8"/>
  <c r="U402" i="8"/>
  <c r="Y402" i="8"/>
  <c r="U403" i="8"/>
  <c r="Y403" i="8"/>
  <c r="U404" i="8"/>
  <c r="Y404" i="8"/>
  <c r="U393" i="8"/>
  <c r="Y393" i="8"/>
  <c r="U395" i="8"/>
  <c r="Y395" i="8"/>
  <c r="U398" i="8"/>
  <c r="Y398" i="8"/>
  <c r="U387" i="8"/>
  <c r="Y387" i="8"/>
  <c r="U389" i="8"/>
  <c r="Y389" i="8"/>
  <c r="U391" i="8"/>
  <c r="Y391" i="8"/>
  <c r="U381" i="8"/>
  <c r="Y381" i="8"/>
  <c r="U382" i="8"/>
  <c r="Y382" i="8"/>
  <c r="U384" i="8"/>
  <c r="Y384" i="8"/>
  <c r="U385" i="8"/>
  <c r="Y385" i="8"/>
  <c r="U386" i="8"/>
  <c r="Y386" i="8"/>
  <c r="U375" i="8"/>
  <c r="Y375" i="8"/>
  <c r="U376" i="8"/>
  <c r="Y376" i="8"/>
  <c r="U378" i="8"/>
  <c r="Y378" i="8"/>
  <c r="U369" i="8"/>
  <c r="Y369" i="8"/>
  <c r="U363" i="8"/>
  <c r="Y363" i="8"/>
  <c r="U357" i="8"/>
  <c r="Y357" i="8"/>
  <c r="U358" i="8"/>
  <c r="Y358" i="8"/>
  <c r="U359" i="8"/>
  <c r="Y359" i="8"/>
  <c r="U360" i="8"/>
  <c r="Y360" i="8"/>
  <c r="U361" i="8"/>
  <c r="Y361" i="8"/>
  <c r="U351" i="8"/>
  <c r="Y351" i="8"/>
  <c r="U345" i="8"/>
  <c r="Y345" i="8"/>
  <c r="U346" i="8"/>
  <c r="Y346" i="8"/>
  <c r="U350" i="8"/>
  <c r="Y350" i="8"/>
  <c r="U347" i="8"/>
  <c r="Y347" i="8"/>
  <c r="U335" i="8"/>
  <c r="Y335" i="8"/>
  <c r="U340" i="8"/>
  <c r="Y340" i="8"/>
  <c r="U329" i="8"/>
  <c r="Y329" i="8"/>
  <c r="U331" i="8"/>
  <c r="Y331" i="8"/>
  <c r="U332" i="8"/>
  <c r="Y332" i="8"/>
  <c r="U319" i="8"/>
  <c r="Y319" i="8"/>
  <c r="U321" i="8"/>
  <c r="Y321" i="8"/>
  <c r="U323" i="8"/>
  <c r="Y323" i="8"/>
  <c r="U308" i="8"/>
  <c r="Y308" i="8"/>
  <c r="U302" i="8"/>
  <c r="Y302" i="8"/>
  <c r="U298" i="8"/>
  <c r="Y298" i="8"/>
  <c r="U299" i="8"/>
  <c r="Y299" i="8"/>
  <c r="U300" i="8"/>
  <c r="Y300" i="8"/>
  <c r="U296" i="8"/>
  <c r="Y296" i="8"/>
  <c r="U301" i="8"/>
  <c r="Y301" i="8"/>
  <c r="U290" i="8"/>
  <c r="Y290" i="8"/>
  <c r="U292" i="8"/>
  <c r="Y292" i="8"/>
  <c r="U293" i="8"/>
  <c r="Y293" i="8"/>
  <c r="U294" i="8"/>
  <c r="Y294" i="8"/>
  <c r="U284" i="8"/>
  <c r="Y284" i="8"/>
  <c r="U285" i="8"/>
  <c r="Y285" i="8"/>
  <c r="U288" i="8"/>
  <c r="Y288" i="8"/>
  <c r="U278" i="8"/>
  <c r="Y278" i="8"/>
  <c r="U279" i="8"/>
  <c r="Y279" i="8"/>
  <c r="U280" i="8"/>
  <c r="Y280" i="8"/>
  <c r="U281" i="8"/>
  <c r="Y281" i="8"/>
  <c r="U283" i="8"/>
  <c r="Y283" i="8"/>
  <c r="U272" i="8"/>
  <c r="Y272" i="8"/>
  <c r="U273" i="8"/>
  <c r="Y273" i="8"/>
  <c r="U274" i="8"/>
  <c r="Y274" i="8"/>
  <c r="U275" i="8"/>
  <c r="Y275" i="8"/>
  <c r="U276" i="8"/>
  <c r="Y276" i="8"/>
  <c r="U277" i="8"/>
  <c r="Y277" i="8"/>
  <c r="U266" i="8"/>
  <c r="Y266" i="8"/>
  <c r="U260" i="8"/>
  <c r="Y260" i="8"/>
  <c r="U254" i="8"/>
  <c r="Y254" i="8"/>
  <c r="U256" i="8"/>
  <c r="Y256" i="8"/>
  <c r="U257" i="8"/>
  <c r="Y257" i="8"/>
  <c r="U258" i="8"/>
  <c r="Y258" i="8"/>
  <c r="U248" i="8"/>
  <c r="Y248" i="8"/>
  <c r="U249" i="8"/>
  <c r="Y249" i="8"/>
  <c r="U250" i="8"/>
  <c r="Y250" i="8"/>
  <c r="U251" i="8"/>
  <c r="Y251" i="8"/>
  <c r="U252" i="8"/>
  <c r="Y252" i="8"/>
  <c r="U244" i="8"/>
  <c r="Y244" i="8"/>
  <c r="U245" i="8"/>
  <c r="Y245" i="8"/>
  <c r="U242" i="8"/>
  <c r="Y242" i="8"/>
  <c r="U246" i="8"/>
  <c r="Y246" i="8"/>
  <c r="U236" i="8"/>
  <c r="Y236" i="8"/>
  <c r="U237" i="8"/>
  <c r="Y237" i="8"/>
  <c r="U238" i="8"/>
  <c r="Y238" i="8"/>
  <c r="U239" i="8"/>
  <c r="Y239" i="8"/>
  <c r="U240" i="8"/>
  <c r="Y240" i="8"/>
  <c r="U230" i="8"/>
  <c r="Y230" i="8"/>
  <c r="U224" i="8"/>
  <c r="Y224" i="8"/>
  <c r="U226" i="8"/>
  <c r="Y226" i="8"/>
  <c r="U227" i="8"/>
  <c r="Y227" i="8"/>
  <c r="U218" i="8"/>
  <c r="Y218" i="8"/>
  <c r="U219" i="8"/>
  <c r="Y219" i="8"/>
  <c r="U221" i="8"/>
  <c r="Y221" i="8"/>
  <c r="U212" i="8"/>
  <c r="Y212" i="8"/>
  <c r="U206" i="8"/>
  <c r="Y206" i="8"/>
  <c r="U200" i="8"/>
  <c r="Y200" i="8"/>
  <c r="U202" i="8"/>
  <c r="Y202" i="8"/>
  <c r="U203" i="8"/>
  <c r="Y203" i="8"/>
  <c r="U194" i="8"/>
  <c r="Y194" i="8"/>
  <c r="U196" i="8"/>
  <c r="Y196" i="8"/>
  <c r="U197" i="8"/>
  <c r="Y197" i="8"/>
  <c r="U198" i="8"/>
  <c r="Y198" i="8"/>
  <c r="U199" i="8"/>
  <c r="Y199" i="8"/>
  <c r="U188" i="8"/>
  <c r="Y188" i="8"/>
  <c r="U190" i="8"/>
  <c r="Y190" i="8"/>
  <c r="U191" i="8"/>
  <c r="Y191" i="8"/>
  <c r="U192" i="8"/>
  <c r="Y192" i="8"/>
  <c r="U193" i="8"/>
  <c r="Y193" i="8"/>
  <c r="U182" i="8"/>
  <c r="Y182" i="8"/>
  <c r="U183" i="8"/>
  <c r="Y183" i="8"/>
  <c r="U184" i="8"/>
  <c r="Y184" i="8"/>
  <c r="U185" i="8"/>
  <c r="Y185" i="8"/>
  <c r="U186" i="8"/>
  <c r="Y186" i="8"/>
  <c r="U187" i="8"/>
  <c r="Y187" i="8"/>
  <c r="U176" i="8"/>
  <c r="Y176" i="8"/>
  <c r="U178" i="8"/>
  <c r="Y178" i="8"/>
  <c r="U170" i="8"/>
  <c r="Y170" i="8"/>
  <c r="U164" i="8"/>
  <c r="Y164" i="8"/>
  <c r="U158" i="8"/>
  <c r="Y158" i="8"/>
  <c r="U160" i="8"/>
  <c r="Y160" i="8"/>
  <c r="U154" i="8"/>
  <c r="Y154" i="8"/>
  <c r="U155" i="8"/>
  <c r="Y155" i="8"/>
  <c r="U152" i="8"/>
  <c r="Y152" i="8"/>
  <c r="U148" i="8"/>
  <c r="Y148" i="8"/>
  <c r="U146" i="8"/>
  <c r="Y146" i="8"/>
  <c r="U140" i="8"/>
  <c r="Y140" i="8"/>
  <c r="U144" i="8"/>
  <c r="Y144" i="8"/>
  <c r="U145" i="8"/>
  <c r="Y145" i="8"/>
  <c r="U134" i="8"/>
  <c r="Y134" i="8"/>
  <c r="U128" i="8"/>
  <c r="Y128" i="8"/>
  <c r="U131" i="8"/>
  <c r="Y131" i="8"/>
  <c r="U132" i="8"/>
  <c r="Y132" i="8"/>
  <c r="U133" i="8"/>
  <c r="Y133" i="8"/>
  <c r="U122" i="8"/>
  <c r="Y122" i="8"/>
  <c r="U116" i="8"/>
  <c r="Y116" i="8"/>
  <c r="U110" i="8"/>
  <c r="Y110" i="8"/>
  <c r="U111" i="8"/>
  <c r="Y111" i="8"/>
  <c r="U112" i="8"/>
  <c r="Y112" i="8"/>
  <c r="U113" i="8"/>
  <c r="Y113" i="8"/>
  <c r="U114" i="8"/>
  <c r="Y114" i="8"/>
  <c r="U104" i="8"/>
  <c r="Y104" i="8"/>
  <c r="U106" i="8"/>
  <c r="Y106" i="8"/>
  <c r="U107" i="8"/>
  <c r="Y107" i="8"/>
  <c r="U108" i="8"/>
  <c r="Y108" i="8"/>
  <c r="U98" i="8"/>
  <c r="Y98" i="8"/>
  <c r="U86" i="8"/>
  <c r="Y86" i="8"/>
  <c r="U87" i="8"/>
  <c r="Y87" i="8"/>
  <c r="U88" i="8"/>
  <c r="Y88" i="8"/>
  <c r="U89" i="8"/>
  <c r="Y89" i="8"/>
  <c r="U90" i="8"/>
  <c r="Y90" i="8"/>
  <c r="U80" i="8"/>
  <c r="Y80" i="8"/>
  <c r="U74" i="8"/>
  <c r="Y74" i="8"/>
  <c r="U68" i="8"/>
  <c r="Y68" i="8"/>
  <c r="U69" i="8"/>
  <c r="Y69" i="8"/>
  <c r="U70" i="8"/>
  <c r="Y70" i="8"/>
  <c r="U62" i="8"/>
  <c r="Y62" i="8"/>
  <c r="U63" i="8"/>
  <c r="Y63" i="8"/>
  <c r="U64" i="8"/>
  <c r="Y64" i="8"/>
  <c r="U65" i="8"/>
  <c r="Y65" i="8"/>
  <c r="U66" i="8"/>
  <c r="Y66" i="8"/>
  <c r="U56" i="8"/>
  <c r="Y56" i="8"/>
  <c r="U58" i="8"/>
  <c r="Y58" i="8"/>
  <c r="U59" i="8"/>
  <c r="Y59" i="8"/>
  <c r="U60" i="8"/>
  <c r="Y60" i="8"/>
  <c r="U61" i="8"/>
  <c r="Y61" i="8"/>
  <c r="U53" i="8"/>
  <c r="Y53" i="8"/>
  <c r="U50" i="8"/>
  <c r="Y50" i="8"/>
  <c r="U54" i="8"/>
  <c r="Y54" i="8"/>
  <c r="U44" i="8"/>
  <c r="Y44" i="8"/>
  <c r="U46" i="8"/>
  <c r="Y46" i="8"/>
  <c r="U47" i="8"/>
  <c r="Y47" i="8"/>
  <c r="U38" i="8"/>
  <c r="Y38" i="8"/>
  <c r="U92" i="8"/>
  <c r="Y92" i="8"/>
  <c r="U32" i="8"/>
  <c r="Y32" i="8"/>
  <c r="U34" i="8"/>
  <c r="Y34" i="8"/>
  <c r="U35" i="8"/>
  <c r="Y35" i="8"/>
  <c r="U36" i="8"/>
  <c r="Y36" i="8"/>
  <c r="U26" i="8"/>
  <c r="Y26" i="8"/>
  <c r="U27" i="8"/>
  <c r="Y27" i="8"/>
  <c r="U28" i="8"/>
  <c r="Y28" i="8"/>
  <c r="U30" i="8"/>
  <c r="Y30" i="8"/>
  <c r="U20" i="8"/>
  <c r="Y20" i="8"/>
  <c r="U21" i="8"/>
  <c r="Y21" i="8"/>
  <c r="U22" i="8"/>
  <c r="Y22" i="8"/>
  <c r="U23" i="8"/>
  <c r="Y23" i="8"/>
  <c r="U24" i="8"/>
  <c r="Y24" i="8"/>
  <c r="U16" i="8"/>
  <c r="Y16" i="8"/>
  <c r="U14" i="8"/>
  <c r="Y14" i="8"/>
  <c r="U17" i="8"/>
  <c r="Y17" i="8"/>
  <c r="U8" i="8"/>
  <c r="Y8" i="8"/>
  <c r="U2" i="8"/>
  <c r="Z2" i="8" s="1"/>
  <c r="U3" i="8"/>
  <c r="Y3" i="8"/>
  <c r="U6" i="8"/>
  <c r="Y6" i="8"/>
  <c r="U7" i="8"/>
  <c r="Y7" i="8"/>
  <c r="R612" i="8"/>
  <c r="U612" i="8"/>
  <c r="R611" i="8"/>
  <c r="U611" i="8"/>
  <c r="Z611" i="8" s="1"/>
  <c r="R610" i="8"/>
  <c r="U610" i="8"/>
  <c r="Z610" i="8" s="1"/>
  <c r="R609" i="8"/>
  <c r="U609" i="8"/>
  <c r="Z609" i="8" s="1"/>
  <c r="R608" i="8"/>
  <c r="U608" i="8"/>
  <c r="Z608" i="8" s="1"/>
  <c r="R607" i="8"/>
  <c r="U607" i="8"/>
  <c r="Z607" i="8" s="1"/>
  <c r="R606" i="8"/>
  <c r="U606" i="8"/>
  <c r="Z606" i="8" s="1"/>
  <c r="R605" i="8"/>
  <c r="U605" i="8"/>
  <c r="Z605" i="8" s="1"/>
  <c r="R604" i="8"/>
  <c r="U604" i="8"/>
  <c r="Z604" i="8" s="1"/>
  <c r="R603" i="8"/>
  <c r="U603" i="8"/>
  <c r="Z603" i="8" s="1"/>
  <c r="R602" i="8"/>
  <c r="U602" i="8"/>
  <c r="Z602" i="8" s="1"/>
  <c r="R584" i="8"/>
  <c r="U584" i="8"/>
  <c r="Z584" i="8" s="1"/>
  <c r="R587" i="8"/>
  <c r="U587" i="8"/>
  <c r="Z587" i="8" s="1"/>
  <c r="R582" i="8"/>
  <c r="U582" i="8"/>
  <c r="Z582" i="8" s="1"/>
  <c r="R579" i="8"/>
  <c r="U579" i="8"/>
  <c r="Z579" i="8" s="1"/>
  <c r="R581" i="8"/>
  <c r="U581" i="8"/>
  <c r="Z581" i="8" s="1"/>
  <c r="R576" i="8"/>
  <c r="U576" i="8"/>
  <c r="Z576" i="8" s="1"/>
  <c r="R575" i="8"/>
  <c r="U575" i="8"/>
  <c r="Z575" i="8" s="1"/>
  <c r="R574" i="8"/>
  <c r="U574" i="8"/>
  <c r="Z574" i="8" s="1"/>
  <c r="R573" i="8"/>
  <c r="U573" i="8"/>
  <c r="Z573" i="8" s="1"/>
  <c r="R572" i="8"/>
  <c r="U572" i="8"/>
  <c r="Z572" i="8" s="1"/>
  <c r="R566" i="8"/>
  <c r="U566" i="8"/>
  <c r="Z566" i="8" s="1"/>
  <c r="R570" i="8"/>
  <c r="U570" i="8"/>
  <c r="Z570" i="8" s="1"/>
  <c r="R569" i="8"/>
  <c r="U569" i="8"/>
  <c r="Z569" i="8" s="1"/>
  <c r="R560" i="8"/>
  <c r="U560" i="8"/>
  <c r="Z560" i="8" s="1"/>
  <c r="R563" i="8"/>
  <c r="U563" i="8"/>
  <c r="Z563" i="8" s="1"/>
  <c r="R558" i="8"/>
  <c r="U558" i="8"/>
  <c r="Z558" i="8" s="1"/>
  <c r="R557" i="8"/>
  <c r="U557" i="8"/>
  <c r="Z557" i="8" s="1"/>
  <c r="R556" i="8"/>
  <c r="U556" i="8"/>
  <c r="Z556" i="8" s="1"/>
  <c r="R555" i="8"/>
  <c r="U555" i="8"/>
  <c r="Z555" i="8" s="1"/>
  <c r="R554" i="8"/>
  <c r="U554" i="8"/>
  <c r="Z554" i="8" s="1"/>
  <c r="R552" i="8"/>
  <c r="U552" i="8"/>
  <c r="Z552" i="8" s="1"/>
  <c r="R551" i="8"/>
  <c r="U551" i="8"/>
  <c r="Z551" i="8" s="1"/>
  <c r="R550" i="8"/>
  <c r="U550" i="8"/>
  <c r="Z550" i="8" s="1"/>
  <c r="R549" i="8"/>
  <c r="U549" i="8"/>
  <c r="Z549" i="8" s="1"/>
  <c r="R548" i="8"/>
  <c r="U548" i="8"/>
  <c r="Z548" i="8" s="1"/>
  <c r="R546" i="8"/>
  <c r="U546" i="8"/>
  <c r="Z546" i="8" s="1"/>
  <c r="R545" i="8"/>
  <c r="U545" i="8"/>
  <c r="Z545" i="8" s="1"/>
  <c r="R544" i="8"/>
  <c r="U544" i="8"/>
  <c r="Z544" i="8" s="1"/>
  <c r="R543" i="8"/>
  <c r="U543" i="8"/>
  <c r="Z543" i="8" s="1"/>
  <c r="R542" i="8"/>
  <c r="U542" i="8"/>
  <c r="Z542" i="8" s="1"/>
  <c r="R540" i="8"/>
  <c r="U540" i="8"/>
  <c r="Z540" i="8" s="1"/>
  <c r="R539" i="8"/>
  <c r="U539" i="8"/>
  <c r="Z539" i="8" s="1"/>
  <c r="R538" i="8"/>
  <c r="U538" i="8"/>
  <c r="Z538" i="8" s="1"/>
  <c r="R537" i="8"/>
  <c r="U537" i="8"/>
  <c r="Z537" i="8" s="1"/>
  <c r="R536" i="8"/>
  <c r="U536" i="8"/>
  <c r="Z536" i="8" s="1"/>
  <c r="R530" i="8"/>
  <c r="U530" i="8"/>
  <c r="Z530" i="8" s="1"/>
  <c r="R533" i="8"/>
  <c r="U533" i="8"/>
  <c r="Z533" i="8" s="1"/>
  <c r="R528" i="8"/>
  <c r="U528" i="8"/>
  <c r="Z528" i="8" s="1"/>
  <c r="R527" i="8"/>
  <c r="U527" i="8"/>
  <c r="Z527" i="8" s="1"/>
  <c r="R526" i="8"/>
  <c r="U526" i="8"/>
  <c r="Z526" i="8" s="1"/>
  <c r="R525" i="8"/>
  <c r="U525" i="8"/>
  <c r="Z525" i="8" s="1"/>
  <c r="R524" i="8"/>
  <c r="U524" i="8"/>
  <c r="Z524" i="8" s="1"/>
  <c r="R521" i="8"/>
  <c r="U521" i="8"/>
  <c r="Z521" i="8" s="1"/>
  <c r="R520" i="8"/>
  <c r="U520" i="8"/>
  <c r="Z520" i="8" s="1"/>
  <c r="R519" i="8"/>
  <c r="U519" i="8"/>
  <c r="Z519" i="8" s="1"/>
  <c r="R518" i="8"/>
  <c r="U518" i="8"/>
  <c r="Z518" i="8" s="1"/>
  <c r="R516" i="8"/>
  <c r="U516" i="8"/>
  <c r="Z516" i="8" s="1"/>
  <c r="R515" i="8"/>
  <c r="U515" i="8"/>
  <c r="Z515" i="8" s="1"/>
  <c r="R514" i="8"/>
  <c r="U514" i="8"/>
  <c r="Z514" i="8" s="1"/>
  <c r="R513" i="8"/>
  <c r="U513" i="8"/>
  <c r="Z513" i="8" s="1"/>
  <c r="R512" i="8"/>
  <c r="U512" i="8"/>
  <c r="Z512" i="8" s="1"/>
  <c r="R506" i="8"/>
  <c r="U506" i="8"/>
  <c r="Z506" i="8" s="1"/>
  <c r="R510" i="8"/>
  <c r="U510" i="8"/>
  <c r="Z510" i="8" s="1"/>
  <c r="R508" i="8"/>
  <c r="U508" i="8"/>
  <c r="Z508" i="8" s="1"/>
  <c r="R503" i="8"/>
  <c r="U503" i="8"/>
  <c r="Z503" i="8" s="1"/>
  <c r="R498" i="8"/>
  <c r="U498" i="8"/>
  <c r="Z498" i="8" s="1"/>
  <c r="R497" i="8"/>
  <c r="U497" i="8"/>
  <c r="Z497" i="8" s="1"/>
  <c r="R496" i="8"/>
  <c r="U496" i="8"/>
  <c r="Z496" i="8" s="1"/>
  <c r="R495" i="8"/>
  <c r="U495" i="8"/>
  <c r="Z495" i="8" s="1"/>
  <c r="R494" i="8"/>
  <c r="U494" i="8"/>
  <c r="Z494" i="8" s="1"/>
  <c r="R489" i="8"/>
  <c r="U489" i="8"/>
  <c r="Z489" i="8" s="1"/>
  <c r="R488" i="8"/>
  <c r="U488" i="8"/>
  <c r="Z488" i="8" s="1"/>
  <c r="R492" i="8"/>
  <c r="U492" i="8"/>
  <c r="Z492" i="8" s="1"/>
  <c r="R491" i="8"/>
  <c r="U491" i="8"/>
  <c r="Z491" i="8" s="1"/>
  <c r="R486" i="8"/>
  <c r="U486" i="8"/>
  <c r="Z486" i="8" s="1"/>
  <c r="R485" i="8"/>
  <c r="U485" i="8"/>
  <c r="Z485" i="8" s="1"/>
  <c r="R484" i="8"/>
  <c r="U484" i="8"/>
  <c r="Z484" i="8" s="1"/>
  <c r="R483" i="8"/>
  <c r="U483" i="8"/>
  <c r="Z483" i="8" s="1"/>
  <c r="R482" i="8"/>
  <c r="U482" i="8"/>
  <c r="Z482" i="8" s="1"/>
  <c r="R480" i="8"/>
  <c r="U480" i="8"/>
  <c r="R479" i="8"/>
  <c r="U479" i="8"/>
  <c r="Z479" i="8" s="1"/>
  <c r="R474" i="8"/>
  <c r="U474" i="8"/>
  <c r="Z474" i="8" s="1"/>
  <c r="R473" i="8"/>
  <c r="U473" i="8"/>
  <c r="Z473" i="8" s="1"/>
  <c r="R472" i="8"/>
  <c r="U472" i="8"/>
  <c r="Z472" i="8" s="1"/>
  <c r="R471" i="8"/>
  <c r="U471" i="8"/>
  <c r="Z471" i="8" s="1"/>
  <c r="R470" i="8"/>
  <c r="U470" i="8"/>
  <c r="Z470" i="8" s="1"/>
  <c r="R469" i="8"/>
  <c r="U469" i="8"/>
  <c r="Z469" i="8" s="1"/>
  <c r="R468" i="8"/>
  <c r="U468" i="8"/>
  <c r="Z468" i="8" s="1"/>
  <c r="R467" i="8"/>
  <c r="U467" i="8"/>
  <c r="Z467" i="8" s="1"/>
  <c r="R466" i="8"/>
  <c r="U466" i="8"/>
  <c r="Z466" i="8" s="1"/>
  <c r="R458" i="8"/>
  <c r="U458" i="8"/>
  <c r="Z458" i="8" s="1"/>
  <c r="R457" i="8"/>
  <c r="U457" i="8"/>
  <c r="Z457" i="8" s="1"/>
  <c r="R456" i="8"/>
  <c r="U456" i="8"/>
  <c r="Z456" i="8" s="1"/>
  <c r="R455" i="8"/>
  <c r="U455" i="8"/>
  <c r="Z455" i="8" s="1"/>
  <c r="R454" i="8"/>
  <c r="U454" i="8"/>
  <c r="Z454" i="8" s="1"/>
  <c r="R452" i="8"/>
  <c r="U452" i="8"/>
  <c r="Z452" i="8" s="1"/>
  <c r="R445" i="8"/>
  <c r="U445" i="8"/>
  <c r="Z445" i="8" s="1"/>
  <c r="R436" i="8"/>
  <c r="U436" i="8"/>
  <c r="Z436" i="8" s="1"/>
  <c r="R438" i="8"/>
  <c r="U438" i="8"/>
  <c r="Z438" i="8" s="1"/>
  <c r="R430" i="8"/>
  <c r="U430" i="8"/>
  <c r="Z430" i="8" s="1"/>
  <c r="R433" i="8"/>
  <c r="U433" i="8"/>
  <c r="Z433" i="8" s="1"/>
  <c r="R428" i="8"/>
  <c r="U428" i="8"/>
  <c r="Z428" i="8" s="1"/>
  <c r="R424" i="8"/>
  <c r="U424" i="8"/>
  <c r="Z424" i="8" s="1"/>
  <c r="R426" i="8"/>
  <c r="U426" i="8"/>
  <c r="Z426" i="8" s="1"/>
  <c r="R421" i="8"/>
  <c r="U421" i="8"/>
  <c r="Z421" i="8" s="1"/>
  <c r="R420" i="8"/>
  <c r="U420" i="8"/>
  <c r="Z420" i="8" s="1"/>
  <c r="R419" i="8"/>
  <c r="U419" i="8"/>
  <c r="Z419" i="8" s="1"/>
  <c r="R418" i="8"/>
  <c r="U418" i="8"/>
  <c r="Z418" i="8" s="1"/>
  <c r="R412" i="8"/>
  <c r="U412" i="8"/>
  <c r="Z412" i="8" s="1"/>
  <c r="R416" i="8"/>
  <c r="U416" i="8"/>
  <c r="Z416" i="8" s="1"/>
  <c r="R408" i="8"/>
  <c r="U408" i="8"/>
  <c r="Z408" i="8" s="1"/>
  <c r="R407" i="8"/>
  <c r="U407" i="8"/>
  <c r="Z407" i="8" s="1"/>
  <c r="R406" i="8"/>
  <c r="U406" i="8"/>
  <c r="Z406" i="8" s="1"/>
  <c r="R400" i="8"/>
  <c r="U400" i="8"/>
  <c r="Z400" i="8" s="1"/>
  <c r="R394" i="8"/>
  <c r="U394" i="8"/>
  <c r="Z394" i="8" s="1"/>
  <c r="R397" i="8"/>
  <c r="U397" i="8"/>
  <c r="Z397" i="8" s="1"/>
  <c r="R396" i="8"/>
  <c r="U396" i="8"/>
  <c r="Z396" i="8" s="1"/>
  <c r="R388" i="8"/>
  <c r="U388" i="8"/>
  <c r="Z388" i="8" s="1"/>
  <c r="R392" i="8"/>
  <c r="U392" i="8"/>
  <c r="Z392" i="8" s="1"/>
  <c r="R390" i="8"/>
  <c r="U390" i="8"/>
  <c r="Z390" i="8" s="1"/>
  <c r="R383" i="8"/>
  <c r="U383" i="8"/>
  <c r="Z383" i="8" s="1"/>
  <c r="R380" i="8"/>
  <c r="U380" i="8"/>
  <c r="Z380" i="8" s="1"/>
  <c r="R377" i="8"/>
  <c r="U377" i="8"/>
  <c r="Z377" i="8" s="1"/>
  <c r="R379" i="8"/>
  <c r="U379" i="8"/>
  <c r="Z379" i="8" s="1"/>
  <c r="R374" i="8"/>
  <c r="U374" i="8"/>
  <c r="Z374" i="8" s="1"/>
  <c r="R373" i="8"/>
  <c r="U373" i="8"/>
  <c r="Z373" i="8" s="1"/>
  <c r="R372" i="8"/>
  <c r="U372" i="8"/>
  <c r="Z372" i="8" s="1"/>
  <c r="R371" i="8"/>
  <c r="U371" i="8"/>
  <c r="Z371" i="8" s="1"/>
  <c r="R370" i="8"/>
  <c r="U370" i="8"/>
  <c r="Z370" i="8" s="1"/>
  <c r="R368" i="8"/>
  <c r="U368" i="8"/>
  <c r="Z368" i="8" s="1"/>
  <c r="R367" i="8"/>
  <c r="U367" i="8"/>
  <c r="Z367" i="8" s="1"/>
  <c r="R366" i="8"/>
  <c r="U366" i="8"/>
  <c r="Z366" i="8" s="1"/>
  <c r="R365" i="8"/>
  <c r="U365" i="8"/>
  <c r="Z365" i="8" s="1"/>
  <c r="R364" i="8"/>
  <c r="U364" i="8"/>
  <c r="Z364" i="8" s="1"/>
  <c r="R362" i="8"/>
  <c r="U362" i="8"/>
  <c r="Z362" i="8" s="1"/>
  <c r="R356" i="8"/>
  <c r="U356" i="8"/>
  <c r="Z356" i="8" s="1"/>
  <c r="R355" i="8"/>
  <c r="U355" i="8"/>
  <c r="Z355" i="8" s="1"/>
  <c r="R354" i="8"/>
  <c r="U354" i="8"/>
  <c r="Z354" i="8" s="1"/>
  <c r="R353" i="8"/>
  <c r="U353" i="8"/>
  <c r="Z353" i="8" s="1"/>
  <c r="R352" i="8"/>
  <c r="U352" i="8"/>
  <c r="Z352" i="8" s="1"/>
  <c r="R349" i="8"/>
  <c r="U349" i="8"/>
  <c r="Z349" i="8" s="1"/>
  <c r="R348" i="8"/>
  <c r="U348" i="8"/>
  <c r="Z348" i="8" s="1"/>
  <c r="R344" i="8"/>
  <c r="U344" i="8"/>
  <c r="Z344" i="8" s="1"/>
  <c r="R343" i="8"/>
  <c r="U343" i="8"/>
  <c r="Z343" i="8" s="1"/>
  <c r="R342" i="8"/>
  <c r="U342" i="8"/>
  <c r="Z342" i="8" s="1"/>
  <c r="R341" i="8"/>
  <c r="U341" i="8"/>
  <c r="Z341" i="8" s="1"/>
  <c r="R339" i="8"/>
  <c r="U339" i="8"/>
  <c r="Z339" i="8" s="1"/>
  <c r="R338" i="8"/>
  <c r="U338" i="8"/>
  <c r="Z338" i="8" s="1"/>
  <c r="R337" i="8"/>
  <c r="U337" i="8"/>
  <c r="Z337" i="8" s="1"/>
  <c r="R336" i="8"/>
  <c r="U336" i="8"/>
  <c r="Z336" i="8" s="1"/>
  <c r="R334" i="8"/>
  <c r="U334" i="8"/>
  <c r="Z334" i="8" s="1"/>
  <c r="R330" i="8"/>
  <c r="U330" i="8"/>
  <c r="Z330" i="8" s="1"/>
  <c r="R333" i="8"/>
  <c r="U333" i="8"/>
  <c r="Z333" i="8" s="1"/>
  <c r="R328" i="8"/>
  <c r="U328" i="8"/>
  <c r="Z328" i="8" s="1"/>
  <c r="R327" i="8"/>
  <c r="U327" i="8"/>
  <c r="Z327" i="8" s="1"/>
  <c r="R326" i="8"/>
  <c r="U326" i="8"/>
  <c r="Z326" i="8" s="1"/>
  <c r="R325" i="8"/>
  <c r="U325" i="8"/>
  <c r="Z325" i="8" s="1"/>
  <c r="R324" i="8"/>
  <c r="U324" i="8"/>
  <c r="Z324" i="8" s="1"/>
  <c r="R320" i="8"/>
  <c r="U320" i="8"/>
  <c r="Z320" i="8" s="1"/>
  <c r="R322" i="8"/>
  <c r="U322" i="8"/>
  <c r="Z322" i="8" s="1"/>
  <c r="R318" i="8"/>
  <c r="U318" i="8"/>
  <c r="Z318" i="8" s="1"/>
  <c r="R317" i="8"/>
  <c r="U317" i="8"/>
  <c r="Z317" i="8" s="1"/>
  <c r="R316" i="8"/>
  <c r="U316" i="8"/>
  <c r="Z316" i="8" s="1"/>
  <c r="R315" i="8"/>
  <c r="U315" i="8"/>
  <c r="Z315" i="8" s="1"/>
  <c r="R314" i="8"/>
  <c r="U314" i="8"/>
  <c r="Z314" i="8" s="1"/>
  <c r="R313" i="8"/>
  <c r="U313" i="8"/>
  <c r="Z313" i="8" s="1"/>
  <c r="R312" i="8"/>
  <c r="U312" i="8"/>
  <c r="Z312" i="8" s="1"/>
  <c r="R311" i="8"/>
  <c r="U311" i="8"/>
  <c r="Z311" i="8" s="1"/>
  <c r="R310" i="8"/>
  <c r="U310" i="8"/>
  <c r="Z310" i="8" s="1"/>
  <c r="R309" i="8"/>
  <c r="U309" i="8"/>
  <c r="Z309" i="8" s="1"/>
  <c r="R307" i="8"/>
  <c r="U307" i="8"/>
  <c r="Z307" i="8" s="1"/>
  <c r="R306" i="8"/>
  <c r="U306" i="8"/>
  <c r="Z306" i="8" s="1"/>
  <c r="R305" i="8"/>
  <c r="U305" i="8"/>
  <c r="Z305" i="8" s="1"/>
  <c r="R304" i="8"/>
  <c r="U304" i="8"/>
  <c r="Z304" i="8" s="1"/>
  <c r="R303" i="8"/>
  <c r="U303" i="8"/>
  <c r="Z303" i="8" s="1"/>
  <c r="R297" i="8"/>
  <c r="U297" i="8"/>
  <c r="Z297" i="8" s="1"/>
  <c r="R291" i="8"/>
  <c r="U291" i="8"/>
  <c r="Z291" i="8" s="1"/>
  <c r="R295" i="8"/>
  <c r="U295" i="8"/>
  <c r="Z295" i="8" s="1"/>
  <c r="R287" i="8"/>
  <c r="U287" i="8"/>
  <c r="Z287" i="8" s="1"/>
  <c r="R286" i="8"/>
  <c r="U286" i="8"/>
  <c r="Z286" i="8" s="1"/>
  <c r="R289" i="8"/>
  <c r="U289" i="8"/>
  <c r="Z289" i="8" s="1"/>
  <c r="R282" i="8"/>
  <c r="U282" i="8"/>
  <c r="Z282" i="8" s="1"/>
  <c r="R271" i="8"/>
  <c r="U271" i="8"/>
  <c r="Z271" i="8" s="1"/>
  <c r="R270" i="8"/>
  <c r="U270" i="8"/>
  <c r="Z270" i="8" s="1"/>
  <c r="R269" i="8"/>
  <c r="U269" i="8"/>
  <c r="Z269" i="8" s="1"/>
  <c r="R268" i="8"/>
  <c r="U268" i="8"/>
  <c r="Z268" i="8" s="1"/>
  <c r="R267" i="8"/>
  <c r="U267" i="8"/>
  <c r="Z267" i="8" s="1"/>
  <c r="R265" i="8"/>
  <c r="U265" i="8"/>
  <c r="Z265" i="8" s="1"/>
  <c r="R264" i="8"/>
  <c r="U264" i="8"/>
  <c r="Z264" i="8" s="1"/>
  <c r="R263" i="8"/>
  <c r="U263" i="8"/>
  <c r="Z263" i="8" s="1"/>
  <c r="R262" i="8"/>
  <c r="U262" i="8"/>
  <c r="Z262" i="8" s="1"/>
  <c r="R261" i="8"/>
  <c r="U261" i="8"/>
  <c r="Z261" i="8" s="1"/>
  <c r="R255" i="8"/>
  <c r="U255" i="8"/>
  <c r="Z255" i="8" s="1"/>
  <c r="R259" i="8"/>
  <c r="U259" i="8"/>
  <c r="Z259" i="8" s="1"/>
  <c r="R253" i="8"/>
  <c r="U253" i="8"/>
  <c r="Z253" i="8" s="1"/>
  <c r="R243" i="8"/>
  <c r="U243" i="8"/>
  <c r="Z243" i="8" s="1"/>
  <c r="R247" i="8"/>
  <c r="U247" i="8"/>
  <c r="Z247" i="8" s="1"/>
  <c r="R241" i="8"/>
  <c r="U241" i="8"/>
  <c r="Z241" i="8" s="1"/>
  <c r="R235" i="8"/>
  <c r="U235" i="8"/>
  <c r="Z235" i="8" s="1"/>
  <c r="R234" i="8"/>
  <c r="U234" i="8"/>
  <c r="Z234" i="8" s="1"/>
  <c r="R233" i="8"/>
  <c r="U233" i="8"/>
  <c r="Z233" i="8" s="1"/>
  <c r="R232" i="8"/>
  <c r="U232" i="8"/>
  <c r="Z232" i="8" s="1"/>
  <c r="R231" i="8"/>
  <c r="U231" i="8"/>
  <c r="Z231" i="8" s="1"/>
  <c r="R225" i="8"/>
  <c r="U225" i="8"/>
  <c r="Z225" i="8" s="1"/>
  <c r="R229" i="8"/>
  <c r="U229" i="8"/>
  <c r="Z229" i="8" s="1"/>
  <c r="R228" i="8"/>
  <c r="U228" i="8"/>
  <c r="Z228" i="8" s="1"/>
  <c r="R223" i="8"/>
  <c r="U223" i="8"/>
  <c r="Z223" i="8" s="1"/>
  <c r="R222" i="8"/>
  <c r="U222" i="8"/>
  <c r="Z222" i="8" s="1"/>
  <c r="R220" i="8"/>
  <c r="U220" i="8"/>
  <c r="Z220" i="8" s="1"/>
  <c r="R217" i="8"/>
  <c r="U217" i="8"/>
  <c r="Z217" i="8" s="1"/>
  <c r="R216" i="8"/>
  <c r="U216" i="8"/>
  <c r="Z216" i="8" s="1"/>
  <c r="R215" i="8"/>
  <c r="U215" i="8"/>
  <c r="Z215" i="8" s="1"/>
  <c r="R214" i="8"/>
  <c r="U214" i="8"/>
  <c r="Z214" i="8" s="1"/>
  <c r="R213" i="8"/>
  <c r="U213" i="8"/>
  <c r="Z213" i="8" s="1"/>
  <c r="R211" i="8"/>
  <c r="U211" i="8"/>
  <c r="Z211" i="8" s="1"/>
  <c r="R210" i="8"/>
  <c r="U210" i="8"/>
  <c r="Z210" i="8" s="1"/>
  <c r="R209" i="8"/>
  <c r="U209" i="8"/>
  <c r="Z209" i="8" s="1"/>
  <c r="R208" i="8"/>
  <c r="U208" i="8"/>
  <c r="Z208" i="8" s="1"/>
  <c r="R207" i="8"/>
  <c r="U207" i="8"/>
  <c r="Z207" i="8" s="1"/>
  <c r="R205" i="8"/>
  <c r="U205" i="8"/>
  <c r="Z205" i="8" s="1"/>
  <c r="R201" i="8"/>
  <c r="U201" i="8"/>
  <c r="Z201" i="8" s="1"/>
  <c r="R204" i="8"/>
  <c r="U204" i="8"/>
  <c r="Z204" i="8" s="1"/>
  <c r="R195" i="8"/>
  <c r="U195" i="8"/>
  <c r="Z195" i="8" s="1"/>
  <c r="R189" i="8"/>
  <c r="U189" i="8"/>
  <c r="Z189" i="8" s="1"/>
  <c r="R181" i="8"/>
  <c r="U181" i="8"/>
  <c r="Z181" i="8" s="1"/>
  <c r="R180" i="8"/>
  <c r="U180" i="8"/>
  <c r="Z180" i="8" s="1"/>
  <c r="R177" i="8"/>
  <c r="U177" i="8"/>
  <c r="Z177" i="8" s="1"/>
  <c r="R179" i="8"/>
  <c r="U179" i="8"/>
  <c r="Z179" i="8" s="1"/>
  <c r="R175" i="8"/>
  <c r="U175" i="8"/>
  <c r="Z175" i="8" s="1"/>
  <c r="R174" i="8"/>
  <c r="U174" i="8"/>
  <c r="Z174" i="8" s="1"/>
  <c r="R173" i="8"/>
  <c r="U173" i="8"/>
  <c r="Z173" i="8" s="1"/>
  <c r="R172" i="8"/>
  <c r="U172" i="8"/>
  <c r="Z172" i="8" s="1"/>
  <c r="R171" i="8"/>
  <c r="U171" i="8"/>
  <c r="Z171" i="8" s="1"/>
  <c r="R169" i="8"/>
  <c r="U169" i="8"/>
  <c r="Z169" i="8" s="1"/>
  <c r="R168" i="8"/>
  <c r="U168" i="8"/>
  <c r="Z168" i="8" s="1"/>
  <c r="R167" i="8"/>
  <c r="U167" i="8"/>
  <c r="Z167" i="8" s="1"/>
  <c r="R166" i="8"/>
  <c r="U166" i="8"/>
  <c r="Z166" i="8" s="1"/>
  <c r="R165" i="8"/>
  <c r="U165" i="8"/>
  <c r="Z165" i="8" s="1"/>
  <c r="R163" i="8"/>
  <c r="U163" i="8"/>
  <c r="Z163" i="8" s="1"/>
  <c r="R159" i="8"/>
  <c r="U159" i="8"/>
  <c r="Z159" i="8" s="1"/>
  <c r="R162" i="8"/>
  <c r="U162" i="8"/>
  <c r="Z162" i="8" s="1"/>
  <c r="R161" i="8"/>
  <c r="U161" i="8"/>
  <c r="Z161" i="8" s="1"/>
  <c r="R157" i="8"/>
  <c r="U157" i="8"/>
  <c r="Z157" i="8" s="1"/>
  <c r="R153" i="8"/>
  <c r="U153" i="8"/>
  <c r="Z153" i="8" s="1"/>
  <c r="R156" i="8"/>
  <c r="U156" i="8"/>
  <c r="Z156" i="8" s="1"/>
  <c r="R151" i="8"/>
  <c r="U151" i="8"/>
  <c r="Z151" i="8" s="1"/>
  <c r="R147" i="8"/>
  <c r="U147" i="8"/>
  <c r="Z147" i="8" s="1"/>
  <c r="R150" i="8"/>
  <c r="U150" i="8"/>
  <c r="Z150" i="8" s="1"/>
  <c r="R149" i="8"/>
  <c r="U149" i="8"/>
  <c r="Z149" i="8" s="1"/>
  <c r="R143" i="8"/>
  <c r="U143" i="8"/>
  <c r="Z143" i="8" s="1"/>
  <c r="R142" i="8"/>
  <c r="U142" i="8"/>
  <c r="Z142" i="8" s="1"/>
  <c r="R141" i="8"/>
  <c r="U141" i="8"/>
  <c r="Z141" i="8" s="1"/>
  <c r="R139" i="8"/>
  <c r="U139" i="8"/>
  <c r="Z139" i="8" s="1"/>
  <c r="R138" i="8"/>
  <c r="U138" i="8"/>
  <c r="Z138" i="8" s="1"/>
  <c r="R137" i="8"/>
  <c r="U137" i="8"/>
  <c r="Z137" i="8" s="1"/>
  <c r="R136" i="8"/>
  <c r="U136" i="8"/>
  <c r="Z136" i="8" s="1"/>
  <c r="R135" i="8"/>
  <c r="U135" i="8"/>
  <c r="Z135" i="8" s="1"/>
  <c r="R130" i="8"/>
  <c r="U130" i="8"/>
  <c r="Z130" i="8" s="1"/>
  <c r="R129" i="8"/>
  <c r="U129" i="8"/>
  <c r="Z129" i="8" s="1"/>
  <c r="R127" i="8"/>
  <c r="U127" i="8"/>
  <c r="Z127" i="8" s="1"/>
  <c r="R126" i="8"/>
  <c r="U126" i="8"/>
  <c r="Z126" i="8" s="1"/>
  <c r="R125" i="8"/>
  <c r="U125" i="8"/>
  <c r="Z125" i="8" s="1"/>
  <c r="R124" i="8"/>
  <c r="U124" i="8"/>
  <c r="Z124" i="8" s="1"/>
  <c r="R123" i="8"/>
  <c r="U123" i="8"/>
  <c r="Z123" i="8" s="1"/>
  <c r="R121" i="8"/>
  <c r="U121" i="8"/>
  <c r="Z121" i="8" s="1"/>
  <c r="R120" i="8"/>
  <c r="U120" i="8"/>
  <c r="Z120" i="8" s="1"/>
  <c r="R119" i="8"/>
  <c r="U119" i="8"/>
  <c r="Z119" i="8" s="1"/>
  <c r="R118" i="8"/>
  <c r="U118" i="8"/>
  <c r="Z118" i="8" s="1"/>
  <c r="R117" i="8"/>
  <c r="U117" i="8"/>
  <c r="Z117" i="8" s="1"/>
  <c r="R115" i="8"/>
  <c r="U115" i="8"/>
  <c r="Z115" i="8" s="1"/>
  <c r="R105" i="8"/>
  <c r="U105" i="8"/>
  <c r="Z105" i="8" s="1"/>
  <c r="R109" i="8"/>
  <c r="U109" i="8"/>
  <c r="Z109" i="8" s="1"/>
  <c r="R103" i="8"/>
  <c r="U103" i="8"/>
  <c r="Z103" i="8" s="1"/>
  <c r="R102" i="8"/>
  <c r="U102" i="8"/>
  <c r="Z102" i="8" s="1"/>
  <c r="R101" i="8"/>
  <c r="U101" i="8"/>
  <c r="Z101" i="8" s="1"/>
  <c r="R100" i="8"/>
  <c r="U100" i="8"/>
  <c r="Z100" i="8" s="1"/>
  <c r="R99" i="8"/>
  <c r="U99" i="8"/>
  <c r="Z99" i="8" s="1"/>
  <c r="R91" i="8"/>
  <c r="U91" i="8"/>
  <c r="Z91" i="8" s="1"/>
  <c r="R85" i="8"/>
  <c r="U85" i="8"/>
  <c r="Z85" i="8" s="1"/>
  <c r="R84" i="8"/>
  <c r="U84" i="8"/>
  <c r="Z84" i="8" s="1"/>
  <c r="R83" i="8"/>
  <c r="U83" i="8"/>
  <c r="Z83" i="8" s="1"/>
  <c r="R82" i="8"/>
  <c r="U82" i="8"/>
  <c r="Z82" i="8" s="1"/>
  <c r="R81" i="8"/>
  <c r="U81" i="8"/>
  <c r="Z81" i="8" s="1"/>
  <c r="R79" i="8"/>
  <c r="U79" i="8"/>
  <c r="Z79" i="8" s="1"/>
  <c r="R78" i="8"/>
  <c r="U78" i="8"/>
  <c r="Z78" i="8" s="1"/>
  <c r="R77" i="8"/>
  <c r="U77" i="8"/>
  <c r="Z77" i="8" s="1"/>
  <c r="R76" i="8"/>
  <c r="U76" i="8"/>
  <c r="Z76" i="8" s="1"/>
  <c r="R75" i="8"/>
  <c r="U75" i="8"/>
  <c r="Z75" i="8" s="1"/>
  <c r="R73" i="8"/>
  <c r="U73" i="8"/>
  <c r="Z73" i="8" s="1"/>
  <c r="R72" i="8"/>
  <c r="U72" i="8"/>
  <c r="Z72" i="8" s="1"/>
  <c r="R71" i="8"/>
  <c r="U71" i="8"/>
  <c r="Z71" i="8" s="1"/>
  <c r="R67" i="8"/>
  <c r="U67" i="8"/>
  <c r="Z67" i="8" s="1"/>
  <c r="R57" i="8"/>
  <c r="U57" i="8"/>
  <c r="Z57" i="8" s="1"/>
  <c r="R52" i="8"/>
  <c r="U52" i="8"/>
  <c r="Z52" i="8" s="1"/>
  <c r="R55" i="8"/>
  <c r="U55" i="8"/>
  <c r="Z55" i="8" s="1"/>
  <c r="R51" i="8"/>
  <c r="U51" i="8"/>
  <c r="Z51" i="8" s="1"/>
  <c r="R45" i="8"/>
  <c r="U45" i="8"/>
  <c r="Z45" i="8" s="1"/>
  <c r="R49" i="8"/>
  <c r="U49" i="8"/>
  <c r="Z49" i="8" s="1"/>
  <c r="R48" i="8"/>
  <c r="U48" i="8"/>
  <c r="Z48" i="8" s="1"/>
  <c r="R43" i="8"/>
  <c r="U43" i="8"/>
  <c r="Z43" i="8" s="1"/>
  <c r="R42" i="8"/>
  <c r="U42" i="8"/>
  <c r="Z42" i="8" s="1"/>
  <c r="R41" i="8"/>
  <c r="U41" i="8"/>
  <c r="Z41" i="8" s="1"/>
  <c r="R40" i="8"/>
  <c r="U40" i="8"/>
  <c r="Z40" i="8" s="1"/>
  <c r="R39" i="8"/>
  <c r="U39" i="8"/>
  <c r="Z39" i="8" s="1"/>
  <c r="R97" i="8"/>
  <c r="U97" i="8"/>
  <c r="Z97" i="8" s="1"/>
  <c r="R96" i="8"/>
  <c r="U96" i="8"/>
  <c r="Z96" i="8" s="1"/>
  <c r="R95" i="8"/>
  <c r="U95" i="8"/>
  <c r="Z95" i="8" s="1"/>
  <c r="R94" i="8"/>
  <c r="U94" i="8"/>
  <c r="Z94" i="8" s="1"/>
  <c r="R93" i="8"/>
  <c r="U93" i="8"/>
  <c r="Z93" i="8" s="1"/>
  <c r="R37" i="8"/>
  <c r="U37" i="8"/>
  <c r="Z37" i="8" s="1"/>
  <c r="R33" i="8"/>
  <c r="U33" i="8"/>
  <c r="Z33" i="8" s="1"/>
  <c r="R31" i="8"/>
  <c r="U31" i="8"/>
  <c r="Z31" i="8" s="1"/>
  <c r="R29" i="8"/>
  <c r="U29" i="8"/>
  <c r="Z29" i="8" s="1"/>
  <c r="R25" i="8"/>
  <c r="U25" i="8"/>
  <c r="Z25" i="8" s="1"/>
  <c r="R15" i="8"/>
  <c r="U15" i="8"/>
  <c r="Z15" i="8" s="1"/>
  <c r="R19" i="8"/>
  <c r="U19" i="8"/>
  <c r="R18" i="8"/>
  <c r="U18" i="8"/>
  <c r="Z18" i="8" s="1"/>
  <c r="R13" i="8"/>
  <c r="U13" i="8"/>
  <c r="Z13" i="8" s="1"/>
  <c r="R12" i="8"/>
  <c r="U12" i="8"/>
  <c r="Z12" i="8" s="1"/>
  <c r="R11" i="8"/>
  <c r="U11" i="8"/>
  <c r="Z11" i="8" s="1"/>
  <c r="R10" i="8"/>
  <c r="U10" i="8"/>
  <c r="Z10" i="8" s="1"/>
  <c r="R9" i="8"/>
  <c r="U9" i="8"/>
  <c r="Z9" i="8" s="1"/>
  <c r="R5" i="8"/>
  <c r="U5" i="8"/>
  <c r="Z5" i="8" s="1"/>
  <c r="R4" i="8"/>
  <c r="U4" i="8"/>
  <c r="Z4" i="8" s="1"/>
  <c r="D66" i="9"/>
  <c r="D67" i="9"/>
  <c r="D68" i="9"/>
  <c r="D69" i="9"/>
  <c r="D70" i="9"/>
  <c r="D71" i="9"/>
  <c r="D72" i="9"/>
  <c r="D73" i="9"/>
  <c r="D74" i="9"/>
  <c r="D75" i="9"/>
  <c r="D76" i="9"/>
  <c r="D77" i="9"/>
  <c r="D78" i="9"/>
  <c r="D79" i="9"/>
  <c r="D80" i="9"/>
  <c r="D81" i="9"/>
  <c r="D82" i="9"/>
  <c r="D83" i="9"/>
  <c r="D84" i="9"/>
  <c r="D65" i="9"/>
  <c r="J25" i="9"/>
  <c r="J26" i="9"/>
  <c r="J27" i="9"/>
  <c r="J28" i="9"/>
  <c r="J29" i="9"/>
  <c r="J30" i="9"/>
  <c r="J31" i="9"/>
  <c r="J32" i="9"/>
  <c r="J33" i="9"/>
  <c r="J34" i="9"/>
  <c r="J35" i="9"/>
  <c r="J36" i="9"/>
  <c r="J37" i="9"/>
  <c r="J38" i="9"/>
  <c r="J39" i="9"/>
  <c r="J40" i="9"/>
  <c r="J41" i="9"/>
  <c r="J42" i="9"/>
  <c r="J43" i="9"/>
  <c r="J24" i="9"/>
  <c r="M24" i="9"/>
  <c r="M25" i="9"/>
  <c r="M26" i="9"/>
  <c r="M27" i="9"/>
  <c r="M28" i="9"/>
  <c r="M29" i="9"/>
  <c r="M30" i="9"/>
  <c r="M31" i="9"/>
  <c r="M32" i="9"/>
  <c r="M33" i="9"/>
  <c r="M34" i="9"/>
  <c r="M35" i="9"/>
  <c r="M36" i="9"/>
  <c r="M37" i="9"/>
  <c r="M38" i="9"/>
  <c r="M39" i="9"/>
  <c r="M40" i="9"/>
  <c r="M41" i="9"/>
  <c r="M42" i="9"/>
  <c r="M43" i="9"/>
  <c r="D24" i="9"/>
  <c r="D25" i="9"/>
  <c r="D26" i="9"/>
  <c r="D27" i="9"/>
  <c r="D28" i="9"/>
  <c r="D29" i="9"/>
  <c r="D30" i="9"/>
  <c r="D31" i="9"/>
  <c r="D32" i="9"/>
  <c r="D33" i="9"/>
  <c r="D34" i="9"/>
  <c r="D35" i="9"/>
  <c r="D36" i="9"/>
  <c r="D37" i="9"/>
  <c r="D38" i="9"/>
  <c r="D39" i="9"/>
  <c r="D40" i="9"/>
  <c r="D41" i="9"/>
  <c r="D42" i="9"/>
  <c r="D43" i="9"/>
  <c r="J65" i="9"/>
  <c r="J66" i="9"/>
  <c r="J67" i="9"/>
  <c r="J68" i="9"/>
  <c r="J69" i="9"/>
  <c r="J70" i="9"/>
  <c r="J71" i="9"/>
  <c r="J72" i="9"/>
  <c r="J73" i="9"/>
  <c r="J74" i="9"/>
  <c r="J75" i="9"/>
  <c r="J76" i="9"/>
  <c r="J77" i="9"/>
  <c r="J78" i="9"/>
  <c r="J79" i="9"/>
  <c r="J80" i="9"/>
  <c r="J81" i="9"/>
  <c r="J82" i="9"/>
  <c r="J83" i="9"/>
  <c r="J84" i="9"/>
  <c r="G65" i="9"/>
  <c r="G66" i="9"/>
  <c r="G67" i="9"/>
  <c r="G68" i="9"/>
  <c r="G69" i="9"/>
  <c r="G70" i="9"/>
  <c r="G71" i="9"/>
  <c r="G72" i="9"/>
  <c r="G73" i="9"/>
  <c r="G74" i="9"/>
  <c r="G75" i="9"/>
  <c r="G76" i="9"/>
  <c r="G77" i="9"/>
  <c r="G78" i="9"/>
  <c r="G79" i="9"/>
  <c r="G80" i="9"/>
  <c r="G81" i="9"/>
  <c r="G82" i="9"/>
  <c r="G83" i="9"/>
  <c r="G84" i="9"/>
  <c r="R596" i="8"/>
  <c r="R597" i="8"/>
  <c r="R598" i="8"/>
  <c r="R599" i="8"/>
  <c r="R600" i="8"/>
  <c r="R590" i="8"/>
  <c r="R591" i="8"/>
  <c r="R592" i="8"/>
  <c r="R593" i="8"/>
  <c r="R594" i="8"/>
  <c r="R585" i="8"/>
  <c r="R586" i="8"/>
  <c r="R588" i="8"/>
  <c r="R580" i="8"/>
  <c r="R578" i="8"/>
  <c r="R567" i="8"/>
  <c r="R568" i="8"/>
  <c r="R564" i="8"/>
  <c r="R561" i="8"/>
  <c r="R562" i="8"/>
  <c r="R531" i="8"/>
  <c r="R532" i="8"/>
  <c r="R534" i="8"/>
  <c r="R522" i="8"/>
  <c r="R507" i="8"/>
  <c r="R509" i="8"/>
  <c r="R500" i="8"/>
  <c r="R501" i="8"/>
  <c r="R502" i="8"/>
  <c r="R504" i="8"/>
  <c r="R490" i="8"/>
  <c r="R476" i="8"/>
  <c r="R477" i="8"/>
  <c r="R478" i="8"/>
  <c r="R460" i="8"/>
  <c r="R461" i="8"/>
  <c r="R462" i="8"/>
  <c r="R463" i="8"/>
  <c r="R464" i="8"/>
  <c r="R448" i="8"/>
  <c r="R449" i="8"/>
  <c r="R450" i="8"/>
  <c r="R451" i="8"/>
  <c r="R442" i="8"/>
  <c r="R443" i="8"/>
  <c r="R444" i="8"/>
  <c r="R446" i="8"/>
  <c r="R437" i="8"/>
  <c r="R439" i="8"/>
  <c r="R440" i="8"/>
  <c r="R431" i="8"/>
  <c r="R434" i="8"/>
  <c r="R432" i="8"/>
  <c r="R425" i="8"/>
  <c r="R427" i="8"/>
  <c r="R422" i="8"/>
  <c r="R413" i="8"/>
  <c r="R414" i="8"/>
  <c r="R415" i="8"/>
  <c r="R409" i="8"/>
  <c r="R410" i="8"/>
  <c r="R401" i="8"/>
  <c r="R402" i="8"/>
  <c r="R403" i="8"/>
  <c r="R404" i="8"/>
  <c r="R395" i="8"/>
  <c r="R398" i="8"/>
  <c r="R389" i="8"/>
  <c r="R391" i="8"/>
  <c r="R382" i="8"/>
  <c r="R384" i="8"/>
  <c r="R385" i="8"/>
  <c r="R386" i="8"/>
  <c r="R376" i="8"/>
  <c r="R378" i="8"/>
  <c r="R358" i="8"/>
  <c r="R359" i="8"/>
  <c r="R360" i="8"/>
  <c r="R361" i="8"/>
  <c r="R346" i="8"/>
  <c r="R350" i="8"/>
  <c r="R347" i="8"/>
  <c r="R340" i="8"/>
  <c r="R331" i="8"/>
  <c r="R332" i="8"/>
  <c r="R321" i="8"/>
  <c r="R323" i="8"/>
  <c r="R298" i="8"/>
  <c r="R299" i="8"/>
  <c r="R300" i="8"/>
  <c r="R301" i="8"/>
  <c r="R292" i="8"/>
  <c r="R293" i="8"/>
  <c r="R294" i="8"/>
  <c r="R285" i="8"/>
  <c r="R288" i="8"/>
  <c r="R279" i="8"/>
  <c r="R280" i="8"/>
  <c r="R281" i="8"/>
  <c r="R283" i="8"/>
  <c r="R273" i="8"/>
  <c r="R274" i="8"/>
  <c r="R275" i="8"/>
  <c r="R276" i="8"/>
  <c r="R277" i="8"/>
  <c r="R256" i="8"/>
  <c r="R257" i="8"/>
  <c r="R258" i="8"/>
  <c r="R249" i="8"/>
  <c r="R250" i="8"/>
  <c r="R251" i="8"/>
  <c r="R252" i="8"/>
  <c r="R244" i="8"/>
  <c r="R245" i="8"/>
  <c r="R246" i="8"/>
  <c r="R237" i="8"/>
  <c r="R238" i="8"/>
  <c r="R239" i="8"/>
  <c r="R240" i="8"/>
  <c r="R226" i="8"/>
  <c r="R227" i="8"/>
  <c r="R219" i="8"/>
  <c r="R221" i="8"/>
  <c r="R202" i="8"/>
  <c r="R203" i="8"/>
  <c r="R196" i="8"/>
  <c r="R197" i="8"/>
  <c r="R198" i="8"/>
  <c r="R199" i="8"/>
  <c r="R190" i="8"/>
  <c r="R191" i="8"/>
  <c r="R192" i="8"/>
  <c r="R193" i="8"/>
  <c r="R183" i="8"/>
  <c r="R184" i="8"/>
  <c r="R185" i="8"/>
  <c r="R186" i="8"/>
  <c r="R187" i="8"/>
  <c r="R178" i="8"/>
  <c r="R160" i="8"/>
  <c r="R154" i="8"/>
  <c r="R155" i="8"/>
  <c r="R148" i="8"/>
  <c r="R144" i="8"/>
  <c r="R145" i="8"/>
  <c r="R131" i="8"/>
  <c r="R132" i="8"/>
  <c r="R133" i="8"/>
  <c r="R111" i="8"/>
  <c r="R112" i="8"/>
  <c r="R113" i="8"/>
  <c r="R114" i="8"/>
  <c r="R106" i="8"/>
  <c r="R107" i="8"/>
  <c r="R108" i="8"/>
  <c r="R87" i="8"/>
  <c r="R88" i="8"/>
  <c r="R89" i="8"/>
  <c r="R90" i="8"/>
  <c r="R69" i="8"/>
  <c r="R70" i="8"/>
  <c r="R63" i="8"/>
  <c r="R64" i="8"/>
  <c r="R65" i="8"/>
  <c r="R66" i="8"/>
  <c r="R58" i="8"/>
  <c r="R59" i="8"/>
  <c r="R60" i="8"/>
  <c r="R61" i="8"/>
  <c r="R53" i="8"/>
  <c r="R54" i="8"/>
  <c r="R46" i="8"/>
  <c r="R47" i="8"/>
  <c r="R34" i="8"/>
  <c r="R35" i="8"/>
  <c r="R36" i="8"/>
  <c r="R27" i="8"/>
  <c r="R28" i="8"/>
  <c r="R30" i="8"/>
  <c r="R21" i="8"/>
  <c r="R22" i="8"/>
  <c r="R23" i="8"/>
  <c r="R24" i="8"/>
  <c r="R16" i="8"/>
  <c r="R17" i="8"/>
  <c r="R6" i="8"/>
  <c r="R7" i="8"/>
  <c r="R3" i="8"/>
  <c r="V612" i="8"/>
  <c r="V611" i="8"/>
  <c r="V610" i="8"/>
  <c r="V609" i="8"/>
  <c r="V608" i="8"/>
  <c r="V607" i="8"/>
  <c r="V606" i="8"/>
  <c r="V605" i="8"/>
  <c r="V604" i="8"/>
  <c r="V603" i="8"/>
  <c r="V602" i="8"/>
  <c r="V584" i="8"/>
  <c r="V587" i="8"/>
  <c r="V582" i="8"/>
  <c r="V579" i="8"/>
  <c r="V581" i="8"/>
  <c r="V576" i="8"/>
  <c r="V575" i="8"/>
  <c r="V574" i="8"/>
  <c r="V573" i="8"/>
  <c r="V572" i="8"/>
  <c r="V566" i="8"/>
  <c r="V570" i="8"/>
  <c r="V569" i="8"/>
  <c r="V560" i="8"/>
  <c r="V563" i="8"/>
  <c r="V558" i="8"/>
  <c r="V557" i="8"/>
  <c r="V556" i="8"/>
  <c r="V555" i="8"/>
  <c r="V554" i="8"/>
  <c r="V552" i="8"/>
  <c r="V551" i="8"/>
  <c r="V550" i="8"/>
  <c r="V549" i="8"/>
  <c r="V548" i="8"/>
  <c r="V546" i="8"/>
  <c r="V545" i="8"/>
  <c r="V544" i="8"/>
  <c r="V543" i="8"/>
  <c r="V542" i="8"/>
  <c r="V540" i="8"/>
  <c r="V539" i="8"/>
  <c r="V538" i="8"/>
  <c r="V537" i="8"/>
  <c r="V536" i="8"/>
  <c r="V530" i="8"/>
  <c r="V533" i="8"/>
  <c r="V528" i="8"/>
  <c r="V527" i="8"/>
  <c r="V526" i="8"/>
  <c r="V525" i="8"/>
  <c r="V524" i="8"/>
  <c r="V521" i="8"/>
  <c r="V520" i="8"/>
  <c r="V519" i="8"/>
  <c r="V518" i="8"/>
  <c r="V516" i="8"/>
  <c r="V515" i="8"/>
  <c r="V514" i="8"/>
  <c r="V513" i="8"/>
  <c r="V512" i="8"/>
  <c r="V506" i="8"/>
  <c r="V510" i="8"/>
  <c r="V508" i="8"/>
  <c r="V503" i="8"/>
  <c r="V498" i="8"/>
  <c r="V497" i="8"/>
  <c r="V496" i="8"/>
  <c r="V495" i="8"/>
  <c r="V494" i="8"/>
  <c r="V489" i="8"/>
  <c r="V488" i="8"/>
  <c r="V492" i="8"/>
  <c r="V491" i="8"/>
  <c r="V486" i="8"/>
  <c r="V485" i="8"/>
  <c r="V484" i="8"/>
  <c r="V483" i="8"/>
  <c r="V482" i="8"/>
  <c r="V480" i="8"/>
  <c r="V479" i="8"/>
  <c r="V474" i="8"/>
  <c r="V473" i="8"/>
  <c r="V472" i="8"/>
  <c r="V471" i="8"/>
  <c r="V470" i="8"/>
  <c r="V469" i="8"/>
  <c r="V468" i="8"/>
  <c r="V467" i="8"/>
  <c r="V466" i="8"/>
  <c r="V458" i="8"/>
  <c r="V457" i="8"/>
  <c r="V456" i="8"/>
  <c r="V455" i="8"/>
  <c r="V454" i="8"/>
  <c r="V452" i="8"/>
  <c r="V445" i="8"/>
  <c r="V436" i="8"/>
  <c r="V438" i="8"/>
  <c r="V430" i="8"/>
  <c r="V433" i="8"/>
  <c r="V428" i="8"/>
  <c r="V424" i="8"/>
  <c r="V426" i="8"/>
  <c r="V421" i="8"/>
  <c r="V420" i="8"/>
  <c r="V419" i="8"/>
  <c r="V418" i="8"/>
  <c r="V412" i="8"/>
  <c r="V416" i="8"/>
  <c r="V408" i="8"/>
  <c r="V407" i="8"/>
  <c r="V406" i="8"/>
  <c r="V400" i="8"/>
  <c r="V394" i="8"/>
  <c r="V397" i="8"/>
  <c r="V396" i="8"/>
  <c r="V388" i="8"/>
  <c r="V392" i="8"/>
  <c r="V390" i="8"/>
  <c r="V383" i="8"/>
  <c r="V380" i="8"/>
  <c r="V377" i="8"/>
  <c r="V379" i="8"/>
  <c r="V374" i="8"/>
  <c r="V373" i="8"/>
  <c r="V372" i="8"/>
  <c r="V371" i="8"/>
  <c r="V370" i="8"/>
  <c r="V368" i="8"/>
  <c r="V367" i="8"/>
  <c r="V366" i="8"/>
  <c r="V365" i="8"/>
  <c r="V364" i="8"/>
  <c r="V362" i="8"/>
  <c r="V356" i="8"/>
  <c r="V355" i="8"/>
  <c r="V354" i="8"/>
  <c r="V353" i="8"/>
  <c r="V352" i="8"/>
  <c r="V349" i="8"/>
  <c r="V348" i="8"/>
  <c r="V344" i="8"/>
  <c r="V343" i="8"/>
  <c r="V342" i="8"/>
  <c r="V341" i="8"/>
  <c r="V339" i="8"/>
  <c r="V338" i="8"/>
  <c r="V337" i="8"/>
  <c r="V336" i="8"/>
  <c r="V334" i="8"/>
  <c r="V330" i="8"/>
  <c r="V333" i="8"/>
  <c r="V328" i="8"/>
  <c r="V327" i="8"/>
  <c r="V326" i="8"/>
  <c r="V325" i="8"/>
  <c r="V324" i="8"/>
  <c r="V320" i="8"/>
  <c r="V322" i="8"/>
  <c r="V318" i="8"/>
  <c r="V317" i="8"/>
  <c r="V316" i="8"/>
  <c r="V315" i="8"/>
  <c r="V314" i="8"/>
  <c r="V313" i="8"/>
  <c r="V312" i="8"/>
  <c r="V311" i="8"/>
  <c r="V310" i="8"/>
  <c r="V309" i="8"/>
  <c r="V307" i="8"/>
  <c r="V306" i="8"/>
  <c r="V305" i="8"/>
  <c r="V304" i="8"/>
  <c r="V303" i="8"/>
  <c r="V297" i="8"/>
  <c r="V291" i="8"/>
  <c r="V295" i="8"/>
  <c r="V287" i="8"/>
  <c r="V286" i="8"/>
  <c r="V289" i="8"/>
  <c r="V282" i="8"/>
  <c r="V271" i="8"/>
  <c r="V270" i="8"/>
  <c r="V269" i="8"/>
  <c r="V268" i="8"/>
  <c r="V267" i="8"/>
  <c r="V265" i="8"/>
  <c r="V264" i="8"/>
  <c r="V263" i="8"/>
  <c r="V262" i="8"/>
  <c r="V261" i="8"/>
  <c r="V255" i="8"/>
  <c r="V259" i="8"/>
  <c r="V253" i="8"/>
  <c r="V243" i="8"/>
  <c r="V247" i="8"/>
  <c r="V241" i="8"/>
  <c r="V235" i="8"/>
  <c r="V234" i="8"/>
  <c r="V233" i="8"/>
  <c r="V232" i="8"/>
  <c r="V231" i="8"/>
  <c r="V225" i="8"/>
  <c r="V229" i="8"/>
  <c r="V228" i="8"/>
  <c r="V223" i="8"/>
  <c r="V222" i="8"/>
  <c r="V220" i="8"/>
  <c r="V217" i="8"/>
  <c r="V216" i="8"/>
  <c r="V215" i="8"/>
  <c r="V214" i="8"/>
  <c r="V213" i="8"/>
  <c r="V211" i="8"/>
  <c r="V210" i="8"/>
  <c r="V209" i="8"/>
  <c r="V208" i="8"/>
  <c r="V207" i="8"/>
  <c r="V205" i="8"/>
  <c r="V201" i="8"/>
  <c r="V204" i="8"/>
  <c r="V195" i="8"/>
  <c r="V189" i="8"/>
  <c r="V181" i="8"/>
  <c r="V180" i="8"/>
  <c r="V177" i="8"/>
  <c r="V179" i="8"/>
  <c r="V175" i="8"/>
  <c r="V174" i="8"/>
  <c r="V173" i="8"/>
  <c r="V172" i="8"/>
  <c r="V171" i="8"/>
  <c r="V169" i="8"/>
  <c r="V168" i="8"/>
  <c r="V167" i="8"/>
  <c r="V166" i="8"/>
  <c r="V165" i="8"/>
  <c r="V163" i="8"/>
  <c r="V159" i="8"/>
  <c r="V162" i="8"/>
  <c r="V161" i="8"/>
  <c r="V157" i="8"/>
  <c r="V153" i="8"/>
  <c r="V156" i="8"/>
  <c r="V151" i="8"/>
  <c r="V147" i="8"/>
  <c r="V150" i="8"/>
  <c r="V149" i="8"/>
  <c r="V143" i="8"/>
  <c r="V142" i="8"/>
  <c r="V141" i="8"/>
  <c r="V139" i="8"/>
  <c r="V138" i="8"/>
  <c r="V137" i="8"/>
  <c r="V136" i="8"/>
  <c r="V135" i="8"/>
  <c r="V130" i="8"/>
  <c r="V129" i="8"/>
  <c r="V127" i="8"/>
  <c r="V126" i="8"/>
  <c r="V125" i="8"/>
  <c r="V124" i="8"/>
  <c r="V123" i="8"/>
  <c r="V121" i="8"/>
  <c r="V120" i="8"/>
  <c r="V119" i="8"/>
  <c r="V118" i="8"/>
  <c r="V117" i="8"/>
  <c r="V115" i="8"/>
  <c r="V105" i="8"/>
  <c r="V109" i="8"/>
  <c r="V103" i="8"/>
  <c r="V102" i="8"/>
  <c r="V101" i="8"/>
  <c r="V100" i="8"/>
  <c r="V99" i="8"/>
  <c r="V91" i="8"/>
  <c r="V85" i="8"/>
  <c r="V84" i="8"/>
  <c r="V83" i="8"/>
  <c r="V82" i="8"/>
  <c r="V81" i="8"/>
  <c r="V79" i="8"/>
  <c r="V78" i="8"/>
  <c r="V77" i="8"/>
  <c r="V76" i="8"/>
  <c r="V75" i="8"/>
  <c r="V73" i="8"/>
  <c r="V72" i="8"/>
  <c r="V71" i="8"/>
  <c r="V67" i="8"/>
  <c r="V57" i="8"/>
  <c r="V52" i="8"/>
  <c r="V55" i="8"/>
  <c r="V51" i="8"/>
  <c r="V45" i="8"/>
  <c r="V49" i="8"/>
  <c r="V48" i="8"/>
  <c r="V43" i="8"/>
  <c r="V42" i="8"/>
  <c r="V41" i="8"/>
  <c r="V40" i="8"/>
  <c r="V39" i="8"/>
  <c r="V97" i="8"/>
  <c r="V96" i="8"/>
  <c r="V95" i="8"/>
  <c r="V94" i="8"/>
  <c r="V93" i="8"/>
  <c r="V37" i="8"/>
  <c r="V33" i="8"/>
  <c r="V31" i="8"/>
  <c r="V29" i="8"/>
  <c r="V25" i="8"/>
  <c r="V15" i="8"/>
  <c r="V19" i="8"/>
  <c r="V18" i="8"/>
  <c r="V13" i="8"/>
  <c r="V12" i="8"/>
  <c r="V11" i="8"/>
  <c r="V10" i="8"/>
  <c r="V9" i="8"/>
  <c r="V596" i="8"/>
  <c r="V597" i="8"/>
  <c r="V598" i="8"/>
  <c r="V599" i="8"/>
  <c r="V600" i="8"/>
  <c r="V590" i="8"/>
  <c r="V591" i="8"/>
  <c r="V592" i="8"/>
  <c r="V593" i="8"/>
  <c r="V594" i="8"/>
  <c r="V585" i="8"/>
  <c r="V586" i="8"/>
  <c r="V588" i="8"/>
  <c r="V580" i="8"/>
  <c r="V578" i="8"/>
  <c r="V567" i="8"/>
  <c r="V568" i="8"/>
  <c r="V564" i="8"/>
  <c r="V561" i="8"/>
  <c r="V562" i="8"/>
  <c r="V531" i="8"/>
  <c r="V532" i="8"/>
  <c r="V534" i="8"/>
  <c r="V522" i="8"/>
  <c r="V507" i="8"/>
  <c r="V509" i="8"/>
  <c r="V500" i="8"/>
  <c r="V501" i="8"/>
  <c r="V502" i="8"/>
  <c r="V504" i="8"/>
  <c r="V490" i="8"/>
  <c r="V476" i="8"/>
  <c r="V477" i="8"/>
  <c r="V478" i="8"/>
  <c r="V460" i="8"/>
  <c r="V461" i="8"/>
  <c r="V462" i="8"/>
  <c r="V463" i="8"/>
  <c r="V464" i="8"/>
  <c r="V448" i="8"/>
  <c r="V449" i="8"/>
  <c r="V450" i="8"/>
  <c r="V451" i="8"/>
  <c r="V442" i="8"/>
  <c r="V443" i="8"/>
  <c r="V444" i="8"/>
  <c r="V446" i="8"/>
  <c r="V437" i="8"/>
  <c r="V439" i="8"/>
  <c r="V440" i="8"/>
  <c r="V431" i="8"/>
  <c r="V434" i="8"/>
  <c r="V432" i="8"/>
  <c r="V425" i="8"/>
  <c r="V427" i="8"/>
  <c r="V422" i="8"/>
  <c r="V413" i="8"/>
  <c r="V414" i="8"/>
  <c r="V415" i="8"/>
  <c r="V409" i="8"/>
  <c r="V410" i="8"/>
  <c r="V401" i="8"/>
  <c r="V402" i="8"/>
  <c r="V403" i="8"/>
  <c r="V404" i="8"/>
  <c r="V395" i="8"/>
  <c r="V398" i="8"/>
  <c r="V389" i="8"/>
  <c r="V391" i="8"/>
  <c r="V382" i="8"/>
  <c r="V384" i="8"/>
  <c r="V385" i="8"/>
  <c r="V386" i="8"/>
  <c r="V376" i="8"/>
  <c r="V378" i="8"/>
  <c r="V358" i="8"/>
  <c r="V359" i="8"/>
  <c r="V360" i="8"/>
  <c r="V361" i="8"/>
  <c r="V346" i="8"/>
  <c r="V350" i="8"/>
  <c r="V347" i="8"/>
  <c r="V340" i="8"/>
  <c r="V331" i="8"/>
  <c r="V332" i="8"/>
  <c r="V321" i="8"/>
  <c r="V323" i="8"/>
  <c r="V298" i="8"/>
  <c r="V299" i="8"/>
  <c r="V300" i="8"/>
  <c r="V301" i="8"/>
  <c r="V292" i="8"/>
  <c r="V293" i="8"/>
  <c r="V294" i="8"/>
  <c r="V285" i="8"/>
  <c r="V288" i="8"/>
  <c r="V279" i="8"/>
  <c r="V280" i="8"/>
  <c r="V281" i="8"/>
  <c r="V283" i="8"/>
  <c r="V273" i="8"/>
  <c r="V274" i="8"/>
  <c r="V275" i="8"/>
  <c r="V276" i="8"/>
  <c r="V277" i="8"/>
  <c r="V256" i="8"/>
  <c r="V257" i="8"/>
  <c r="V258" i="8"/>
  <c r="V249" i="8"/>
  <c r="V250" i="8"/>
  <c r="V251" i="8"/>
  <c r="V252" i="8"/>
  <c r="V244" i="8"/>
  <c r="V245" i="8"/>
  <c r="V246" i="8"/>
  <c r="V237" i="8"/>
  <c r="V238" i="8"/>
  <c r="V239" i="8"/>
  <c r="V240" i="8"/>
  <c r="V226" i="8"/>
  <c r="V227" i="8"/>
  <c r="V219" i="8"/>
  <c r="V221" i="8"/>
  <c r="V202" i="8"/>
  <c r="V203" i="8"/>
  <c r="V196" i="8"/>
  <c r="V197" i="8"/>
  <c r="V198" i="8"/>
  <c r="V199" i="8"/>
  <c r="V190" i="8"/>
  <c r="V191" i="8"/>
  <c r="V192" i="8"/>
  <c r="V193" i="8"/>
  <c r="V183" i="8"/>
  <c r="V184" i="8"/>
  <c r="V185" i="8"/>
  <c r="V186" i="8"/>
  <c r="V187" i="8"/>
  <c r="V178" i="8"/>
  <c r="V160" i="8"/>
  <c r="V154" i="8"/>
  <c r="V155" i="8"/>
  <c r="V148" i="8"/>
  <c r="V144" i="8"/>
  <c r="V145" i="8"/>
  <c r="V131" i="8"/>
  <c r="V132" i="8"/>
  <c r="V133" i="8"/>
  <c r="V111" i="8"/>
  <c r="V112" i="8"/>
  <c r="V113" i="8"/>
  <c r="V114" i="8"/>
  <c r="V106" i="8"/>
  <c r="V107" i="8"/>
  <c r="V108" i="8"/>
  <c r="V87" i="8"/>
  <c r="V88" i="8"/>
  <c r="V89" i="8"/>
  <c r="V90" i="8"/>
  <c r="V69" i="8"/>
  <c r="V63" i="8"/>
  <c r="V64" i="8"/>
  <c r="V65" i="8"/>
  <c r="V58" i="8"/>
  <c r="V59" i="8"/>
  <c r="V60" i="8"/>
  <c r="V53" i="8"/>
  <c r="V46" i="8"/>
  <c r="V34" i="8"/>
  <c r="V35" i="8"/>
  <c r="V27" i="8"/>
  <c r="V28" i="8"/>
  <c r="V21" i="8"/>
  <c r="V22" i="8"/>
  <c r="V23" i="8"/>
  <c r="V16" i="8"/>
  <c r="V5" i="8"/>
  <c r="V4" i="8"/>
  <c r="V3" i="8"/>
  <c r="V6" i="8"/>
  <c r="V7" i="8"/>
  <c r="J49" i="9"/>
  <c r="J57" i="9"/>
  <c r="G53" i="9"/>
  <c r="G61" i="9"/>
  <c r="D49" i="9"/>
  <c r="D57" i="9"/>
  <c r="J12" i="9"/>
  <c r="J20" i="9"/>
  <c r="M8" i="9"/>
  <c r="M16" i="9"/>
  <c r="J50" i="9"/>
  <c r="J58" i="9"/>
  <c r="G46" i="9"/>
  <c r="G54" i="9"/>
  <c r="G62" i="9"/>
  <c r="D50" i="9"/>
  <c r="D58" i="9"/>
  <c r="J5" i="9"/>
  <c r="J13" i="9"/>
  <c r="J21" i="9"/>
  <c r="M9" i="9"/>
  <c r="M17" i="9"/>
  <c r="J51" i="9"/>
  <c r="J59" i="9"/>
  <c r="G47" i="9"/>
  <c r="G55" i="9"/>
  <c r="G63" i="9"/>
  <c r="D51" i="9"/>
  <c r="D59" i="9"/>
  <c r="J6" i="9"/>
  <c r="J14" i="9"/>
  <c r="J22" i="9"/>
  <c r="M10" i="9"/>
  <c r="M18" i="9"/>
  <c r="J52" i="9"/>
  <c r="J60" i="9"/>
  <c r="G48" i="9"/>
  <c r="G56" i="9"/>
  <c r="G64" i="9"/>
  <c r="D52" i="9"/>
  <c r="D60" i="9"/>
  <c r="J7" i="9"/>
  <c r="J15" i="9"/>
  <c r="J23" i="9"/>
  <c r="M11" i="9"/>
  <c r="M19" i="9"/>
  <c r="J53" i="9"/>
  <c r="J61" i="9"/>
  <c r="G49" i="9"/>
  <c r="G57" i="9"/>
  <c r="D53" i="9"/>
  <c r="D61" i="9"/>
  <c r="J8" i="9"/>
  <c r="J16" i="9"/>
  <c r="M12" i="9"/>
  <c r="M20" i="9"/>
  <c r="J46" i="9"/>
  <c r="J54" i="9"/>
  <c r="J62" i="9"/>
  <c r="G50" i="9"/>
  <c r="G58" i="9"/>
  <c r="D46" i="9"/>
  <c r="D54" i="9"/>
  <c r="D62" i="9"/>
  <c r="J9" i="9"/>
  <c r="J17" i="9"/>
  <c r="M5" i="9"/>
  <c r="M13" i="9"/>
  <c r="M21" i="9"/>
  <c r="J47" i="9"/>
  <c r="J55" i="9"/>
  <c r="J63" i="9"/>
  <c r="G51" i="9"/>
  <c r="G59" i="9"/>
  <c r="D47" i="9"/>
  <c r="D55" i="9"/>
  <c r="D63" i="9"/>
  <c r="J10" i="9"/>
  <c r="J18" i="9"/>
  <c r="M6" i="9"/>
  <c r="M14" i="9"/>
  <c r="M22" i="9"/>
  <c r="J48" i="9"/>
  <c r="J56" i="9"/>
  <c r="J64" i="9"/>
  <c r="G52" i="9"/>
  <c r="G60" i="9"/>
  <c r="D48" i="9"/>
  <c r="D56" i="9"/>
  <c r="D64" i="9"/>
  <c r="J11" i="9"/>
  <c r="J19" i="9"/>
  <c r="M7" i="9"/>
  <c r="M15" i="9"/>
  <c r="M23" i="9"/>
  <c r="D23" i="9"/>
  <c r="D8" i="9"/>
  <c r="D9" i="9"/>
  <c r="D16" i="9"/>
  <c r="D17" i="9"/>
  <c r="D10" i="9"/>
  <c r="D18" i="9"/>
  <c r="D4" i="9"/>
  <c r="D11" i="9"/>
  <c r="D19" i="9"/>
  <c r="D20" i="9"/>
  <c r="D5" i="9"/>
  <c r="D13" i="9"/>
  <c r="D21" i="9"/>
  <c r="D12" i="9"/>
  <c r="D6" i="9"/>
  <c r="D14" i="9"/>
  <c r="D22" i="9"/>
  <c r="D7" i="9"/>
  <c r="D15" i="9"/>
  <c r="AE22" i="2"/>
  <c r="AF22" i="2" s="1"/>
  <c r="AE85" i="2"/>
  <c r="AF85" i="2" s="1"/>
  <c r="BB22" i="2"/>
  <c r="BB48" i="2"/>
  <c r="BB68" i="2"/>
  <c r="BB61" i="2"/>
  <c r="BB102" i="2"/>
  <c r="BB77" i="2"/>
  <c r="BB9" i="2"/>
  <c r="BB40" i="2"/>
  <c r="BB96" i="2"/>
  <c r="BB91" i="2"/>
  <c r="BB3" i="2"/>
  <c r="BB32" i="2"/>
  <c r="BB81" i="2"/>
  <c r="BB71" i="2"/>
  <c r="BB75" i="2"/>
  <c r="BB85" i="2"/>
  <c r="BB18" i="2"/>
  <c r="BB65" i="2"/>
  <c r="BB67" i="2"/>
  <c r="BB43" i="2"/>
  <c r="BB47" i="2"/>
  <c r="BB10" i="2"/>
  <c r="BB49" i="2"/>
  <c r="BB46" i="2"/>
  <c r="BB31" i="2"/>
  <c r="BB83" i="2"/>
  <c r="BB41" i="2"/>
  <c r="BB86" i="2"/>
  <c r="BB101" i="2"/>
  <c r="BB25" i="2"/>
  <c r="BB12" i="2"/>
  <c r="BB76" i="2"/>
  <c r="BB74" i="2"/>
  <c r="BB59" i="2"/>
  <c r="BB19" i="2"/>
  <c r="BB70" i="2"/>
  <c r="BB69" i="2"/>
  <c r="BB87" i="2"/>
  <c r="BB4" i="2"/>
  <c r="BB99" i="2"/>
  <c r="BB34" i="2"/>
  <c r="BB54" i="2"/>
  <c r="BB6" i="2"/>
  <c r="BB73" i="2"/>
  <c r="BB5" i="2"/>
  <c r="BB64" i="2"/>
  <c r="BB30" i="2"/>
  <c r="BB56" i="2"/>
  <c r="BB16" i="2"/>
  <c r="AX22" i="2"/>
  <c r="AY22" i="2" s="1"/>
  <c r="AX48" i="2"/>
  <c r="AY48" i="2" s="1"/>
  <c r="AX68" i="2"/>
  <c r="AY68" i="2" s="1"/>
  <c r="AX61" i="2"/>
  <c r="AY61" i="2" s="1"/>
  <c r="AX102" i="2"/>
  <c r="AY102" i="2" s="1"/>
  <c r="AX77" i="2"/>
  <c r="AY77" i="2" s="1"/>
  <c r="AX9" i="2"/>
  <c r="AY9" i="2" s="1"/>
  <c r="AX40" i="2"/>
  <c r="AY40" i="2" s="1"/>
  <c r="AX96" i="2"/>
  <c r="AY96" i="2" s="1"/>
  <c r="AX91" i="2"/>
  <c r="AY91" i="2" s="1"/>
  <c r="AX3" i="2"/>
  <c r="AY3" i="2" s="1"/>
  <c r="AX32" i="2"/>
  <c r="AY32" i="2" s="1"/>
  <c r="AX81" i="2"/>
  <c r="AY81" i="2" s="1"/>
  <c r="AX71" i="2"/>
  <c r="AY71" i="2" s="1"/>
  <c r="AX75" i="2"/>
  <c r="AY75" i="2" s="1"/>
  <c r="AX85" i="2"/>
  <c r="AY85" i="2" s="1"/>
  <c r="AX18" i="2"/>
  <c r="AY18" i="2" s="1"/>
  <c r="AX65" i="2"/>
  <c r="AY65" i="2" s="1"/>
  <c r="AX67" i="2"/>
  <c r="AY67" i="2" s="1"/>
  <c r="AX43" i="2"/>
  <c r="AY43" i="2" s="1"/>
  <c r="AX47" i="2"/>
  <c r="AY47" i="2" s="1"/>
  <c r="AX10" i="2"/>
  <c r="AY10" i="2" s="1"/>
  <c r="AX49" i="2"/>
  <c r="AY49" i="2" s="1"/>
  <c r="AX46" i="2"/>
  <c r="AY46" i="2" s="1"/>
  <c r="AX31" i="2"/>
  <c r="AY31" i="2" s="1"/>
  <c r="AX83" i="2"/>
  <c r="AY83" i="2" s="1"/>
  <c r="AX41" i="2"/>
  <c r="AY41" i="2" s="1"/>
  <c r="AX86" i="2"/>
  <c r="AY86" i="2" s="1"/>
  <c r="AX101" i="2"/>
  <c r="AY101" i="2" s="1"/>
  <c r="AX25" i="2"/>
  <c r="AY25" i="2" s="1"/>
  <c r="AX12" i="2"/>
  <c r="AY12" i="2" s="1"/>
  <c r="AX76" i="2"/>
  <c r="AY76" i="2" s="1"/>
  <c r="AX74" i="2"/>
  <c r="AY74" i="2" s="1"/>
  <c r="AX66" i="2"/>
  <c r="AY66" i="2" s="1"/>
  <c r="AX59" i="2"/>
  <c r="AY59" i="2" s="1"/>
  <c r="AX19" i="2"/>
  <c r="AY19" i="2" s="1"/>
  <c r="AX70" i="2"/>
  <c r="AY70" i="2" s="1"/>
  <c r="AX69" i="2"/>
  <c r="AY69" i="2" s="1"/>
  <c r="AX42" i="2"/>
  <c r="AX87" i="2"/>
  <c r="AY87" i="2" s="1"/>
  <c r="AX4" i="2"/>
  <c r="AY4" i="2" s="1"/>
  <c r="AX99" i="2"/>
  <c r="AY99" i="2" s="1"/>
  <c r="AX34" i="2"/>
  <c r="AY34" i="2" s="1"/>
  <c r="AX54" i="2"/>
  <c r="AY54" i="2" s="1"/>
  <c r="AX6" i="2"/>
  <c r="AY6" i="2" s="1"/>
  <c r="AX73" i="2"/>
  <c r="AY73" i="2" s="1"/>
  <c r="AX5" i="2"/>
  <c r="AY5" i="2" s="1"/>
  <c r="AX64" i="2"/>
  <c r="AY64" i="2" s="1"/>
  <c r="AX30" i="2"/>
  <c r="AY30" i="2" s="1"/>
  <c r="AX56" i="2"/>
  <c r="AY56" i="2" s="1"/>
  <c r="AX16" i="2"/>
  <c r="AY16" i="2" s="1"/>
  <c r="AT22" i="2"/>
  <c r="AU22" i="2" s="1"/>
  <c r="AT48" i="2"/>
  <c r="AU48" i="2" s="1"/>
  <c r="AT68" i="2"/>
  <c r="AU68" i="2" s="1"/>
  <c r="AT61" i="2"/>
  <c r="AU61" i="2" s="1"/>
  <c r="AT102" i="2"/>
  <c r="AU102" i="2" s="1"/>
  <c r="AT77" i="2"/>
  <c r="AU77" i="2" s="1"/>
  <c r="AT9" i="2"/>
  <c r="AU9" i="2" s="1"/>
  <c r="AT40" i="2"/>
  <c r="AU40" i="2" s="1"/>
  <c r="AT96" i="2"/>
  <c r="AU96" i="2" s="1"/>
  <c r="AT91" i="2"/>
  <c r="AU91" i="2" s="1"/>
  <c r="AT3" i="2"/>
  <c r="AU3" i="2" s="1"/>
  <c r="AT32" i="2"/>
  <c r="AU32" i="2" s="1"/>
  <c r="AT81" i="2"/>
  <c r="AU81" i="2" s="1"/>
  <c r="AT71" i="2"/>
  <c r="AU71" i="2" s="1"/>
  <c r="AT75" i="2"/>
  <c r="AU75" i="2" s="1"/>
  <c r="AT85" i="2"/>
  <c r="AU85" i="2" s="1"/>
  <c r="AT18" i="2"/>
  <c r="AU18" i="2" s="1"/>
  <c r="AT65" i="2"/>
  <c r="AU65" i="2" s="1"/>
  <c r="AT67" i="2"/>
  <c r="AU67" i="2" s="1"/>
  <c r="AT43" i="2"/>
  <c r="AU43" i="2" s="1"/>
  <c r="AT47" i="2"/>
  <c r="AU47" i="2" s="1"/>
  <c r="AT10" i="2"/>
  <c r="AU10" i="2" s="1"/>
  <c r="AT49" i="2"/>
  <c r="AU49" i="2" s="1"/>
  <c r="AT46" i="2"/>
  <c r="AU46" i="2" s="1"/>
  <c r="AT31" i="2"/>
  <c r="AU31" i="2" s="1"/>
  <c r="AT83" i="2"/>
  <c r="AU83" i="2" s="1"/>
  <c r="AT41" i="2"/>
  <c r="AU41" i="2" s="1"/>
  <c r="AT86" i="2"/>
  <c r="AU86" i="2" s="1"/>
  <c r="AT101" i="2"/>
  <c r="AU101" i="2" s="1"/>
  <c r="AT25" i="2"/>
  <c r="AU25" i="2" s="1"/>
  <c r="AT12" i="2"/>
  <c r="AU12" i="2" s="1"/>
  <c r="AT76" i="2"/>
  <c r="AU76" i="2" s="1"/>
  <c r="AT74" i="2"/>
  <c r="AU74" i="2" s="1"/>
  <c r="AT66" i="2"/>
  <c r="AU66" i="2" s="1"/>
  <c r="AT59" i="2"/>
  <c r="AU59" i="2" s="1"/>
  <c r="AT19" i="2"/>
  <c r="AU19" i="2" s="1"/>
  <c r="AT70" i="2"/>
  <c r="AT69" i="2"/>
  <c r="AU69" i="2" s="1"/>
  <c r="AT42" i="2"/>
  <c r="AU42" i="2" s="1"/>
  <c r="AT87" i="2"/>
  <c r="AU87" i="2" s="1"/>
  <c r="AT4" i="2"/>
  <c r="AU4" i="2" s="1"/>
  <c r="AT99" i="2"/>
  <c r="AU99" i="2" s="1"/>
  <c r="AT27" i="2"/>
  <c r="AU27" i="2" s="1"/>
  <c r="AT34" i="2"/>
  <c r="AU34" i="2" s="1"/>
  <c r="AT54" i="2"/>
  <c r="AU54" i="2" s="1"/>
  <c r="AT6" i="2"/>
  <c r="AU6" i="2" s="1"/>
  <c r="AT73" i="2"/>
  <c r="AU73" i="2" s="1"/>
  <c r="AT5" i="2"/>
  <c r="AU5" i="2" s="1"/>
  <c r="AT64" i="2"/>
  <c r="AU64" i="2" s="1"/>
  <c r="AT30" i="2"/>
  <c r="AU30" i="2" s="1"/>
  <c r="AT56" i="2"/>
  <c r="AU56" i="2" s="1"/>
  <c r="AT16" i="2"/>
  <c r="AU16" i="2" s="1"/>
  <c r="AP22" i="2"/>
  <c r="AQ22" i="2" s="1"/>
  <c r="AP48" i="2"/>
  <c r="AQ48" i="2" s="1"/>
  <c r="AP68" i="2"/>
  <c r="AQ68" i="2" s="1"/>
  <c r="AP61" i="2"/>
  <c r="AQ61" i="2" s="1"/>
  <c r="AP102" i="2"/>
  <c r="AQ102" i="2" s="1"/>
  <c r="AP77" i="2"/>
  <c r="AQ77" i="2" s="1"/>
  <c r="AP9" i="2"/>
  <c r="AQ9" i="2" s="1"/>
  <c r="AP40" i="2"/>
  <c r="AQ40" i="2" s="1"/>
  <c r="AP96" i="2"/>
  <c r="AQ96" i="2" s="1"/>
  <c r="AP91" i="2"/>
  <c r="AQ91" i="2" s="1"/>
  <c r="AP3" i="2"/>
  <c r="AQ3" i="2" s="1"/>
  <c r="AP32" i="2"/>
  <c r="AQ32" i="2" s="1"/>
  <c r="AP81" i="2"/>
  <c r="AQ81" i="2" s="1"/>
  <c r="AP71" i="2"/>
  <c r="AQ71" i="2" s="1"/>
  <c r="AP75" i="2"/>
  <c r="AQ75" i="2" s="1"/>
  <c r="AP85" i="2"/>
  <c r="AQ85" i="2" s="1"/>
  <c r="AP18" i="2"/>
  <c r="AQ18" i="2" s="1"/>
  <c r="AP65" i="2"/>
  <c r="AQ65" i="2" s="1"/>
  <c r="AP67" i="2"/>
  <c r="AQ67" i="2" s="1"/>
  <c r="AP43" i="2"/>
  <c r="AQ43" i="2" s="1"/>
  <c r="AP47" i="2"/>
  <c r="AQ47" i="2" s="1"/>
  <c r="AP10" i="2"/>
  <c r="AQ10" i="2" s="1"/>
  <c r="AP49" i="2"/>
  <c r="AQ49" i="2" s="1"/>
  <c r="AP46" i="2"/>
  <c r="AQ46" i="2" s="1"/>
  <c r="AP31" i="2"/>
  <c r="AQ31" i="2" s="1"/>
  <c r="AP83" i="2"/>
  <c r="AQ83" i="2" s="1"/>
  <c r="AP41" i="2"/>
  <c r="AQ41" i="2" s="1"/>
  <c r="AP86" i="2"/>
  <c r="AQ86" i="2" s="1"/>
  <c r="AP101" i="2"/>
  <c r="AQ101" i="2" s="1"/>
  <c r="AP25" i="2"/>
  <c r="AQ25" i="2" s="1"/>
  <c r="AP12" i="2"/>
  <c r="AQ12" i="2" s="1"/>
  <c r="AP76" i="2"/>
  <c r="AQ76" i="2" s="1"/>
  <c r="AP74" i="2"/>
  <c r="AQ74" i="2" s="1"/>
  <c r="AP66" i="2"/>
  <c r="AQ66" i="2" s="1"/>
  <c r="AP59" i="2"/>
  <c r="AQ59" i="2" s="1"/>
  <c r="AP19" i="2"/>
  <c r="AQ19" i="2" s="1"/>
  <c r="AP42" i="2"/>
  <c r="AQ42" i="2" s="1"/>
  <c r="AP87" i="2"/>
  <c r="AQ87" i="2" s="1"/>
  <c r="AP4" i="2"/>
  <c r="AQ4" i="2" s="1"/>
  <c r="AP99" i="2"/>
  <c r="AQ99" i="2" s="1"/>
  <c r="AP27" i="2"/>
  <c r="AQ27" i="2" s="1"/>
  <c r="AP34" i="2"/>
  <c r="AQ34" i="2" s="1"/>
  <c r="AP54" i="2"/>
  <c r="AQ54" i="2" s="1"/>
  <c r="AP6" i="2"/>
  <c r="AQ6" i="2" s="1"/>
  <c r="AP73" i="2"/>
  <c r="AQ73" i="2" s="1"/>
  <c r="AP5" i="2"/>
  <c r="AQ5" i="2" s="1"/>
  <c r="AP64" i="2"/>
  <c r="AQ64" i="2" s="1"/>
  <c r="AP30" i="2"/>
  <c r="AQ30" i="2" s="1"/>
  <c r="AP56" i="2"/>
  <c r="AQ56" i="2" s="1"/>
  <c r="AP16" i="2"/>
  <c r="AQ16" i="2" s="1"/>
  <c r="AL22" i="2"/>
  <c r="AM22" i="2" s="1"/>
  <c r="AL48" i="2"/>
  <c r="AM48" i="2" s="1"/>
  <c r="AL68" i="2"/>
  <c r="AM68" i="2" s="1"/>
  <c r="AL61" i="2"/>
  <c r="AM61" i="2" s="1"/>
  <c r="AL102" i="2"/>
  <c r="AM102" i="2" s="1"/>
  <c r="AL77" i="2"/>
  <c r="AM77" i="2" s="1"/>
  <c r="AL9" i="2"/>
  <c r="AM9" i="2" s="1"/>
  <c r="AL40" i="2"/>
  <c r="AM40" i="2" s="1"/>
  <c r="AL96" i="2"/>
  <c r="AM96" i="2" s="1"/>
  <c r="AL91" i="2"/>
  <c r="AM91" i="2" s="1"/>
  <c r="AL3" i="2"/>
  <c r="AM3" i="2" s="1"/>
  <c r="AL32" i="2"/>
  <c r="AM32" i="2" s="1"/>
  <c r="AL81" i="2"/>
  <c r="AM81" i="2" s="1"/>
  <c r="AL71" i="2"/>
  <c r="AM71" i="2" s="1"/>
  <c r="AL75" i="2"/>
  <c r="AM75" i="2" s="1"/>
  <c r="AL85" i="2"/>
  <c r="AM85" i="2" s="1"/>
  <c r="AL18" i="2"/>
  <c r="AM18" i="2" s="1"/>
  <c r="AL65" i="2"/>
  <c r="AM65" i="2" s="1"/>
  <c r="AL67" i="2"/>
  <c r="AM67" i="2" s="1"/>
  <c r="AL43" i="2"/>
  <c r="AM43" i="2" s="1"/>
  <c r="AL47" i="2"/>
  <c r="AM47" i="2" s="1"/>
  <c r="AL10" i="2"/>
  <c r="AM10" i="2" s="1"/>
  <c r="AL49" i="2"/>
  <c r="AM49" i="2" s="1"/>
  <c r="AL46" i="2"/>
  <c r="AM46" i="2" s="1"/>
  <c r="AL31" i="2"/>
  <c r="AM31" i="2" s="1"/>
  <c r="AL83" i="2"/>
  <c r="AM83" i="2" s="1"/>
  <c r="AL41" i="2"/>
  <c r="AM41" i="2" s="1"/>
  <c r="AL86" i="2"/>
  <c r="AM86" i="2" s="1"/>
  <c r="AL101" i="2"/>
  <c r="AM101" i="2" s="1"/>
  <c r="AL25" i="2"/>
  <c r="AM25" i="2" s="1"/>
  <c r="AL12" i="2"/>
  <c r="AM12" i="2" s="1"/>
  <c r="AL76" i="2"/>
  <c r="AM76" i="2" s="1"/>
  <c r="AL74" i="2"/>
  <c r="AM74" i="2" s="1"/>
  <c r="AL66" i="2"/>
  <c r="AM66" i="2" s="1"/>
  <c r="AL59" i="2"/>
  <c r="AM59" i="2" s="1"/>
  <c r="AL19" i="2"/>
  <c r="AM19" i="2" s="1"/>
  <c r="AL42" i="2"/>
  <c r="AM42" i="2" s="1"/>
  <c r="AL87" i="2"/>
  <c r="AM87" i="2" s="1"/>
  <c r="AL4" i="2"/>
  <c r="AM4" i="2" s="1"/>
  <c r="AL99" i="2"/>
  <c r="AM99" i="2" s="1"/>
  <c r="AL27" i="2"/>
  <c r="AM27" i="2" s="1"/>
  <c r="AL34" i="2"/>
  <c r="AM34" i="2" s="1"/>
  <c r="AL54" i="2"/>
  <c r="AM54" i="2" s="1"/>
  <c r="AL6" i="2"/>
  <c r="AM6" i="2" s="1"/>
  <c r="AL73" i="2"/>
  <c r="AM73" i="2" s="1"/>
  <c r="AL5" i="2"/>
  <c r="AM5" i="2" s="1"/>
  <c r="AL64" i="2"/>
  <c r="AM64" i="2" s="1"/>
  <c r="AL30" i="2"/>
  <c r="AM30" i="2" s="1"/>
  <c r="AL56" i="2"/>
  <c r="AM56" i="2" s="1"/>
  <c r="AL16" i="2"/>
  <c r="AM16" i="2" s="1"/>
  <c r="AE48" i="2"/>
  <c r="AF48" i="2" s="1"/>
  <c r="AE68" i="2"/>
  <c r="AF68" i="2" s="1"/>
  <c r="AE61" i="2"/>
  <c r="AF61" i="2" s="1"/>
  <c r="AE102" i="2"/>
  <c r="AF102" i="2" s="1"/>
  <c r="AE77" i="2"/>
  <c r="AF77" i="2" s="1"/>
  <c r="AE9" i="2"/>
  <c r="AF9" i="2" s="1"/>
  <c r="AE40" i="2"/>
  <c r="AF40" i="2" s="1"/>
  <c r="AE96" i="2"/>
  <c r="AF96" i="2" s="1"/>
  <c r="AE91" i="2"/>
  <c r="AF91" i="2" s="1"/>
  <c r="AE3" i="2"/>
  <c r="AF3" i="2" s="1"/>
  <c r="AE32" i="2"/>
  <c r="AF32" i="2" s="1"/>
  <c r="AE81" i="2"/>
  <c r="AF81" i="2" s="1"/>
  <c r="AE71" i="2"/>
  <c r="AF71" i="2" s="1"/>
  <c r="AE75" i="2"/>
  <c r="AF75" i="2" s="1"/>
  <c r="AE18" i="2"/>
  <c r="AF18" i="2" s="1"/>
  <c r="AE65" i="2"/>
  <c r="AF65" i="2" s="1"/>
  <c r="AE67" i="2"/>
  <c r="AF67" i="2" s="1"/>
  <c r="AE43" i="2"/>
  <c r="AF43" i="2" s="1"/>
  <c r="AE47" i="2"/>
  <c r="AF47" i="2" s="1"/>
  <c r="AE10" i="2"/>
  <c r="AF10" i="2" s="1"/>
  <c r="AE49" i="2"/>
  <c r="AF49" i="2" s="1"/>
  <c r="AE46" i="2"/>
  <c r="AF46" i="2" s="1"/>
  <c r="AE31" i="2"/>
  <c r="AF31" i="2" s="1"/>
  <c r="AE83" i="2"/>
  <c r="AF83" i="2" s="1"/>
  <c r="AE41" i="2"/>
  <c r="AF41" i="2" s="1"/>
  <c r="AE101" i="2"/>
  <c r="AF101" i="2" s="1"/>
  <c r="AE25" i="2"/>
  <c r="AF25" i="2" s="1"/>
  <c r="AE76" i="2"/>
  <c r="AF76" i="2" s="1"/>
  <c r="AE74" i="2"/>
  <c r="AF74" i="2" s="1"/>
  <c r="AE66" i="2"/>
  <c r="AF66" i="2" s="1"/>
  <c r="AE59" i="2"/>
  <c r="AF59" i="2" s="1"/>
  <c r="AE19" i="2"/>
  <c r="AF19" i="2" s="1"/>
  <c r="AE42" i="2"/>
  <c r="AF42" i="2" s="1"/>
  <c r="AE87" i="2"/>
  <c r="AF87" i="2" s="1"/>
  <c r="AE4" i="2"/>
  <c r="AF4" i="2" s="1"/>
  <c r="AE99" i="2"/>
  <c r="AF99" i="2" s="1"/>
  <c r="AE27" i="2"/>
  <c r="AF27" i="2" s="1"/>
  <c r="AE34" i="2"/>
  <c r="AF34" i="2" s="1"/>
  <c r="AE54" i="2"/>
  <c r="AF54" i="2" s="1"/>
  <c r="AE6" i="2"/>
  <c r="AF6" i="2" s="1"/>
  <c r="AE73" i="2"/>
  <c r="AF73" i="2" s="1"/>
  <c r="AE5" i="2"/>
  <c r="AF5" i="2" s="1"/>
  <c r="AE64" i="2"/>
  <c r="AF64" i="2" s="1"/>
  <c r="AE30" i="2"/>
  <c r="AF30" i="2" s="1"/>
  <c r="AE13" i="2"/>
  <c r="AF13" i="2" s="1"/>
  <c r="AE16" i="2"/>
  <c r="AF16" i="2" s="1"/>
  <c r="AH22" i="2"/>
  <c r="AI22" i="2" s="1"/>
  <c r="AH48" i="2"/>
  <c r="AI48" i="2" s="1"/>
  <c r="AH68" i="2"/>
  <c r="AI68" i="2" s="1"/>
  <c r="AH61" i="2"/>
  <c r="AI61" i="2" s="1"/>
  <c r="AH102" i="2"/>
  <c r="AI102" i="2" s="1"/>
  <c r="AH77" i="2"/>
  <c r="AI77" i="2" s="1"/>
  <c r="AH9" i="2"/>
  <c r="AI9" i="2" s="1"/>
  <c r="AH40" i="2"/>
  <c r="AI40" i="2" s="1"/>
  <c r="AH96" i="2"/>
  <c r="AI96" i="2" s="1"/>
  <c r="AH91" i="2"/>
  <c r="AI91" i="2" s="1"/>
  <c r="AH3" i="2"/>
  <c r="AI3" i="2" s="1"/>
  <c r="AH32" i="2"/>
  <c r="AI32" i="2" s="1"/>
  <c r="AH81" i="2"/>
  <c r="AI81" i="2" s="1"/>
  <c r="AH71" i="2"/>
  <c r="AI71" i="2" s="1"/>
  <c r="AH75" i="2"/>
  <c r="AI75" i="2" s="1"/>
  <c r="AH85" i="2"/>
  <c r="AI85" i="2" s="1"/>
  <c r="AH18" i="2"/>
  <c r="AI18" i="2" s="1"/>
  <c r="AH65" i="2"/>
  <c r="AI65" i="2" s="1"/>
  <c r="AH67" i="2"/>
  <c r="AI67" i="2" s="1"/>
  <c r="AH43" i="2"/>
  <c r="AI43" i="2" s="1"/>
  <c r="AH47" i="2"/>
  <c r="AI47" i="2" s="1"/>
  <c r="AH10" i="2"/>
  <c r="AI10" i="2" s="1"/>
  <c r="AH49" i="2"/>
  <c r="AI49" i="2" s="1"/>
  <c r="AH46" i="2"/>
  <c r="AI46" i="2" s="1"/>
  <c r="AH31" i="2"/>
  <c r="AI31" i="2" s="1"/>
  <c r="AH83" i="2"/>
  <c r="AI83" i="2" s="1"/>
  <c r="AH41" i="2"/>
  <c r="AI41" i="2" s="1"/>
  <c r="AH86" i="2"/>
  <c r="AI86" i="2" s="1"/>
  <c r="AH101" i="2"/>
  <c r="AI101" i="2" s="1"/>
  <c r="AH25" i="2"/>
  <c r="AI25" i="2" s="1"/>
  <c r="AH76" i="2"/>
  <c r="AI76" i="2" s="1"/>
  <c r="AH74" i="2"/>
  <c r="AI74" i="2" s="1"/>
  <c r="AH66" i="2"/>
  <c r="AI66" i="2" s="1"/>
  <c r="AH59" i="2"/>
  <c r="AI59" i="2" s="1"/>
  <c r="AH19" i="2"/>
  <c r="AI19" i="2" s="1"/>
  <c r="AH42" i="2"/>
  <c r="AI42" i="2" s="1"/>
  <c r="AH87" i="2"/>
  <c r="AI87" i="2" s="1"/>
  <c r="AH4" i="2"/>
  <c r="AI4" i="2" s="1"/>
  <c r="AH99" i="2"/>
  <c r="AI99" i="2" s="1"/>
  <c r="AH27" i="2"/>
  <c r="AI27" i="2" s="1"/>
  <c r="AH34" i="2"/>
  <c r="AI34" i="2" s="1"/>
  <c r="AH54" i="2"/>
  <c r="AI54" i="2" s="1"/>
  <c r="AH6" i="2"/>
  <c r="AI6" i="2" s="1"/>
  <c r="AH73" i="2"/>
  <c r="AI73" i="2" s="1"/>
  <c r="AH5" i="2"/>
  <c r="AI5" i="2" s="1"/>
  <c r="AH64" i="2"/>
  <c r="AI64" i="2" s="1"/>
  <c r="AH30" i="2"/>
  <c r="AI30" i="2" s="1"/>
  <c r="AH13" i="2"/>
  <c r="AI13" i="2" s="1"/>
  <c r="AH16" i="2"/>
  <c r="AI16" i="2" s="1"/>
  <c r="AY42" i="2"/>
  <c r="AU70" i="2"/>
  <c r="Z480" i="8" l="1"/>
  <c r="Z19" i="8"/>
  <c r="Z612" i="8"/>
  <c r="V613" i="8"/>
  <c r="Z7" i="8"/>
  <c r="Z6" i="8"/>
  <c r="Z3" i="8"/>
  <c r="Z8" i="8"/>
  <c r="Z17" i="8"/>
  <c r="Z14" i="8"/>
  <c r="Z16" i="8"/>
  <c r="Z24" i="8"/>
  <c r="Z23" i="8"/>
  <c r="Z22" i="8"/>
  <c r="Z21" i="8"/>
  <c r="Z20" i="8"/>
  <c r="Z30" i="8"/>
  <c r="Z28" i="8"/>
  <c r="Z27" i="8"/>
  <c r="Z26" i="8"/>
  <c r="Z36" i="8"/>
  <c r="Z35" i="8"/>
  <c r="Z34" i="8"/>
  <c r="Z32" i="8"/>
  <c r="Z92" i="8"/>
  <c r="Z38" i="8"/>
  <c r="Z47" i="8"/>
  <c r="Z46" i="8"/>
  <c r="Z44" i="8"/>
  <c r="Z54" i="8"/>
  <c r="Z50" i="8"/>
  <c r="Z53" i="8"/>
  <c r="Z61" i="8"/>
  <c r="Z60" i="8"/>
  <c r="Z59" i="8"/>
  <c r="Z58" i="8"/>
  <c r="Z56" i="8"/>
  <c r="Z66" i="8"/>
  <c r="Z65" i="8"/>
  <c r="Z64" i="8"/>
  <c r="Z63" i="8"/>
  <c r="Z62" i="8"/>
  <c r="Z70" i="8"/>
  <c r="Z69" i="8"/>
  <c r="Z68" i="8"/>
  <c r="Z74" i="8"/>
  <c r="Z80" i="8"/>
  <c r="Z90" i="8"/>
  <c r="Z89" i="8"/>
  <c r="Z88" i="8"/>
  <c r="Z87" i="8"/>
  <c r="Z86" i="8"/>
  <c r="Z98" i="8"/>
  <c r="Z108" i="8"/>
  <c r="Z107" i="8"/>
  <c r="Z106" i="8"/>
  <c r="Z104" i="8"/>
  <c r="Z114" i="8"/>
  <c r="Z113" i="8"/>
  <c r="Z112" i="8"/>
  <c r="Z111" i="8"/>
  <c r="Z110" i="8"/>
  <c r="Z116" i="8"/>
  <c r="Z122" i="8"/>
  <c r="Z133" i="8"/>
  <c r="Z132" i="8"/>
  <c r="Z131" i="8"/>
  <c r="Z128" i="8"/>
  <c r="Z134" i="8"/>
  <c r="Z145" i="8"/>
  <c r="Z144" i="8"/>
  <c r="Z140" i="8"/>
  <c r="Z146" i="8"/>
  <c r="Z148" i="8"/>
  <c r="Z152" i="8"/>
  <c r="Z155" i="8"/>
  <c r="Z154" i="8"/>
  <c r="Z160" i="8"/>
  <c r="Z158" i="8"/>
  <c r="Z164" i="8"/>
  <c r="Z170" i="8"/>
  <c r="Z178" i="8"/>
  <c r="Z176" i="8"/>
  <c r="Z187" i="8"/>
  <c r="Z186" i="8"/>
  <c r="Z185" i="8"/>
  <c r="Z184" i="8"/>
  <c r="Z183" i="8"/>
  <c r="Z182" i="8"/>
  <c r="Z193" i="8"/>
  <c r="Z192" i="8"/>
  <c r="Z191" i="8"/>
  <c r="Z190" i="8"/>
  <c r="Z188" i="8"/>
  <c r="Z199" i="8"/>
  <c r="Z198" i="8"/>
  <c r="Z197" i="8"/>
  <c r="Z196" i="8"/>
  <c r="Z194" i="8"/>
  <c r="Z203" i="8"/>
  <c r="Z202" i="8"/>
  <c r="Z200" i="8"/>
  <c r="Z206" i="8"/>
  <c r="Z212" i="8"/>
  <c r="Z221" i="8"/>
  <c r="Z219" i="8"/>
  <c r="Z218" i="8"/>
  <c r="Z227" i="8"/>
  <c r="Z226" i="8"/>
  <c r="Z224" i="8"/>
  <c r="Z230" i="8"/>
  <c r="Z240" i="8"/>
  <c r="Z239" i="8"/>
  <c r="Z238" i="8"/>
  <c r="Z237" i="8"/>
  <c r="Z236" i="8"/>
  <c r="Z246" i="8"/>
  <c r="Z242" i="8"/>
  <c r="Z245" i="8"/>
  <c r="Z244" i="8"/>
  <c r="Z252" i="8"/>
  <c r="Z251" i="8"/>
  <c r="Z250" i="8"/>
  <c r="Z249" i="8"/>
  <c r="Z248" i="8"/>
  <c r="Z258" i="8"/>
  <c r="Z257" i="8"/>
  <c r="Z256" i="8"/>
  <c r="Z254" i="8"/>
  <c r="Z260" i="8"/>
  <c r="Z266" i="8"/>
  <c r="Z277" i="8"/>
  <c r="Z276" i="8"/>
  <c r="Z275" i="8"/>
  <c r="Z274" i="8"/>
  <c r="Z273" i="8"/>
  <c r="Z272" i="8"/>
  <c r="Z283" i="8"/>
  <c r="Z281" i="8"/>
  <c r="Z280" i="8"/>
  <c r="Z279" i="8"/>
  <c r="Z278" i="8"/>
  <c r="Z288" i="8"/>
  <c r="Z285" i="8"/>
  <c r="Z284" i="8"/>
  <c r="Z294" i="8"/>
  <c r="Z293" i="8"/>
  <c r="Z292" i="8"/>
  <c r="Z290" i="8"/>
  <c r="Z301" i="8"/>
  <c r="Z296" i="8"/>
  <c r="Z300" i="8"/>
  <c r="Z299" i="8"/>
  <c r="Z298" i="8"/>
  <c r="Z302" i="8"/>
  <c r="Z308" i="8"/>
  <c r="Z323" i="8"/>
  <c r="Z321" i="8"/>
  <c r="Z319" i="8"/>
  <c r="Z332" i="8"/>
  <c r="Z331" i="8"/>
  <c r="Z329" i="8"/>
  <c r="Z340" i="8"/>
  <c r="Z335" i="8"/>
  <c r="Z347" i="8"/>
  <c r="Z350" i="8"/>
  <c r="Z346" i="8"/>
  <c r="Z345" i="8"/>
  <c r="Z351" i="8"/>
  <c r="Z361" i="8"/>
  <c r="Z360" i="8"/>
  <c r="Z359" i="8"/>
  <c r="Z358" i="8"/>
  <c r="Z357" i="8"/>
  <c r="Z363" i="8"/>
  <c r="Z369" i="8"/>
  <c r="Z378" i="8"/>
  <c r="Z376" i="8"/>
  <c r="Z375" i="8"/>
  <c r="Z386" i="8"/>
  <c r="Z385" i="8"/>
  <c r="Z384" i="8"/>
  <c r="Z382" i="8"/>
  <c r="Z381" i="8"/>
  <c r="Z391" i="8"/>
  <c r="Z389" i="8"/>
  <c r="Z387" i="8"/>
  <c r="Z398" i="8"/>
  <c r="Z395" i="8"/>
  <c r="Z393" i="8"/>
  <c r="Z404" i="8"/>
  <c r="Z403" i="8"/>
  <c r="Z402" i="8"/>
  <c r="Z401" i="8"/>
  <c r="Z399" i="8"/>
  <c r="Z410" i="8"/>
  <c r="Z409" i="8"/>
  <c r="Z405" i="8"/>
  <c r="Z415" i="8"/>
  <c r="Z414" i="8"/>
  <c r="Z411" i="8"/>
  <c r="Z413" i="8"/>
  <c r="Z422" i="8"/>
  <c r="Z417" i="8"/>
  <c r="Z427" i="8"/>
  <c r="Z425" i="8"/>
  <c r="Z423" i="8"/>
  <c r="Z432" i="8"/>
  <c r="Z434" i="8"/>
  <c r="Z431" i="8"/>
  <c r="Z429" i="8"/>
  <c r="Z440" i="8"/>
  <c r="Z439" i="8"/>
  <c r="Z437" i="8"/>
  <c r="Z435" i="8"/>
  <c r="Z446" i="8"/>
  <c r="Z444" i="8"/>
  <c r="Z443" i="8"/>
  <c r="Z442" i="8"/>
  <c r="Z441" i="8"/>
  <c r="Z451" i="8"/>
  <c r="Z450" i="8"/>
  <c r="Z449" i="8"/>
  <c r="Z448" i="8"/>
  <c r="Z447" i="8"/>
  <c r="Z453" i="8"/>
  <c r="Z464" i="8"/>
  <c r="Z463" i="8"/>
  <c r="Z462" i="8"/>
  <c r="Z461" i="8"/>
  <c r="Z460" i="8"/>
  <c r="Z459" i="8"/>
  <c r="Z465" i="8"/>
  <c r="Z478" i="8"/>
  <c r="Z477" i="8"/>
  <c r="Z476" i="8"/>
  <c r="Z475" i="8"/>
  <c r="Z481" i="8"/>
  <c r="Z490" i="8"/>
  <c r="Z487" i="8"/>
  <c r="Z493" i="8"/>
  <c r="Z504" i="8"/>
  <c r="Z502" i="8"/>
  <c r="Z501" i="8"/>
  <c r="Z500" i="8"/>
  <c r="Z499" i="8"/>
  <c r="Z509" i="8"/>
  <c r="Z507" i="8"/>
  <c r="Z505" i="8"/>
  <c r="Z511" i="8"/>
  <c r="Z517" i="8"/>
  <c r="Z522" i="8"/>
  <c r="Z523" i="8"/>
  <c r="Z534" i="8"/>
  <c r="Z532" i="8"/>
  <c r="Z531" i="8"/>
  <c r="Z529" i="8"/>
  <c r="Z535" i="8"/>
  <c r="Z541" i="8"/>
  <c r="Z547" i="8"/>
  <c r="Z553" i="8"/>
  <c r="Z562" i="8"/>
  <c r="Z561" i="8"/>
  <c r="Z564" i="8"/>
  <c r="Z559" i="8"/>
  <c r="Z568" i="8"/>
  <c r="Z567" i="8"/>
  <c r="Z565" i="8"/>
  <c r="Z571" i="8"/>
  <c r="Z578" i="8"/>
  <c r="Z577" i="8"/>
  <c r="Z580" i="8"/>
  <c r="Z588" i="8"/>
  <c r="Z586" i="8"/>
  <c r="Z585" i="8"/>
  <c r="Z583" i="8"/>
  <c r="Z594" i="8"/>
  <c r="Z593" i="8"/>
  <c r="Z592" i="8"/>
  <c r="Z591" i="8"/>
  <c r="Z590" i="8"/>
  <c r="Z589" i="8"/>
  <c r="Z600" i="8"/>
  <c r="Z599" i="8"/>
  <c r="Z598" i="8"/>
  <c r="Z597" i="8"/>
  <c r="Z596" i="8"/>
  <c r="Z595" i="8"/>
  <c r="Z60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133B59-D2BF-46B1-BDEE-15026487809A}" keepAlive="1" name="Query - 20250609-reklama-data" description="Connection to the '20250609-reklama-data' query in the workbook." type="5" refreshedVersion="8" background="1" saveData="1">
    <dbPr connection="Provider=Microsoft.Mashup.OleDb.1;Data Source=$Workbook$;Location=20250609-reklama-data;Extended Properties=&quot;&quot;" command="SELECT * FROM [20250609-reklama-data]"/>
  </connection>
  <connection id="2" xr16:uid="{E41CCA7B-1870-4194-BC03-D975B8087C66}" keepAlive="1" name="Query - 20250609-reklama-data (2)" description="Connection to the '20250609-reklama-data (2)' query in the workbook." type="5" refreshedVersion="8" background="1" saveData="1">
    <dbPr connection="Provider=Microsoft.Mashup.OleDb.1;Data Source=$Workbook$;Location=&quot;20250609-reklama-data (2)&quot;;Extended Properties=&quot;&quot;" command="SELECT * FROM [20250609-reklama-data (2)]"/>
  </connection>
  <connection id="3" xr16:uid="{531202B9-3D4C-4E3E-A883-121D828FF366}" keepAlive="1" name="Query - 20250609-reklama-data (3)" description="Connection to the '20250609-reklama-data (3)' query in the workbook." type="5" refreshedVersion="8" background="1" saveData="1">
    <dbPr connection="Provider=Microsoft.Mashup.OleDb.1;Data Source=$Workbook$;Location=&quot;20250609-reklama-data (3)&quot;;Extended Properties=&quot;&quot;" command="SELECT * FROM [20250609-reklama-data (3)]"/>
  </connection>
  <connection id="4" xr16:uid="{76677370-8953-4C10-BA89-68FC5B6ACA94}" keepAlive="1" name="Query - 20250609-reklama-data (4)" description="Connection to the '20250609-reklama-data (4)' query in the workbook." type="5" refreshedVersion="8" background="1" saveData="1">
    <dbPr connection="Provider=Microsoft.Mashup.OleDb.1;Data Source=$Workbook$;Location=&quot;20250609-reklama-data (4)&quot;;Extended Properties=&quot;&quot;" command="SELECT * FROM [20250609-reklama-data (4)]"/>
  </connection>
  <connection id="5" xr16:uid="{297A2BD8-15BE-DD4E-ABF0-1C9EA9EB47B5}" keepAlive="1" name="Query - 20250609-reklama-data (5)" description="Connection to the '20250609-reklama-data (5)' query in the workbook." type="5" refreshedVersion="8" background="1" saveData="1">
    <dbPr connection="Provider=Microsoft.Mashup.OleDb.1;Data Source=$Workbook$;Location=&quot;20250609-reklama-data (5)&quot;;Extended Properties=&quot;&quot;" command="SELECT * FROM [20250609-reklama-data (5)]"/>
  </connection>
  <connection id="6" xr16:uid="{7BAD736A-6F4D-4C95-8282-08E9FBFA18C1}" keepAlive="1" name="Query - 20250609-reklama-employees" description="Connection to the '20250609-reklama-employees' query in the workbook." type="5" refreshedVersion="0" background="1">
    <dbPr connection="Provider=Microsoft.Mashup.OleDb.1;Data Source=$Workbook$;Location=20250609-reklama-employees;Extended Properties=&quot;&quot;" command="SELECT * FROM [20250609-reklama-employe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<sst xmlns="http://schemas.openxmlformats.org/spreadsheetml/2006/main" count="14417" uniqueCount="1762">
  <si>
    <t>Preliminarus pavadinimas</t>
  </si>
  <si>
    <t>Preliminari svetainė</t>
  </si>
  <si>
    <t>EVRK v2 veiklos kodas</t>
  </si>
  <si>
    <t>EVRK v2 veikla</t>
  </si>
  <si>
    <t>Column3</t>
  </si>
  <si>
    <t>Veikla</t>
  </si>
  <si>
    <t>Column1</t>
  </si>
  <si>
    <t>Column2</t>
  </si>
  <si>
    <t>Kodas</t>
  </si>
  <si>
    <t>PVM kodas</t>
  </si>
  <si>
    <t>Įmonė</t>
  </si>
  <si>
    <t>Adresas</t>
  </si>
  <si>
    <t>Miestas</t>
  </si>
  <si>
    <t>El. paštas</t>
  </si>
  <si>
    <t>Telefonas</t>
  </si>
  <si>
    <t>Mobilus</t>
  </si>
  <si>
    <t>Kiti telefonai</t>
  </si>
  <si>
    <t>Darbuotojai 2019</t>
  </si>
  <si>
    <t>Darbuotojai 2020</t>
  </si>
  <si>
    <t>Darb. Pokytis 19-20</t>
  </si>
  <si>
    <t>Darbuotojai 2021</t>
  </si>
  <si>
    <t>Darb. Pokytis 20-21</t>
  </si>
  <si>
    <t>Darbuotojai 2022</t>
  </si>
  <si>
    <t>Darb. Pokytis 21-22</t>
  </si>
  <si>
    <t>Darbuotojai 2023</t>
  </si>
  <si>
    <t>Darb. Pokytis 22-23</t>
  </si>
  <si>
    <t>Darbuotojai 2024</t>
  </si>
  <si>
    <t>Darb. Pokytis 23-24</t>
  </si>
  <si>
    <t>Darbuotojai 2025 06 09</t>
  </si>
  <si>
    <t>Atlyginimų vidurkis 2019</t>
  </si>
  <si>
    <t>Atlyginimų vidurkis 2020</t>
  </si>
  <si>
    <t>Atl .Pokytis 19-20</t>
  </si>
  <si>
    <t>Atlyginimų vidurkis 2021</t>
  </si>
  <si>
    <t>Atl. Pokytis 20-21</t>
  </si>
  <si>
    <t>Atlyginimų vidurkis 2022</t>
  </si>
  <si>
    <t>Atl. Pokytis 21-22</t>
  </si>
  <si>
    <t>Atlyginimų vidurkis 2023</t>
  </si>
  <si>
    <t>Atl. Pokytis 22-23</t>
  </si>
  <si>
    <t>Atlyginimų vidurkis 2024</t>
  </si>
  <si>
    <t>Atl. Pokytis 23-24</t>
  </si>
  <si>
    <t>Atlyginimų vidurkis 2025 04</t>
  </si>
  <si>
    <t>Skola Sodrai</t>
  </si>
  <si>
    <t>Apyvarta 2019</t>
  </si>
  <si>
    <t>Apyvarta 2020</t>
  </si>
  <si>
    <t>Apyvart. Pokytis 19-20</t>
  </si>
  <si>
    <t>Apyvarta 2021</t>
  </si>
  <si>
    <t>Apyvart. Pokytis 20-21</t>
  </si>
  <si>
    <t>Apyvarta 2022</t>
  </si>
  <si>
    <t>Apyvart. Pokytis 21-22</t>
  </si>
  <si>
    <t>Apyvarta 2023</t>
  </si>
  <si>
    <t>Apyvart. Pokytis 22-23</t>
  </si>
  <si>
    <t>Apyvarta 2024</t>
  </si>
  <si>
    <t>Apyvart. Pokytis 23-24</t>
  </si>
  <si>
    <t>Grynasis pelnas 2019</t>
  </si>
  <si>
    <t>Grynasis pelnas 2020</t>
  </si>
  <si>
    <t>Gr. Peln. Pokytis 19-20</t>
  </si>
  <si>
    <t>Grynasis pelnas 2021</t>
  </si>
  <si>
    <t>Gr. Peln. Pokytis 20-21</t>
  </si>
  <si>
    <t>Grynasis pelnas 2022</t>
  </si>
  <si>
    <t>Gr. Peln. Pokytis 21-22</t>
  </si>
  <si>
    <t>Grynasis pelnas 2023</t>
  </si>
  <si>
    <t>Gr. Peln. Pokytis 22-23</t>
  </si>
  <si>
    <t>Grynasis pelnas 2024</t>
  </si>
  <si>
    <t>Gr. Peln. Pokytis 23-24</t>
  </si>
  <si>
    <t>Svetainė</t>
  </si>
  <si>
    <t>Rekvizitai URL</t>
  </si>
  <si>
    <t>Facebook</t>
  </si>
  <si>
    <t>Instagram</t>
  </si>
  <si>
    <t>LinkedIn</t>
  </si>
  <si>
    <t>Kredito rizika</t>
  </si>
  <si>
    <t>Įregistruota</t>
  </si>
  <si>
    <t>Dentsu Lithuania, UAB</t>
  </si>
  <si>
    <t>dentsu.lt</t>
  </si>
  <si>
    <t>Media</t>
  </si>
  <si>
    <t>LT242164314</t>
  </si>
  <si>
    <t>Dentsu Lithuania UAB</t>
  </si>
  <si>
    <t>A. Goštauto g. 40B, LT-03163 Vilnius</t>
  </si>
  <si>
    <t>Vilnius</t>
  </si>
  <si>
    <t>info.lithuania@dentsu.com</t>
  </si>
  <si>
    <t>+370 5 2497241</t>
  </si>
  <si>
    <t/>
  </si>
  <si>
    <t>18</t>
  </si>
  <si>
    <t>19</t>
  </si>
  <si>
    <t>63</t>
  </si>
  <si>
    <t>68</t>
  </si>
  <si>
    <t>3220</t>
  </si>
  <si>
    <t>3348</t>
  </si>
  <si>
    <t>3357</t>
  </si>
  <si>
    <t>3112</t>
  </si>
  <si>
    <t>3397</t>
  </si>
  <si>
    <t>3711</t>
  </si>
  <si>
    <t>3723,40</t>
  </si>
  <si>
    <t>https://www.dentsu.com/</t>
  </si>
  <si>
    <t>https://rekvizitai.vz.lt/imone/dentsu_lithuania/</t>
  </si>
  <si>
    <t>https://www.facebook.com/Dentsu-Lithuania-111642568134310</t>
  </si>
  <si>
    <t>Žemiausia</t>
  </si>
  <si>
    <t>1997-10-16</t>
  </si>
  <si>
    <t>Inspired Communications, UAB</t>
  </si>
  <si>
    <t>inspired.lt</t>
  </si>
  <si>
    <t>LT100002908017</t>
  </si>
  <si>
    <t>UAB "Inspired Communications"</t>
  </si>
  <si>
    <t>Paupio g. 16, LT-11341 Vilnius</t>
  </si>
  <si>
    <t>office@inspired.lt</t>
  </si>
  <si>
    <t>+370 684 65990</t>
  </si>
  <si>
    <t>49</t>
  </si>
  <si>
    <t>47</t>
  </si>
  <si>
    <t>51</t>
  </si>
  <si>
    <t>40</t>
  </si>
  <si>
    <t>32</t>
  </si>
  <si>
    <t>31</t>
  </si>
  <si>
    <t>2418</t>
  </si>
  <si>
    <t>2300</t>
  </si>
  <si>
    <t>2604</t>
  </si>
  <si>
    <t>2988</t>
  </si>
  <si>
    <t>3726</t>
  </si>
  <si>
    <t>4330</t>
  </si>
  <si>
    <t>4103,94</t>
  </si>
  <si>
    <t>http://www.inspired.lt</t>
  </si>
  <si>
    <t>https://rekvizitai.vz.lt/imone/inspired_communications/</t>
  </si>
  <si>
    <t>https://www.facebook.com/inspired.lab</t>
  </si>
  <si>
    <t>https://www.linkedin.com/company/inspired-um</t>
  </si>
  <si>
    <t>2007-02-05</t>
  </si>
  <si>
    <t>Open Agency, UAB</t>
  </si>
  <si>
    <t>openagency.lt</t>
  </si>
  <si>
    <t>LT100004786814</t>
  </si>
  <si>
    <t>UAB "Open Agency"</t>
  </si>
  <si>
    <t>A. Goštauto g. 40, LT-03163 Vilnius</t>
  </si>
  <si>
    <t>open@openagency.lt</t>
  </si>
  <si>
    <t>+370 5 2195252</t>
  </si>
  <si>
    <t>43</t>
  </si>
  <si>
    <t>46</t>
  </si>
  <si>
    <t>53</t>
  </si>
  <si>
    <t>52</t>
  </si>
  <si>
    <t>2178</t>
  </si>
  <si>
    <t>2052</t>
  </si>
  <si>
    <t>2453</t>
  </si>
  <si>
    <t>2626</t>
  </si>
  <si>
    <t>2583</t>
  </si>
  <si>
    <t>2644</t>
  </si>
  <si>
    <t>2816,67</t>
  </si>
  <si>
    <t>http://www.openagency.lt</t>
  </si>
  <si>
    <t>https://rekvizitai.vz.lt/imone/open_agency/</t>
  </si>
  <si>
    <t>2009-07-01</t>
  </si>
  <si>
    <t>Media House, UAB</t>
  </si>
  <si>
    <t>mediahouse.lt</t>
  </si>
  <si>
    <t>LT117070716</t>
  </si>
  <si>
    <t>Uždaroji akcinė bendrovė "MEDIA HOUSE"</t>
  </si>
  <si>
    <t>Aukštaičių g. 7, LT-11341 Vilnius</t>
  </si>
  <si>
    <t>contact@media-house.com</t>
  </si>
  <si>
    <t>+370 5 2526270</t>
  </si>
  <si>
    <t>34</t>
  </si>
  <si>
    <t>30</t>
  </si>
  <si>
    <t>36</t>
  </si>
  <si>
    <t>35</t>
  </si>
  <si>
    <t>2463</t>
  </si>
  <si>
    <t>2559</t>
  </si>
  <si>
    <t>2700</t>
  </si>
  <si>
    <t>2844</t>
  </si>
  <si>
    <t>3103</t>
  </si>
  <si>
    <t>3298</t>
  </si>
  <si>
    <t>3468,10</t>
  </si>
  <si>
    <t>http://media-house.com/</t>
  </si>
  <si>
    <t>https://rekvizitai.vz.lt/imone/media_house/</t>
  </si>
  <si>
    <t>https://www.facebook.com/MediaHouseLT</t>
  </si>
  <si>
    <t>2000-07-27</t>
  </si>
  <si>
    <t>Whatabout.agency, UAB</t>
  </si>
  <si>
    <t>whatabout.agency</t>
  </si>
  <si>
    <t>Interneto vartų paslaugų veikla</t>
  </si>
  <si>
    <t>LT100008130318</t>
  </si>
  <si>
    <t>Whatabout agency, UAB</t>
  </si>
  <si>
    <t>Laisvės al. 59, Kaunas</t>
  </si>
  <si>
    <t>Kaunas</t>
  </si>
  <si>
    <t>info@whatabout.agency</t>
  </si>
  <si>
    <t>+370 610 79316</t>
  </si>
  <si>
    <t>17</t>
  </si>
  <si>
    <t>20</t>
  </si>
  <si>
    <t>21</t>
  </si>
  <si>
    <t>972</t>
  </si>
  <si>
    <t>1273</t>
  </si>
  <si>
    <t>1535</t>
  </si>
  <si>
    <t>1938</t>
  </si>
  <si>
    <t>2374</t>
  </si>
  <si>
    <t>2497</t>
  </si>
  <si>
    <t>2646,03</t>
  </si>
  <si>
    <t>https://whatabout.agency/</t>
  </si>
  <si>
    <t>https://rekvizitai.vz.lt/imone/whatabout_agency/</t>
  </si>
  <si>
    <t>https://www.facebook.com/whatabout.lt</t>
  </si>
  <si>
    <t>https://www.instagram.com/whatabout.agency/</t>
  </si>
  <si>
    <t>https://www.linkedin.com/company/whatabout/</t>
  </si>
  <si>
    <t>Žema</t>
  </si>
  <si>
    <t>2012-06-04</t>
  </si>
  <si>
    <t>Reprise Media, UAB</t>
  </si>
  <si>
    <t>reprise.com</t>
  </si>
  <si>
    <t>Digital media</t>
  </si>
  <si>
    <t>LT100011362012</t>
  </si>
  <si>
    <t>UAB "Reprise Media"</t>
  </si>
  <si>
    <t>Šaltinių g. 12, LT-03214 Vilnius</t>
  </si>
  <si>
    <t>info@reprise.lt</t>
  </si>
  <si>
    <t>+370 613 75088</t>
  </si>
  <si>
    <t>27</t>
  </si>
  <si>
    <t>29</t>
  </si>
  <si>
    <t>25</t>
  </si>
  <si>
    <t>2233</t>
  </si>
  <si>
    <t>2199</t>
  </si>
  <si>
    <t>2483</t>
  </si>
  <si>
    <t>2808</t>
  </si>
  <si>
    <t>3307</t>
  </si>
  <si>
    <t>3578</t>
  </si>
  <si>
    <t>4181,84</t>
  </si>
  <si>
    <t>https://reprise.lt/</t>
  </si>
  <si>
    <t>https://rekvizitai.vz.lt/imone/reprise_media/</t>
  </si>
  <si>
    <t>2017-12-18</t>
  </si>
  <si>
    <t>Arena Media, UAB</t>
  </si>
  <si>
    <t>arenamedia.lt</t>
  </si>
  <si>
    <t>LT100002645214</t>
  </si>
  <si>
    <t>Jogailos g. 4, LT-01116 Vilnius</t>
  </si>
  <si>
    <t>media@arenamedia.lt</t>
  </si>
  <si>
    <t>+370 5 2690033</t>
  </si>
  <si>
    <t>16</t>
  </si>
  <si>
    <t>11</t>
  </si>
  <si>
    <t>12</t>
  </si>
  <si>
    <t>13</t>
  </si>
  <si>
    <t>14</t>
  </si>
  <si>
    <t>2606</t>
  </si>
  <si>
    <t>3065</t>
  </si>
  <si>
    <t>3304</t>
  </si>
  <si>
    <t>3252</t>
  </si>
  <si>
    <t>3314</t>
  </si>
  <si>
    <t>3423,28</t>
  </si>
  <si>
    <t>http://www.arenamedia.lt</t>
  </si>
  <si>
    <t>https://rekvizitai.vz.lt/imone/adcom/</t>
  </si>
  <si>
    <t>2006-09-08</t>
  </si>
  <si>
    <t>Havas Media, UAB</t>
  </si>
  <si>
    <t>havasmedia.lt</t>
  </si>
  <si>
    <t>LT100004728312</t>
  </si>
  <si>
    <t>info@havasmedia.lt</t>
  </si>
  <si>
    <t>+370 616 76777</t>
  </si>
  <si>
    <t>22</t>
  </si>
  <si>
    <t>24</t>
  </si>
  <si>
    <t>2194</t>
  </si>
  <si>
    <t>2794</t>
  </si>
  <si>
    <t>3492</t>
  </si>
  <si>
    <t>3663</t>
  </si>
  <si>
    <t>4774,82</t>
  </si>
  <si>
    <t>https://rekvizitai.vz.lt/imone/uab_mpg_idea/</t>
  </si>
  <si>
    <t>2009-05-28</t>
  </si>
  <si>
    <t>Via Media, UAB</t>
  </si>
  <si>
    <t>viamedia.lt</t>
  </si>
  <si>
    <t>LT116256917</t>
  </si>
  <si>
    <t>Uždaroji akcinė bendrovė "VIA MEDIA"</t>
  </si>
  <si>
    <t>office.lithuania@mindsharebaltics.com</t>
  </si>
  <si>
    <t>28</t>
  </si>
  <si>
    <t>26</t>
  </si>
  <si>
    <t>2532</t>
  </si>
  <si>
    <t>2641</t>
  </si>
  <si>
    <t>2528</t>
  </si>
  <si>
    <t>2861</t>
  </si>
  <si>
    <t>3073</t>
  </si>
  <si>
    <t>3024,69</t>
  </si>
  <si>
    <t>https://www.mindshareworld.com/lithuania/offices/vilnius-lithuania</t>
  </si>
  <si>
    <t>https://rekvizitai.vz.lt/imone/via_media/</t>
  </si>
  <si>
    <t>1998-03-31</t>
  </si>
  <si>
    <t>Trendmark, UAB</t>
  </si>
  <si>
    <t>trendmark.lt</t>
  </si>
  <si>
    <t>LT100001028614</t>
  </si>
  <si>
    <t>UAB "Trendmark"</t>
  </si>
  <si>
    <t>Savičiaus g. 3A-36, LT-01127 Vilnius</t>
  </si>
  <si>
    <t>info@mediacom.lt</t>
  </si>
  <si>
    <t>+370 5 2608463</t>
  </si>
  <si>
    <t>2175</t>
  </si>
  <si>
    <t>2572</t>
  </si>
  <si>
    <t>2688</t>
  </si>
  <si>
    <t>2915</t>
  </si>
  <si>
    <t>3033</t>
  </si>
  <si>
    <t>2672</t>
  </si>
  <si>
    <t>2653,34</t>
  </si>
  <si>
    <t>http://www.mediacom.lt</t>
  </si>
  <si>
    <t>https://rekvizitai.vz.lt/imone/trendmark/</t>
  </si>
  <si>
    <t>2004-04-27</t>
  </si>
  <si>
    <t>Adell reklama, UAB</t>
  </si>
  <si>
    <t>Kūryba</t>
  </si>
  <si>
    <t>LT107716811</t>
  </si>
  <si>
    <t>Uždaroji akcinė bendrovė "ADELL REKLAMA"</t>
  </si>
  <si>
    <t>Aukštaičių g. 7u, LT-11341 Vilnius</t>
  </si>
  <si>
    <t>david@ogilvy.lt</t>
  </si>
  <si>
    <t>+370 619 19525</t>
  </si>
  <si>
    <t>45</t>
  </si>
  <si>
    <t>50</t>
  </si>
  <si>
    <t>2709</t>
  </si>
  <si>
    <t>2940</t>
  </si>
  <si>
    <t>3106</t>
  </si>
  <si>
    <t>3263</t>
  </si>
  <si>
    <t>4041</t>
  </si>
  <si>
    <t>3618</t>
  </si>
  <si>
    <t>3183,97</t>
  </si>
  <si>
    <t>http://www.ogilvy.lt</t>
  </si>
  <si>
    <t>https://rekvizitai.vz.lt/imone/adell_reklama/</t>
  </si>
  <si>
    <t>1997-04-18</t>
  </si>
  <si>
    <t>Fabula ir partneriai, UAB</t>
  </si>
  <si>
    <t>fabula.lt</t>
  </si>
  <si>
    <t>PR</t>
  </si>
  <si>
    <t>PA</t>
  </si>
  <si>
    <t>LT240991219</t>
  </si>
  <si>
    <t>UAB "Fabula ir partneriai"</t>
  </si>
  <si>
    <t>Gedimino pr. 10-5, Vilnius</t>
  </si>
  <si>
    <t>info@fabula.lt</t>
  </si>
  <si>
    <t>37</t>
  </si>
  <si>
    <t>42</t>
  </si>
  <si>
    <t>44</t>
  </si>
  <si>
    <t>2524</t>
  </si>
  <si>
    <t>2480</t>
  </si>
  <si>
    <t>2666</t>
  </si>
  <si>
    <t>2813</t>
  </si>
  <si>
    <t>3463</t>
  </si>
  <si>
    <t>3525,44</t>
  </si>
  <si>
    <t>http://www.fabula.lt</t>
  </si>
  <si>
    <t>https://rekvizitai.vz.lt/imone/viesuju_rysiu_partneriai/</t>
  </si>
  <si>
    <t>1997-07-03</t>
  </si>
  <si>
    <t>SOMA Agency (Havas), UAB</t>
  </si>
  <si>
    <t>somaagency.lt</t>
  </si>
  <si>
    <t>kūryba</t>
  </si>
  <si>
    <t>LT100006633414</t>
  </si>
  <si>
    <t>Havas Creative SOMA, UAB</t>
  </si>
  <si>
    <t>info@soma.agency</t>
  </si>
  <si>
    <t>1923</t>
  </si>
  <si>
    <t>2084</t>
  </si>
  <si>
    <t>2229</t>
  </si>
  <si>
    <t>2748</t>
  </si>
  <si>
    <t>3185</t>
  </si>
  <si>
    <t>3281</t>
  </si>
  <si>
    <t>3350,62</t>
  </si>
  <si>
    <t>https://rekvizitai.vz.lt/imone/socialus_marketingas/</t>
  </si>
  <si>
    <t>2012-01-17</t>
  </si>
  <si>
    <t>Partizanas, UAB</t>
  </si>
  <si>
    <t>partizanas.lt</t>
  </si>
  <si>
    <t>renginiai</t>
  </si>
  <si>
    <t>LT100001307515</t>
  </si>
  <si>
    <t>Uždaroji akcinė bendrovė "PARTIZANAS"</t>
  </si>
  <si>
    <t>Kauno g. 16-303, LT-03212 Vilnius</t>
  </si>
  <si>
    <t>info@partizanas.lt</t>
  </si>
  <si>
    <t>+370 5 2335527</t>
  </si>
  <si>
    <t>99</t>
  </si>
  <si>
    <t>82</t>
  </si>
  <si>
    <t>78</t>
  </si>
  <si>
    <t>1280</t>
  </si>
  <si>
    <t>1412</t>
  </si>
  <si>
    <t>1650</t>
  </si>
  <si>
    <t>2101</t>
  </si>
  <si>
    <t>2396</t>
  </si>
  <si>
    <t>2591</t>
  </si>
  <si>
    <t>2759,13</t>
  </si>
  <si>
    <t>http://www.partizanas.lt</t>
  </si>
  <si>
    <t>https://rekvizitai.vz.lt/imone/partizanas/</t>
  </si>
  <si>
    <t>2004-11-04</t>
  </si>
  <si>
    <t>Publicum, UAB</t>
  </si>
  <si>
    <t>publicum.lt</t>
  </si>
  <si>
    <t>pr</t>
  </si>
  <si>
    <t>LT256717515</t>
  </si>
  <si>
    <t>UŽDAROJI AKCINĖ BENDROVĖ "PUBLICUM"</t>
  </si>
  <si>
    <t>info@publicum.lt</t>
  </si>
  <si>
    <t>2883</t>
  </si>
  <si>
    <t>3361</t>
  </si>
  <si>
    <t>3888</t>
  </si>
  <si>
    <t>3765</t>
  </si>
  <si>
    <t>4390</t>
  </si>
  <si>
    <t>4929</t>
  </si>
  <si>
    <t>4917,04</t>
  </si>
  <si>
    <t>http://www.publicum.lt</t>
  </si>
  <si>
    <t>https://rekvizitai.vz.lt/imone/publicum/</t>
  </si>
  <si>
    <t>2001-06-29</t>
  </si>
  <si>
    <t>SuperYou, UAB</t>
  </si>
  <si>
    <t>superyou.lt</t>
  </si>
  <si>
    <t>LT100007489513</t>
  </si>
  <si>
    <t>UAB "SuperYou"</t>
  </si>
  <si>
    <t>Švitrigailos g. 11B, Vilnius</t>
  </si>
  <si>
    <t>superyou@superyou.lt</t>
  </si>
  <si>
    <t>41</t>
  </si>
  <si>
    <t>56</t>
  </si>
  <si>
    <t>2182</t>
  </si>
  <si>
    <t>2407</t>
  </si>
  <si>
    <t>2574</t>
  </si>
  <si>
    <t>2787</t>
  </si>
  <si>
    <t>3005</t>
  </si>
  <si>
    <t>3057,22</t>
  </si>
  <si>
    <t>http://www.superyou.lt</t>
  </si>
  <si>
    <t>https://rekvizitai.vz.lt/imone/the_xx/</t>
  </si>
  <si>
    <t>2011-12-30</t>
  </si>
  <si>
    <t>co:agency, UAB</t>
  </si>
  <si>
    <t>coagency.lt</t>
  </si>
  <si>
    <t>LT100001552013</t>
  </si>
  <si>
    <t>UAB coagency</t>
  </si>
  <si>
    <t>Paupio g. 50-136, LT-11341 Vilnius</t>
  </si>
  <si>
    <t>info@coagency.lt</t>
  </si>
  <si>
    <t>1975</t>
  </si>
  <si>
    <t>1912</t>
  </si>
  <si>
    <t>2050</t>
  </si>
  <si>
    <t>2306</t>
  </si>
  <si>
    <t>2557</t>
  </si>
  <si>
    <t>2745</t>
  </si>
  <si>
    <t>2984,40</t>
  </si>
  <si>
    <t>http://www.coagency.lt</t>
  </si>
  <si>
    <t>https://rekvizitai.vz.lt/imone/coagency/</t>
  </si>
  <si>
    <t>2005-01-06</t>
  </si>
  <si>
    <t>NEW! Creative Agency, UAB</t>
  </si>
  <si>
    <t>newcreative.lt</t>
  </si>
  <si>
    <t>LT100006600519</t>
  </si>
  <si>
    <t>UAB "New Agency"</t>
  </si>
  <si>
    <t>A. Goštauto g. 40-1, Vilnius</t>
  </si>
  <si>
    <t>goodnews@newisnew.lt</t>
  </si>
  <si>
    <t>23</t>
  </si>
  <si>
    <t>1952</t>
  </si>
  <si>
    <t>1803</t>
  </si>
  <si>
    <t>1970</t>
  </si>
  <si>
    <t>2512</t>
  </si>
  <si>
    <t>2995</t>
  </si>
  <si>
    <t>3105</t>
  </si>
  <si>
    <t>3428,82</t>
  </si>
  <si>
    <t>http://www.newisnew.lt</t>
  </si>
  <si>
    <t>https://rekvizitai.vz.lt/imone/new_agency/</t>
  </si>
  <si>
    <t>https://www.facebook.com/NewCreativeAgency/</t>
  </si>
  <si>
    <t>Not Perfect, UAB</t>
  </si>
  <si>
    <t>notperfect.lt</t>
  </si>
  <si>
    <t>LT100002437412</t>
  </si>
  <si>
    <t>UAB "Not Perfect Vilnius"</t>
  </si>
  <si>
    <t>Antakalnio g. 17, LT-10312 Vilnius</t>
  </si>
  <si>
    <t>vilnius@notperfect.com</t>
  </si>
  <si>
    <t>1427</t>
  </si>
  <si>
    <t>1617</t>
  </si>
  <si>
    <t>2218</t>
  </si>
  <si>
    <t>2630</t>
  </si>
  <si>
    <t>3213</t>
  </si>
  <si>
    <t>3248</t>
  </si>
  <si>
    <t>2844,20</t>
  </si>
  <si>
    <t>http://www.notperfect.com/</t>
  </si>
  <si>
    <t>https://rekvizitai.vz.lt/imone/not_perfect/</t>
  </si>
  <si>
    <t>2006-01-24</t>
  </si>
  <si>
    <t>Idea Prima, UAB</t>
  </si>
  <si>
    <t>ideaprima.lt</t>
  </si>
  <si>
    <t>LT260933515</t>
  </si>
  <si>
    <t>UAB "Idea prima"</t>
  </si>
  <si>
    <t>Pylimo g. 58, LT-01307 Vilnius</t>
  </si>
  <si>
    <t>info@ideaprima.lt</t>
  </si>
  <si>
    <t>+370 5 2120317</t>
  </si>
  <si>
    <t>1979</t>
  </si>
  <si>
    <t>2145</t>
  </si>
  <si>
    <t>2734</t>
  </si>
  <si>
    <t>2592</t>
  </si>
  <si>
    <t>2930</t>
  </si>
  <si>
    <t>3374</t>
  </si>
  <si>
    <t>4168,51</t>
  </si>
  <si>
    <t>http://www.ideaprima.lt</t>
  </si>
  <si>
    <t>https://rekvizitai.vz.lt/imone/idea_prima/</t>
  </si>
  <si>
    <t>https://www.facebook.com/kasnaujoposaule</t>
  </si>
  <si>
    <t>https://www.instagram.com/idea.prima/</t>
  </si>
  <si>
    <t>2002-11-27</t>
  </si>
  <si>
    <t>INK Agency, UAB</t>
  </si>
  <si>
    <t>inkagency.lt</t>
  </si>
  <si>
    <t>LT100001738313</t>
  </si>
  <si>
    <t>UAB "INK agency"</t>
  </si>
  <si>
    <t>info@inkagency.lt</t>
  </si>
  <si>
    <t>+370 5 2102060</t>
  </si>
  <si>
    <t>2472</t>
  </si>
  <si>
    <t>2653</t>
  </si>
  <si>
    <t>3013</t>
  </si>
  <si>
    <t>3356</t>
  </si>
  <si>
    <t>3590</t>
  </si>
  <si>
    <t>3599,04</t>
  </si>
  <si>
    <t>http://www.inkagency.lt</t>
  </si>
  <si>
    <t>https://rekvizitai.vz.lt/imone/ink_agency/</t>
  </si>
  <si>
    <t>https://www.facebook.com/inkagency.lt</t>
  </si>
  <si>
    <t>2005-06-09</t>
  </si>
  <si>
    <t>Astos dizainas, UAB</t>
  </si>
  <si>
    <t>LT239328515</t>
  </si>
  <si>
    <t>Uždaroji akcinė bendrovė "ASTOS DIZAINAS"</t>
  </si>
  <si>
    <t>Maironio g. 11, Vilnius</t>
  </si>
  <si>
    <t>hello@truth.lt</t>
  </si>
  <si>
    <t>+370 5 2124509</t>
  </si>
  <si>
    <t>+370 619 14508</t>
  </si>
  <si>
    <t>2507</t>
  </si>
  <si>
    <t>2648</t>
  </si>
  <si>
    <t>2759</t>
  </si>
  <si>
    <t>3002</t>
  </si>
  <si>
    <t>3258</t>
  </si>
  <si>
    <t>3100,24</t>
  </si>
  <si>
    <t>http://truth.lt</t>
  </si>
  <si>
    <t>https://rekvizitai.vz.lt/imone/astos_dizainas/</t>
  </si>
  <si>
    <t>1997-03-14</t>
  </si>
  <si>
    <t>Integrity PR, UAB</t>
  </si>
  <si>
    <t>integrity.lt</t>
  </si>
  <si>
    <t>LT116887811</t>
  </si>
  <si>
    <t>UAB "INTEGRITY PR"</t>
  </si>
  <si>
    <t>Šv. Ignoto g. 5, LT-01144 Vilnius</t>
  </si>
  <si>
    <t>info@integrity.lt</t>
  </si>
  <si>
    <t>+370 5 2685135</t>
  </si>
  <si>
    <t>2430</t>
  </si>
  <si>
    <t>3043</t>
  </si>
  <si>
    <t>2910</t>
  </si>
  <si>
    <t>3402</t>
  </si>
  <si>
    <t>3253</t>
  </si>
  <si>
    <t>3030,33</t>
  </si>
  <si>
    <t>http://www.integrity.lt</t>
  </si>
  <si>
    <t>https://rekvizitai.vz.lt/imone/integrity_pr/</t>
  </si>
  <si>
    <t>https://www.facebook.com/integritypr</t>
  </si>
  <si>
    <t>https://www.instagram.com/integrity_pr/</t>
  </si>
  <si>
    <t>https://www.linkedin.com/company/integrity-pr/</t>
  </si>
  <si>
    <t>2000-01-21</t>
  </si>
  <si>
    <t>Influenceriai.lt, UAB</t>
  </si>
  <si>
    <t>influenceriai.lt</t>
  </si>
  <si>
    <t>Reklamos agentūrų veikla</t>
  </si>
  <si>
    <t>LT100011387310</t>
  </si>
  <si>
    <t>UAB "Nuomonės lyderiai"</t>
  </si>
  <si>
    <t>Žygio g. 97A, LT-08236 Vilnius</t>
  </si>
  <si>
    <t>hello@influenceriai.lt</t>
  </si>
  <si>
    <t>3</t>
  </si>
  <si>
    <t>5</t>
  </si>
  <si>
    <t>8</t>
  </si>
  <si>
    <t>1764</t>
  </si>
  <si>
    <t>1914</t>
  </si>
  <si>
    <t>2004</t>
  </si>
  <si>
    <t>2143</t>
  </si>
  <si>
    <t>2169</t>
  </si>
  <si>
    <t>2452</t>
  </si>
  <si>
    <t>2688,34</t>
  </si>
  <si>
    <t>http://www.influenceriai.lt</t>
  </si>
  <si>
    <t>https://rekvizitai.vz.lt/imone/nuomones_lyderiai/</t>
  </si>
  <si>
    <t>https://www.facebook.com/influenceriai.lt/</t>
  </si>
  <si>
    <t>2018-01-11</t>
  </si>
  <si>
    <t>Expertmedia, UAB</t>
  </si>
  <si>
    <t>expertmedia.lt</t>
  </si>
  <si>
    <t>LT100010428215</t>
  </si>
  <si>
    <t>UAB "RAKVA"</t>
  </si>
  <si>
    <t>Šeškinės Sodų g. 12-51, Vilnius</t>
  </si>
  <si>
    <t>zygimantas@expertmedia.lt</t>
  </si>
  <si>
    <t>+370 686 62078</t>
  </si>
  <si>
    <t>9</t>
  </si>
  <si>
    <t>15</t>
  </si>
  <si>
    <t>831</t>
  </si>
  <si>
    <t>1019</t>
  </si>
  <si>
    <t>1264</t>
  </si>
  <si>
    <t>1660</t>
  </si>
  <si>
    <t>1792</t>
  </si>
  <si>
    <t>2026</t>
  </si>
  <si>
    <t>1966,87</t>
  </si>
  <si>
    <t>http://www.expertmedia.lt</t>
  </si>
  <si>
    <t>https://rekvizitai.vz.lt/imone/uab_rakva/</t>
  </si>
  <si>
    <t>https://www.facebook.com/expertmedia.lt</t>
  </si>
  <si>
    <t>https://www.instagram.com/expertmedia.marketing/</t>
  </si>
  <si>
    <t>https://www.linkedin.com/company/expertmedia-lietuva</t>
  </si>
  <si>
    <t>2008-02-04</t>
  </si>
  <si>
    <t>Sons &amp; Daughters, UAB</t>
  </si>
  <si>
    <t>LT116216716</t>
  </si>
  <si>
    <t>UAB "Sons &amp; Daughters"</t>
  </si>
  <si>
    <t>J. Basanavičiaus g. 26, LT-03224 Vilnius</t>
  </si>
  <si>
    <t>hi@sonsdaughters.lt</t>
  </si>
  <si>
    <t>+370 5 2312190</t>
  </si>
  <si>
    <t>2045</t>
  </si>
  <si>
    <t>1657</t>
  </si>
  <si>
    <t>2046</t>
  </si>
  <si>
    <t>2269</t>
  </si>
  <si>
    <t>2874</t>
  </si>
  <si>
    <t>3260</t>
  </si>
  <si>
    <t>3384,45</t>
  </si>
  <si>
    <t>https://www.sonsdaughters.lt</t>
  </si>
  <si>
    <t>https://rekvizitai.vz.lt/imone/ddb_vilnius/</t>
  </si>
  <si>
    <t>https://www.facebook.com/sons.daughters.agency</t>
  </si>
  <si>
    <t>1998-02-19</t>
  </si>
  <si>
    <t>Headline, UAB</t>
  </si>
  <si>
    <t>headline.lt</t>
  </si>
  <si>
    <t>LT100003575114</t>
  </si>
  <si>
    <t>UAB "Headline Agency"</t>
  </si>
  <si>
    <t>Mėsinių g. 5, Vilnius</t>
  </si>
  <si>
    <t>info@headline.lt</t>
  </si>
  <si>
    <t>2502</t>
  </si>
  <si>
    <t>2615</t>
  </si>
  <si>
    <t>2799</t>
  </si>
  <si>
    <t>3015</t>
  </si>
  <si>
    <t>3176</t>
  </si>
  <si>
    <t>3453,01</t>
  </si>
  <si>
    <t>http://www.headline.lt</t>
  </si>
  <si>
    <t>https://rekvizitai.vz.lt/imone/headline_agency/</t>
  </si>
  <si>
    <t>2007-10-18</t>
  </si>
  <si>
    <t>Synthesis Consulting Group, UAB</t>
  </si>
  <si>
    <t>synthesis.lt</t>
  </si>
  <si>
    <t>LT100010176811</t>
  </si>
  <si>
    <t>UAB "Synthesis Consulting Group"</t>
  </si>
  <si>
    <t>Raugyklos g. 21-2, Vilnius</t>
  </si>
  <si>
    <t>gediminas@synthesiscg.com</t>
  </si>
  <si>
    <t>+370 684 64083</t>
  </si>
  <si>
    <t>4</t>
  </si>
  <si>
    <t>7</t>
  </si>
  <si>
    <t>\N</t>
  </si>
  <si>
    <t>1195</t>
  </si>
  <si>
    <t>1060</t>
  </si>
  <si>
    <t>1269</t>
  </si>
  <si>
    <t>1899</t>
  </si>
  <si>
    <t>2711</t>
  </si>
  <si>
    <t>3199,51</t>
  </si>
  <si>
    <t>https://synthesiscg.com/</t>
  </si>
  <si>
    <t>https://rekvizitai.vz.lt/imone/synthesis_consulting_group/</t>
  </si>
  <si>
    <t>2016-04-26</t>
  </si>
  <si>
    <t>We Are Marketing, UAB</t>
  </si>
  <si>
    <t>wearemarketing.lt</t>
  </si>
  <si>
    <t>LT100007131714</t>
  </si>
  <si>
    <t>Didžioji g. 30, LT-01128 Vilnius</t>
  </si>
  <si>
    <t>hello@wearemarketing.lt</t>
  </si>
  <si>
    <t>10</t>
  </si>
  <si>
    <t>2301</t>
  </si>
  <si>
    <t>2659</t>
  </si>
  <si>
    <t>2964</t>
  </si>
  <si>
    <t>3336</t>
  </si>
  <si>
    <t>4047,20</t>
  </si>
  <si>
    <t>https://wearemarketing.lt</t>
  </si>
  <si>
    <t>https://rekvizitai.vz.lt/imone/we_are_marketing_uab/</t>
  </si>
  <si>
    <t>2012-09-07</t>
  </si>
  <si>
    <t>Du Dvylika, UAB</t>
  </si>
  <si>
    <t>LT100005596915</t>
  </si>
  <si>
    <t>UAB Du Dvylika</t>
  </si>
  <si>
    <t>J. Jasinskio g. 14B-102, Vilnius</t>
  </si>
  <si>
    <t>jolanta@clinic212.lt</t>
  </si>
  <si>
    <t>+370 687 25465</t>
  </si>
  <si>
    <t>2654</t>
  </si>
  <si>
    <t>2888</t>
  </si>
  <si>
    <t>2866</t>
  </si>
  <si>
    <t>3251</t>
  </si>
  <si>
    <t>3475</t>
  </si>
  <si>
    <t>3781,30</t>
  </si>
  <si>
    <t>http://www.clinic212.lt</t>
  </si>
  <si>
    <t>https://rekvizitai.vz.lt/imone/uab_du_dvylika/</t>
  </si>
  <si>
    <t>Vidutinė</t>
  </si>
  <si>
    <t>2010-08-11</t>
  </si>
  <si>
    <t>Be reklamos negerai, UAB</t>
  </si>
  <si>
    <t>bereklamosnegerai.lt</t>
  </si>
  <si>
    <t>LT100011997316</t>
  </si>
  <si>
    <t>UAB "Ateities rinkodara"</t>
  </si>
  <si>
    <t>Latvių g. 15, 1 aukštas, LT-08123 Vilnius</t>
  </si>
  <si>
    <t>info@bereklamosnegerai.lt</t>
  </si>
  <si>
    <t>2</t>
  </si>
  <si>
    <t>1201</t>
  </si>
  <si>
    <t>1353</t>
  </si>
  <si>
    <t>1957</t>
  </si>
  <si>
    <t>2075</t>
  </si>
  <si>
    <t>2326,87</t>
  </si>
  <si>
    <t>http://www.bereklamosnegerai.lt/</t>
  </si>
  <si>
    <t>https://rekvizitai.vz.lt/imone/ateities_rinkodara/</t>
  </si>
  <si>
    <t>https://www.facebook.com/bereklamosnegerai.lt/</t>
  </si>
  <si>
    <t>https://www.instagram.com/be_reklamos_negerai/</t>
  </si>
  <si>
    <t>https://www.linkedin.com/company/be-reklamos-negerai</t>
  </si>
  <si>
    <t>Aukšta</t>
  </si>
  <si>
    <t>2018-10-12</t>
  </si>
  <si>
    <t>RAIBEC, UAB</t>
  </si>
  <si>
    <t>raibec.lt</t>
  </si>
  <si>
    <t>Kompiuterių programavimo veikla</t>
  </si>
  <si>
    <t>LT485089314</t>
  </si>
  <si>
    <t>UAB "LITS"</t>
  </si>
  <si>
    <t>Nemuno g. 76-34, LT-35190 Panevėžys</t>
  </si>
  <si>
    <t>Panevėžys</t>
  </si>
  <si>
    <t>info@lits.lt</t>
  </si>
  <si>
    <t>1445</t>
  </si>
  <si>
    <t>1860</t>
  </si>
  <si>
    <t>2168</t>
  </si>
  <si>
    <t>2786</t>
  </si>
  <si>
    <t>2400</t>
  </si>
  <si>
    <t>2948</t>
  </si>
  <si>
    <t>3364,73</t>
  </si>
  <si>
    <t>https://www.lits.lt</t>
  </si>
  <si>
    <t>https://rekvizitai.vz.lt/imone/raibec_be_efficient_online/</t>
  </si>
  <si>
    <t>2003-01-22</t>
  </si>
  <si>
    <t>Smart, UAB</t>
  </si>
  <si>
    <t>smarts.lt</t>
  </si>
  <si>
    <t>LT263278716</t>
  </si>
  <si>
    <t>UAB "Protingi sprendimai"</t>
  </si>
  <si>
    <t>Kęstučio g. 65-201, Vilnius</t>
  </si>
  <si>
    <t>info@smarts.lt</t>
  </si>
  <si>
    <t>+370 5 2313933</t>
  </si>
  <si>
    <t>1300</t>
  </si>
  <si>
    <t>1249</t>
  </si>
  <si>
    <t>1588</t>
  </si>
  <si>
    <t>1795</t>
  </si>
  <si>
    <t>1791</t>
  </si>
  <si>
    <t>2209,90</t>
  </si>
  <si>
    <t>http://www.smarts.lt</t>
  </si>
  <si>
    <t>https://rekvizitai.vz.lt/imone/protingi_sprendimai/</t>
  </si>
  <si>
    <t>2003-09-22</t>
  </si>
  <si>
    <t>Nomads, UAB</t>
  </si>
  <si>
    <t>nomads.lt</t>
  </si>
  <si>
    <t>Biotechnologijos moksliniai tyrimai ir taikomoji veikla</t>
  </si>
  <si>
    <t>LT100005225412</t>
  </si>
  <si>
    <t>UAB "Nomads"</t>
  </si>
  <si>
    <t>Mokslininkų g. 2, Vilnius</t>
  </si>
  <si>
    <t>+370 5 2331589</t>
  </si>
  <si>
    <t>3769</t>
  </si>
  <si>
    <t>2903</t>
  </si>
  <si>
    <t>2960</t>
  </si>
  <si>
    <t>3094</t>
  </si>
  <si>
    <t>3041</t>
  </si>
  <si>
    <t>2976</t>
  </si>
  <si>
    <t>https://rekvizitai.vz.lt/imone/uab_nomads/</t>
  </si>
  <si>
    <t>2009-09-28</t>
  </si>
  <si>
    <t>Maniac, UAB</t>
  </si>
  <si>
    <t>maniac.lt</t>
  </si>
  <si>
    <t>LT108890811</t>
  </si>
  <si>
    <t>UAB "Maniakai"</t>
  </si>
  <si>
    <t>J. Jasinskio g. 16A, LT-03163 Vilnius</t>
  </si>
  <si>
    <t>maniac@maniac.lt</t>
  </si>
  <si>
    <t>+370 5 2791747</t>
  </si>
  <si>
    <t>6</t>
  </si>
  <si>
    <t>1994</t>
  </si>
  <si>
    <t>1582</t>
  </si>
  <si>
    <t>1820</t>
  </si>
  <si>
    <t>2056</t>
  </si>
  <si>
    <t>1935</t>
  </si>
  <si>
    <t>1593,45</t>
  </si>
  <si>
    <t>http://www.maniac.lt</t>
  </si>
  <si>
    <t>https://rekvizitai.vz.lt/imone/maniakai/</t>
  </si>
  <si>
    <t>2003-04-17</t>
  </si>
  <si>
    <t>Convo, UAB</t>
  </si>
  <si>
    <t>convo.lt</t>
  </si>
  <si>
    <t>LT100011432219</t>
  </si>
  <si>
    <t>UAB "Sėkmingi"</t>
  </si>
  <si>
    <t>Putvinskio g. 62, LT-44211 Kaunas</t>
  </si>
  <si>
    <t>hello@convo.lt</t>
  </si>
  <si>
    <t>+370 687 73251</t>
  </si>
  <si>
    <t>825</t>
  </si>
  <si>
    <t>915</t>
  </si>
  <si>
    <t>1144</t>
  </si>
  <si>
    <t>1415</t>
  </si>
  <si>
    <t>1933</t>
  </si>
  <si>
    <t>2028</t>
  </si>
  <si>
    <t>2024,81</t>
  </si>
  <si>
    <t>http://www.convo.lt</t>
  </si>
  <si>
    <t>https://rekvizitai.vz.lt/imone/sekmingi/</t>
  </si>
  <si>
    <t>https://www.facebook.com/agencyconvo</t>
  </si>
  <si>
    <t>https://www.linkedin.com/company/agencyconvo</t>
  </si>
  <si>
    <t>2018-01-26</t>
  </si>
  <si>
    <t>Particle PR, UAB</t>
  </si>
  <si>
    <t>particlepr.lt</t>
  </si>
  <si>
    <t>LT100016237315</t>
  </si>
  <si>
    <t>UAB Particle PR</t>
  </si>
  <si>
    <t>Raugyklos g. 21-15, Vilnius</t>
  </si>
  <si>
    <t>kskindelyte@gmail.com</t>
  </si>
  <si>
    <t>2871</t>
  </si>
  <si>
    <t>2938</t>
  </si>
  <si>
    <t>3042,61</t>
  </si>
  <si>
    <t>https://rekvizitai.vz.lt/imone/perception_lab/</t>
  </si>
  <si>
    <t>2023-05-09</t>
  </si>
  <si>
    <t>Panama Agency, UAB</t>
  </si>
  <si>
    <t>panamaagency.lt</t>
  </si>
  <si>
    <t>LT100013724319</t>
  </si>
  <si>
    <t>MB Panama agency</t>
  </si>
  <si>
    <t>Liepų g. 83, LT-92195 Klaipėda</t>
  </si>
  <si>
    <t>Klaipėda</t>
  </si>
  <si>
    <t>info@agencypanama.lt</t>
  </si>
  <si>
    <t>1</t>
  </si>
  <si>
    <t>1420</t>
  </si>
  <si>
    <t>1995</t>
  </si>
  <si>
    <t>2159,38</t>
  </si>
  <si>
    <t>http://agencypanama.lt</t>
  </si>
  <si>
    <t>https://rekvizitai.vz.lt/imone/panama_agency/</t>
  </si>
  <si>
    <t>https://www.facebook.com/agencypanama</t>
  </si>
  <si>
    <t>https://www.instagram.com/agencypanama.lt</t>
  </si>
  <si>
    <t>https://www.linkedin.com/company/agencypanama</t>
  </si>
  <si>
    <t>2021-01-11</t>
  </si>
  <si>
    <t>IC Baltic, UAB</t>
  </si>
  <si>
    <t>Viešųjų ryšių ir komunikacijos veikla</t>
  </si>
  <si>
    <t>LT100000966518</t>
  </si>
  <si>
    <t>UAB "IC BALTIC"</t>
  </si>
  <si>
    <t>Manufaktūrų g. 20-232, LT-11342 Vilnius</t>
  </si>
  <si>
    <t>office@impactadvisory.eu</t>
  </si>
  <si>
    <t>1572</t>
  </si>
  <si>
    <t>2349</t>
  </si>
  <si>
    <t>2364</t>
  </si>
  <si>
    <t>1821</t>
  </si>
  <si>
    <t>2005</t>
  </si>
  <si>
    <t>2055</t>
  </si>
  <si>
    <t>https://www.impactadvisory.eu</t>
  </si>
  <si>
    <t>https://rekvizitai.vz.lt/imone/ic_baltic/</t>
  </si>
  <si>
    <t>2004-04-09</t>
  </si>
  <si>
    <t>Tarela, UAB</t>
  </si>
  <si>
    <t>tarela.lt</t>
  </si>
  <si>
    <t>LT242577811</t>
  </si>
  <si>
    <t>Uždaroji akcinė bendrovė "TARELA"</t>
  </si>
  <si>
    <t>Kražių g. 4-2, LT-01108 Vilnius</t>
  </si>
  <si>
    <t>labas@tarela.lt</t>
  </si>
  <si>
    <t>1348</t>
  </si>
  <si>
    <t>1361</t>
  </si>
  <si>
    <t>1516</t>
  </si>
  <si>
    <t>1793</t>
  </si>
  <si>
    <t>1977</t>
  </si>
  <si>
    <t>2056,30</t>
  </si>
  <si>
    <t>https://tarela.lt</t>
  </si>
  <si>
    <t>https://rekvizitai.vz.lt/imone/tarela/</t>
  </si>
  <si>
    <t>https://www.facebook.com/Tarela.agency/</t>
  </si>
  <si>
    <t>https://www.instagram.com/tarela.agency/</t>
  </si>
  <si>
    <t>https://www.linkedin.com/company/tarela/</t>
  </si>
  <si>
    <t>1997-11-19</t>
  </si>
  <si>
    <t>Adface, UAB</t>
  </si>
  <si>
    <t>adface.lt</t>
  </si>
  <si>
    <t>LT100004124412</t>
  </si>
  <si>
    <t>UAB "Adface"</t>
  </si>
  <si>
    <t>Vilties g. 2, LT-46326 Kaunas</t>
  </si>
  <si>
    <t>info@adface.lt</t>
  </si>
  <si>
    <t>1065</t>
  </si>
  <si>
    <t>1170</t>
  </si>
  <si>
    <t>1308</t>
  </si>
  <si>
    <t>1500</t>
  </si>
  <si>
    <t>1529</t>
  </si>
  <si>
    <t>1848</t>
  </si>
  <si>
    <t>1928,05</t>
  </si>
  <si>
    <t>https://adface.lt/</t>
  </si>
  <si>
    <t>https://rekvizitai.vz.lt/imone/adface/</t>
  </si>
  <si>
    <t>https://www.facebook.com/marketingoagenturaADFACE</t>
  </si>
  <si>
    <t>https://www.linkedin.com/company/adface-agency</t>
  </si>
  <si>
    <t>2008-05-27</t>
  </si>
  <si>
    <t>FAD, UAB</t>
  </si>
  <si>
    <t>fad.lt</t>
  </si>
  <si>
    <t>LT100012892910</t>
  </si>
  <si>
    <t>MB "Reklamos ateitis"</t>
  </si>
  <si>
    <t>J. Žemgulio g. 46, LT-35239 Panevėžys</t>
  </si>
  <si>
    <t>tomas@fad.lt</t>
  </si>
  <si>
    <t>+370 636 63387</t>
  </si>
  <si>
    <t>https://www.fad.lt</t>
  </si>
  <si>
    <t>https://rekvizitai.vz.lt/imone/reklamos_ateitis/</t>
  </si>
  <si>
    <t>2018-03-14</t>
  </si>
  <si>
    <t>KOMUNIKACIJA IR KONSULTANTAI, UAB</t>
  </si>
  <si>
    <t>LT241300811</t>
  </si>
  <si>
    <t>Uždaroji akcinė bendrovė "Komunikacija ir konsultantai"</t>
  </si>
  <si>
    <t>Taikos g. 67-1, Vilnius</t>
  </si>
  <si>
    <t>info@koko.lt</t>
  </si>
  <si>
    <t>+370 698 17740</t>
  </si>
  <si>
    <t>http://www.koko.lt</t>
  </si>
  <si>
    <t>https://rekvizitai.vz.lt/imone/komunikacija_ir_konsultantai/</t>
  </si>
  <si>
    <t>https://www.facebook.com/koko1997/</t>
  </si>
  <si>
    <t>https://www.linkedin.com/company/komunikacija-ir-konsultantai/</t>
  </si>
  <si>
    <t>1997-08-06</t>
  </si>
  <si>
    <t>PR Ace Agency, MB</t>
  </si>
  <si>
    <t>LT100016951819</t>
  </si>
  <si>
    <t>MB PR Ace Agency</t>
  </si>
  <si>
    <t>Antakalnio g. 32, LT-10305 Vilnius</t>
  </si>
  <si>
    <t>aiste@prace.agency</t>
  </si>
  <si>
    <t>+370 629 92333</t>
  </si>
  <si>
    <t>https://rekvizitai.vz.lt/imone/pr_ace_agency/</t>
  </si>
  <si>
    <t>2024-04-15</t>
  </si>
  <si>
    <t>Way Makers, MB</t>
  </si>
  <si>
    <t>waymakers.lt</t>
  </si>
  <si>
    <t>Konsultacinė verslo ir kito valdymo veikla</t>
  </si>
  <si>
    <t>LT100014861817</t>
  </si>
  <si>
    <t>MB Way makers</t>
  </si>
  <si>
    <t>Laisvės al. 82, LT-44250 Kaunas</t>
  </si>
  <si>
    <t>info@waymakers.lt</t>
  </si>
  <si>
    <t>+370 676 03353</t>
  </si>
  <si>
    <t>https://waymakers.lt/</t>
  </si>
  <si>
    <t>https://rekvizitai.vz.lt/imone/way_makers/</t>
  </si>
  <si>
    <t>https://www.facebook.com/waymakerslt</t>
  </si>
  <si>
    <t>https://www.linkedin.com/company/waymakersagencylt/</t>
  </si>
  <si>
    <t>2013-01-29</t>
  </si>
  <si>
    <t>Pick a Story, UAB</t>
  </si>
  <si>
    <t>pickastory.lt</t>
  </si>
  <si>
    <t>LT100010476417</t>
  </si>
  <si>
    <t>MB "Videoprojektų sprendimai"</t>
  </si>
  <si>
    <t>Beržų al. 44, Kluonalių k., Kretingos r.</t>
  </si>
  <si>
    <t>Kretingos r.</t>
  </si>
  <si>
    <t>info@pickastory.eu</t>
  </si>
  <si>
    <t>+370 675 15139</t>
  </si>
  <si>
    <t>http://www.pickastory.eu</t>
  </si>
  <si>
    <t>https://rekvizitai.vz.lt/imone/videoprojektu_sprendimai/</t>
  </si>
  <si>
    <t>https://www.facebook.com/pickastory.eu/</t>
  </si>
  <si>
    <t>2016-07-21</t>
  </si>
  <si>
    <t>Madiavo, UAB</t>
  </si>
  <si>
    <t>madiavo.lt</t>
  </si>
  <si>
    <t>LT100016739414</t>
  </si>
  <si>
    <t>MB "P&amp;P Holding"</t>
  </si>
  <si>
    <t>V. Nagevičiaus g. 3, LT-08237 Vilnius</t>
  </si>
  <si>
    <t>info@madiavo.com</t>
  </si>
  <si>
    <t>+370 630 04564</t>
  </si>
  <si>
    <t>https://madiavo.com</t>
  </si>
  <si>
    <t>https://rekvizitai.vz.lt/imone/p_p_holding/</t>
  </si>
  <si>
    <t>2024-02-06</t>
  </si>
  <si>
    <t>VISETAS, UAB</t>
  </si>
  <si>
    <t>LT100003832113</t>
  </si>
  <si>
    <t>UAB "Visetas"</t>
  </si>
  <si>
    <t>Raudondvario pl. 101M, Kaunas</t>
  </si>
  <si>
    <t>office@visetas.lt</t>
  </si>
  <si>
    <t>1630</t>
  </si>
  <si>
    <t>1620</t>
  </si>
  <si>
    <t>1770</t>
  </si>
  <si>
    <t>1272</t>
  </si>
  <si>
    <t>939</t>
  </si>
  <si>
    <t>116</t>
  </si>
  <si>
    <t>73,36</t>
  </si>
  <si>
    <t>http://www.visetas.lt</t>
  </si>
  <si>
    <t>https://rekvizitai.vz.lt/imone/visetas/</t>
  </si>
  <si>
    <t>Aukščiausia</t>
  </si>
  <si>
    <t>2007-02-07</t>
  </si>
  <si>
    <t>Ave Media, UAB</t>
  </si>
  <si>
    <t>avemedia.lt</t>
  </si>
  <si>
    <t>LT100014809418</t>
  </si>
  <si>
    <t>"Ave Media", MB</t>
  </si>
  <si>
    <t>Taikos g. 95-80, LT-05200 Vilnius</t>
  </si>
  <si>
    <t>info@avemedia.lt</t>
  </si>
  <si>
    <t>http://avemedia.lt</t>
  </si>
  <si>
    <t>https://rekvizitai.vz.lt/imone/ave_media/</t>
  </si>
  <si>
    <t>https://www.facebook.com/avemediaagency/</t>
  </si>
  <si>
    <t>2017-10-04</t>
  </si>
  <si>
    <t>6 Loops, UAB</t>
  </si>
  <si>
    <t>6loops.lt</t>
  </si>
  <si>
    <t>MB "6 vijos"</t>
  </si>
  <si>
    <t>Polocko g. 51-11, LT-01205 Vilnius</t>
  </si>
  <si>
    <t>info@6loops.lt</t>
  </si>
  <si>
    <t>http://6loops.lt</t>
  </si>
  <si>
    <t>https://rekvizitai.vz.lt/imone/6_vijos/</t>
  </si>
  <si>
    <t>https://www.linkedin.com/company/6-loops/</t>
  </si>
  <si>
    <t>2016-09-28</t>
  </si>
  <si>
    <t>Enter Agency, UAB</t>
  </si>
  <si>
    <t>enteragency.lt</t>
  </si>
  <si>
    <t>LT100011325310</t>
  </si>
  <si>
    <t>UAB Enter Agency</t>
  </si>
  <si>
    <t>M. Valančiaus g. 1A-13, LT-03155 Vilnius</t>
  </si>
  <si>
    <t>daumantas@enteragency.lt</t>
  </si>
  <si>
    <t>1096</t>
  </si>
  <si>
    <t>1333</t>
  </si>
  <si>
    <t>1735</t>
  </si>
  <si>
    <t>http://www.enteragency.lt</t>
  </si>
  <si>
    <t>https://rekvizitai.vz.lt/imone/enter_agency/</t>
  </si>
  <si>
    <t>2017-12-01</t>
  </si>
  <si>
    <t>Gideas, UAB</t>
  </si>
  <si>
    <t>gideas.lt</t>
  </si>
  <si>
    <t>LT100007595312</t>
  </si>
  <si>
    <t>UAB "Gideas"</t>
  </si>
  <si>
    <t>Taikos g. 217-64, LT-05211 Vilnius</t>
  </si>
  <si>
    <t>info@gideas.lt</t>
  </si>
  <si>
    <t>http://www.gideas.lt</t>
  </si>
  <si>
    <t>https://rekvizitai.vz.lt/imone/gideas/</t>
  </si>
  <si>
    <t>2013-03-15</t>
  </si>
  <si>
    <t>Efcom, UAB</t>
  </si>
  <si>
    <t>LT100004591818</t>
  </si>
  <si>
    <t>UAB "EFCOM"</t>
  </si>
  <si>
    <t>Ratnyčios g. 13, Kaunas</t>
  </si>
  <si>
    <t>jurga@efcom.lt</t>
  </si>
  <si>
    <t>http://www.efcom.lt</t>
  </si>
  <si>
    <t>https://rekvizitai.vz.lt/imone/efcom/</t>
  </si>
  <si>
    <t>2005-07-25</t>
  </si>
  <si>
    <t>Digitfruition, UAB</t>
  </si>
  <si>
    <t>digitfruition.lt</t>
  </si>
  <si>
    <t>MB Digitfruition</t>
  </si>
  <si>
    <t>Girulių g. 10, Vilnius</t>
  </si>
  <si>
    <t>nojuslatvinskas@gmail.com</t>
  </si>
  <si>
    <t>https://digitfruition.com</t>
  </si>
  <si>
    <t>https://rekvizitai.vz.lt/imone/digitfruition/</t>
  </si>
  <si>
    <t>2023-03-23</t>
  </si>
  <si>
    <t>FCR Media Lietuva, UAB</t>
  </si>
  <si>
    <t>fcrmedia.lt</t>
  </si>
  <si>
    <t>LT114361314</t>
  </si>
  <si>
    <t>We deliver, UAB</t>
  </si>
  <si>
    <t>Žalgirio g. 92-214, LT-09303 Vilnius</t>
  </si>
  <si>
    <t>hi@wedeliver.lt</t>
  </si>
  <si>
    <t>+370 691 31328</t>
  </si>
  <si>
    <t>1937</t>
  </si>
  <si>
    <t>2288</t>
  </si>
  <si>
    <t>2632</t>
  </si>
  <si>
    <t>2864</t>
  </si>
  <si>
    <t>2980</t>
  </si>
  <si>
    <t>2336,98</t>
  </si>
  <si>
    <t>https://wedeliver.lt</t>
  </si>
  <si>
    <t>https://rekvizitai.vz.lt/imone/verslo_media/</t>
  </si>
  <si>
    <t>1993-03-26</t>
  </si>
  <si>
    <t>Lion Communications Vilnius, UAB</t>
  </si>
  <si>
    <t>publicis.lt</t>
  </si>
  <si>
    <t>LT117943113</t>
  </si>
  <si>
    <t>UAB Lion Communications Vilnius</t>
  </si>
  <si>
    <t>Šermukšnių g. 6A, LT-01106 Vilnius</t>
  </si>
  <si>
    <t>office@starcom.lt</t>
  </si>
  <si>
    <t>+370 5 2647506</t>
  </si>
  <si>
    <t>2594</t>
  </si>
  <si>
    <t>3022</t>
  </si>
  <si>
    <t>3122</t>
  </si>
  <si>
    <t>3347</t>
  </si>
  <si>
    <t>3551</t>
  </si>
  <si>
    <t>3880</t>
  </si>
  <si>
    <t>3645,04</t>
  </si>
  <si>
    <t>http://www.starcom.lt</t>
  </si>
  <si>
    <t>https://rekvizitai.vz.lt/imone/star_communications_worldwide/</t>
  </si>
  <si>
    <t>2003-01-29</t>
  </si>
  <si>
    <t>ALL CAPS, UAB</t>
  </si>
  <si>
    <t>allcaps.lt</t>
  </si>
  <si>
    <t>LT257630515</t>
  </si>
  <si>
    <t>A. Goštauto g. 8, LT-01108 Vilnius</t>
  </si>
  <si>
    <t>nerijus@allcaps.lt</t>
  </si>
  <si>
    <t>+370 5 2460634</t>
  </si>
  <si>
    <t>33</t>
  </si>
  <si>
    <t>1521</t>
  </si>
  <si>
    <t>1897</t>
  </si>
  <si>
    <t>2185</t>
  </si>
  <si>
    <t>2334</t>
  </si>
  <si>
    <t>2526</t>
  </si>
  <si>
    <t>2603,10</t>
  </si>
  <si>
    <t>http://www.allcaps.lt</t>
  </si>
  <si>
    <t>https://rekvizitai.vz.lt/imone/all_caps/</t>
  </si>
  <si>
    <t>2001-11-05</t>
  </si>
  <si>
    <t>Gaumina, UAB</t>
  </si>
  <si>
    <t>gaumina.lt</t>
  </si>
  <si>
    <t>Uždaroji akcinė bendrovė "GAUMINA"</t>
  </si>
  <si>
    <t>Gedimino pr. 27, Vilnius</t>
  </si>
  <si>
    <t>info@gaumina.lt</t>
  </si>
  <si>
    <t>http://www.gaumina.lt</t>
  </si>
  <si>
    <t>https://rekvizitai.vz.lt/imone/gaumina/</t>
  </si>
  <si>
    <t>1998-07-02</t>
  </si>
  <si>
    <t>PR Service, UAB (PIAR)</t>
  </si>
  <si>
    <t>prservice.lt</t>
  </si>
  <si>
    <t>LT260188416</t>
  </si>
  <si>
    <t>Uždaroji akcinė bendrovė "PIAR"</t>
  </si>
  <si>
    <t>Pilies g. 16, LT-01403 Vilnius</t>
  </si>
  <si>
    <t>info@prservice.lt</t>
  </si>
  <si>
    <t>+370 686 32565</t>
  </si>
  <si>
    <t>1527</t>
  </si>
  <si>
    <t>1636</t>
  </si>
  <si>
    <t>1635</t>
  </si>
  <si>
    <t>1578</t>
  </si>
  <si>
    <t>2083</t>
  </si>
  <si>
    <t>2965</t>
  </si>
  <si>
    <t>2583,86</t>
  </si>
  <si>
    <t>http://www.prservice.lt</t>
  </si>
  <si>
    <t>https://rekvizitai.vz.lt/imone/piar/</t>
  </si>
  <si>
    <t>https://www.facebook.com/uabPIAR</t>
  </si>
  <si>
    <t>https://www.linkedin.com/company/18084733/admin/dashboard/</t>
  </si>
  <si>
    <t>2002-07-29</t>
  </si>
  <si>
    <t>Adverum, UAB</t>
  </si>
  <si>
    <t>adverum.lt</t>
  </si>
  <si>
    <t>LT140489219</t>
  </si>
  <si>
    <t>UAB ADVERUM</t>
  </si>
  <si>
    <t>Gedimino pr. 27, LT-01104 Vilnius</t>
  </si>
  <si>
    <t>hello@adverum.lt</t>
  </si>
  <si>
    <t>+370 5 2336561</t>
  </si>
  <si>
    <t>1861</t>
  </si>
  <si>
    <t>2035</t>
  </si>
  <si>
    <t>2318</t>
  </si>
  <si>
    <t>2323</t>
  </si>
  <si>
    <t>2442</t>
  </si>
  <si>
    <t>2597</t>
  </si>
  <si>
    <t>2834,95</t>
  </si>
  <si>
    <t>http://www.adverum.lt</t>
  </si>
  <si>
    <t>https://rekvizitai.vz.lt/imone/ad_verum/</t>
  </si>
  <si>
    <t>https://www.facebook.com/adverum</t>
  </si>
  <si>
    <t>https://www.instagram.com/adverum.lt/</t>
  </si>
  <si>
    <t>https://www.linkedin.com/company/ad-verum</t>
  </si>
  <si>
    <t>2004-02-17</t>
  </si>
  <si>
    <t>Milk Agency, UAB</t>
  </si>
  <si>
    <t>LT100002928011</t>
  </si>
  <si>
    <t>UAB "Milk Agency"</t>
  </si>
  <si>
    <t>cat@themilk.lt</t>
  </si>
  <si>
    <t>+370 5 2192000</t>
  </si>
  <si>
    <t>1294</t>
  </si>
  <si>
    <t>1444</t>
  </si>
  <si>
    <t>1811</t>
  </si>
  <si>
    <t>1954</t>
  </si>
  <si>
    <t>2569,56</t>
  </si>
  <si>
    <t>http://www.themilk.lt</t>
  </si>
  <si>
    <t>https://rekvizitai.vz.lt/imone/milk_agency/</t>
  </si>
  <si>
    <t>https://www.facebook.com/milk.vilnius</t>
  </si>
  <si>
    <t>2007-01-17</t>
  </si>
  <si>
    <t>Evolvery, UAB</t>
  </si>
  <si>
    <t>evolvery.com</t>
  </si>
  <si>
    <t>LT100005657910</t>
  </si>
  <si>
    <t>UAB "Evolvery"</t>
  </si>
  <si>
    <t>Lvivo g. 21A, LT-09309 Vilnius</t>
  </si>
  <si>
    <t>hello@evolvery.io</t>
  </si>
  <si>
    <t>1831</t>
  </si>
  <si>
    <t>2014</t>
  </si>
  <si>
    <t>2475</t>
  </si>
  <si>
    <t>2602</t>
  </si>
  <si>
    <t>2781</t>
  </si>
  <si>
    <t>3393</t>
  </si>
  <si>
    <t>3050,89</t>
  </si>
  <si>
    <t>https://evolvery.com</t>
  </si>
  <si>
    <t>https://rekvizitai.vz.lt/imone/evolvery/</t>
  </si>
  <si>
    <t>https://www.facebook.com/social.evolvery.io/</t>
  </si>
  <si>
    <t>https://www.linkedin.com/company/evolvery/</t>
  </si>
  <si>
    <t>2010-09-03</t>
  </si>
  <si>
    <t>LoveMedia, UAB</t>
  </si>
  <si>
    <t>lovemedia.lt</t>
  </si>
  <si>
    <t>LT100006731919</t>
  </si>
  <si>
    <t>UAB Love media</t>
  </si>
  <si>
    <t>J. Savickio g. 4-7, LT-01108 Vilnius</t>
  </si>
  <si>
    <t>armina@lovemedia.lt</t>
  </si>
  <si>
    <t>1105</t>
  </si>
  <si>
    <t>1306</t>
  </si>
  <si>
    <t>1400</t>
  </si>
  <si>
    <t>1531</t>
  </si>
  <si>
    <t>1389,25</t>
  </si>
  <si>
    <t>http://www.lovemedia.lt</t>
  </si>
  <si>
    <t>https://rekvizitai.vz.lt/imone/uab_love_media/</t>
  </si>
  <si>
    <t>https://www.facebook.com/Love-MEDIA-renginiai-ir-komunikacija-1777461095877267/?fref=ts</t>
  </si>
  <si>
    <t>2012-03-15</t>
  </si>
  <si>
    <t>BeeMarketing, UAB</t>
  </si>
  <si>
    <t>beemarketing.lt</t>
  </si>
  <si>
    <t>Duomenų apdorojimo, interneto serverių paslaugų (prieglobos) ir susijusi veikla</t>
  </si>
  <si>
    <t>LT100008006417</t>
  </si>
  <si>
    <t>UAB "Bemedija"</t>
  </si>
  <si>
    <t>K. Baršausko g. 80-17, Kaunas</t>
  </si>
  <si>
    <t>info@beemarketing.lt</t>
  </si>
  <si>
    <t>-</t>
  </si>
  <si>
    <t>1039</t>
  </si>
  <si>
    <t>1263</t>
  </si>
  <si>
    <t>http://beemarketing.lt</t>
  </si>
  <si>
    <t>https://rekvizitai.vz.lt/imone/bemedija/</t>
  </si>
  <si>
    <t>https://www.facebook.com/BeeMarketing-1479918332311500/</t>
  </si>
  <si>
    <t>2013-09-12</t>
  </si>
  <si>
    <t>BPN LT, UAB</t>
  </si>
  <si>
    <t>bpn.lt</t>
  </si>
  <si>
    <t>LT100009681219</t>
  </si>
  <si>
    <t>UAB "BPN LT"</t>
  </si>
  <si>
    <t>Antano Tumėno g. 6, Vilnius</t>
  </si>
  <si>
    <t>info@bpnlt.com</t>
  </si>
  <si>
    <t>38</t>
  </si>
  <si>
    <t>2172</t>
  </si>
  <si>
    <t>2392</t>
  </si>
  <si>
    <t>2540</t>
  </si>
  <si>
    <t>2999</t>
  </si>
  <si>
    <t>3216</t>
  </si>
  <si>
    <t>3398</t>
  </si>
  <si>
    <t>3452,05</t>
  </si>
  <si>
    <t>http://www.bpnlt.com</t>
  </si>
  <si>
    <t>https://rekvizitai.vz.lt/imone/bpn_lt/</t>
  </si>
  <si>
    <t>2015-07-07</t>
  </si>
  <si>
    <t>Meta advisory Lithuania UAB</t>
  </si>
  <si>
    <t>http://www.metaadvisory.lt/</t>
  </si>
  <si>
    <t>LT100007158015</t>
  </si>
  <si>
    <t>VENTO NUOVO, UAB</t>
  </si>
  <si>
    <t>http://www.ventonuovo.lt </t>
  </si>
  <si>
    <t>LT100005770914</t>
  </si>
  <si>
    <t>UAB Media mind</t>
  </si>
  <si>
    <t>http://www.omnicommediagroup.com</t>
  </si>
  <si>
    <t>LT116327314</t>
  </si>
  <si>
    <t>Šeimyniškių g. 3, Vilnius</t>
  </si>
  <si>
    <t>ramune.malinauskiene@omnicommediagroup.com</t>
  </si>
  <si>
    <t>+370 5 2638671</t>
  </si>
  <si>
    <t> </t>
  </si>
  <si>
    <t>https://rekvizitai.vz.lt/imone/omnicom_media_group/</t>
  </si>
  <si>
    <t>Teisinis statusas neįregistruotas</t>
  </si>
  <si>
    <t>UAB "Galley Group"</t>
  </si>
  <si>
    <t>http://www.galley.lt</t>
  </si>
  <si>
    <t>LT262860610</t>
  </si>
  <si>
    <t>Gerosios Vilties g. 22A-2, LT-03145 Vilnius</t>
  </si>
  <si>
    <t>info@galley.lt</t>
  </si>
  <si>
    <t>+370 5 2620472</t>
  </si>
  <si>
    <t>https://rekvizitai.vz.lt/imone/galley_group_reklamos_agentura_uab_galegrus/</t>
  </si>
  <si>
    <t>https://facebook.com/GalleyGroupLietuva/</t>
  </si>
  <si>
    <t>https://instagram.com/galleygroup_vilnius</t>
  </si>
  <si>
    <t>https://www.linkedin.com/in/galley-group-9b3211153/</t>
  </si>
  <si>
    <t>UAB "Ciklopas"</t>
  </si>
  <si>
    <t>http://www.ciklopas.com</t>
  </si>
  <si>
    <t>LT100000949316</t>
  </si>
  <si>
    <t>Dariaus ir Girėno g. 42-201, LT-02189 Vilnius</t>
  </si>
  <si>
    <t>info@ciklopas.com</t>
  </si>
  <si>
    <t>https://rekvizitai.vz.lt/imone/uab_ciklopas_fotografijos_studija/</t>
  </si>
  <si>
    <t>UAB "Berta And"</t>
  </si>
  <si>
    <t>http://www.berta.lt</t>
  </si>
  <si>
    <t>LT100002986019</t>
  </si>
  <si>
    <t>Traidenio g. 6-1, LT-08119 Vilnius</t>
  </si>
  <si>
    <t>hello@berta.lt</t>
  </si>
  <si>
    <t>+370 5 2154964</t>
  </si>
  <si>
    <t>https://rekvizitai.vz.lt/imone/berta_and/</t>
  </si>
  <si>
    <t>https://www.facebook.com/bertaandagency</t>
  </si>
  <si>
    <t>https://www.instagram.com/berta_and_agency/</t>
  </si>
  <si>
    <t>https://www.linkedin.com/company/berta-and-agency</t>
  </si>
  <si>
    <t>UAB "Verslo idėjų partneriai"</t>
  </si>
  <si>
    <t>https://www.vipartneriai.lt</t>
  </si>
  <si>
    <t>LT100003360113</t>
  </si>
  <si>
    <t>Keramikų g. 100-19, Vilnius</t>
  </si>
  <si>
    <t>info@vipartneriai.lt</t>
  </si>
  <si>
    <t>+370 5 2053225</t>
  </si>
  <si>
    <t>https://rekvizitai.vz.lt/imone/verslo_ideju_partneriai/</t>
  </si>
  <si>
    <t>https://www.facebook.com/vipartneriai/</t>
  </si>
  <si>
    <t>UAB "Kubrik"</t>
  </si>
  <si>
    <t>http://kubrik.lt</t>
  </si>
  <si>
    <t>LT100003856510</t>
  </si>
  <si>
    <t>T. Kosciuškos g. 24-19, Vilnius</t>
  </si>
  <si>
    <t>kuku@kubrik.lt</t>
  </si>
  <si>
    <t>https://rekvizitai.vz.lt/imone/uab_kubrik/</t>
  </si>
  <si>
    <t>UAB "DANSU"</t>
  </si>
  <si>
    <t>http://www.dansu.eu</t>
  </si>
  <si>
    <t>LT100004079413</t>
  </si>
  <si>
    <t>Kreivasis skg. 4-11, LT-01205 Vilnius</t>
  </si>
  <si>
    <t>ilona@dansu.eu</t>
  </si>
  <si>
    <t>https://rekvizitai.vz.lt/imone/uab_dansu/</t>
  </si>
  <si>
    <t>UAB "Idee fixe Vilnius"</t>
  </si>
  <si>
    <t>http://www.ideefixe.lt</t>
  </si>
  <si>
    <t>Kino filmų, vaizdo filmų ir televizijos programų gamyba</t>
  </si>
  <si>
    <t>LT100004348513</t>
  </si>
  <si>
    <t>T. Ševčenkos g. 16A, LT-03111 Vilnius</t>
  </si>
  <si>
    <t>+370 5 2333336</t>
  </si>
  <si>
    <t>https://rekvizitai.vz.lt/imone/uab_idee_fixe_vilnius/</t>
  </si>
  <si>
    <t>UAB "Tekvila"</t>
  </si>
  <si>
    <t>http://www.eventumgroup.lt</t>
  </si>
  <si>
    <t>Scenos pastatymams būdingų paslaugų veikla</t>
  </si>
  <si>
    <t>LT100004420610</t>
  </si>
  <si>
    <t>Pranciškonų g. 1-213, LT-01133 Vilnius</t>
  </si>
  <si>
    <t>info@eventumgroup.lt</t>
  </si>
  <si>
    <t>https://rekvizitai.vz.lt/imone/tekvila/</t>
  </si>
  <si>
    <t>https://www.facebook.com/Eventumgroup/</t>
  </si>
  <si>
    <t>https://www.linkedin.com/company/eventumgroup/</t>
  </si>
  <si>
    <t>Good one, UAB</t>
  </si>
  <si>
    <t>http://www.goodone.lt</t>
  </si>
  <si>
    <t>LT100004858714</t>
  </si>
  <si>
    <t>rokas.b@goodone.lt</t>
  </si>
  <si>
    <t>https://rekvizitai.vz.lt/imone/good_one_uab/</t>
  </si>
  <si>
    <t>UAB "BOSANOVA"</t>
  </si>
  <si>
    <t>http://bosanova.lt</t>
  </si>
  <si>
    <t>LT100005009115</t>
  </si>
  <si>
    <t>Raugyklos g. 3-10, LT-01140 Vilnius</t>
  </si>
  <si>
    <t>info@bosanova.lt</t>
  </si>
  <si>
    <t>https://rekvizitai.vz.lt/imone/uab_bosanova/</t>
  </si>
  <si>
    <t>https://www.facebook.com/komunikacijos.agentura.bosanova</t>
  </si>
  <si>
    <t>UAB "EVO MEDIA"</t>
  </si>
  <si>
    <t>https://www.evomedia.lt</t>
  </si>
  <si>
    <t>LT100005184018</t>
  </si>
  <si>
    <t>Verkių g. 34A, LT-08221 Vilnius</t>
  </si>
  <si>
    <t>info@evomedia.lt</t>
  </si>
  <si>
    <t>https://rekvizitai.vz.lt/imone/uab_evo_media/</t>
  </si>
  <si>
    <t>UAB "MARKET RATS"</t>
  </si>
  <si>
    <t>https://www.marketrats.lt/</t>
  </si>
  <si>
    <t>LT100006941010</t>
  </si>
  <si>
    <t>Pamėnkalnio g. 17, LT-01114 Vilnius</t>
  </si>
  <si>
    <t>info@marketrats.lt</t>
  </si>
  <si>
    <t>https://rekvizitai.vz.lt/imone/market_rats/</t>
  </si>
  <si>
    <t>https://www.facebook.com/MarketRats</t>
  </si>
  <si>
    <t>https://www.instagram.com/market_rats</t>
  </si>
  <si>
    <t>https://linkedin.com/company/market-rats</t>
  </si>
  <si>
    <t>UAB "INDIANA.LT"</t>
  </si>
  <si>
    <t>http://www.indiana.lt</t>
  </si>
  <si>
    <t>LT100006268310</t>
  </si>
  <si>
    <t>M. Valančiaus g. 7, LT-03158 Vilnius</t>
  </si>
  <si>
    <t>contact@indiana.lt</t>
  </si>
  <si>
    <t>https://rekvizitai.vz.lt/imone/indiana_lt/</t>
  </si>
  <si>
    <t>Dear problem, UAB</t>
  </si>
  <si>
    <t>http://www.dearproblem.co</t>
  </si>
  <si>
    <t>LT100006282619</t>
  </si>
  <si>
    <t>Manufaktūrų g. 6, LT-11342 Vilnius</t>
  </si>
  <si>
    <t>agency@dearproblem.co</t>
  </si>
  <si>
    <t>https://rekvizitai.vz.lt/imone/dear_problem/</t>
  </si>
  <si>
    <t>https://www.facebook.com/dear.problem.co</t>
  </si>
  <si>
    <t>https://www.instagram.com/dear.problem.co</t>
  </si>
  <si>
    <t>https://www.linkedin.com/company/dear-problem</t>
  </si>
  <si>
    <t>UAB "TOTEM promo"</t>
  </si>
  <si>
    <t>http://www.totem.lt</t>
  </si>
  <si>
    <t>LT100006306317</t>
  </si>
  <si>
    <t>Subačiaus g. 23-6, Vilnius</t>
  </si>
  <si>
    <t>laurynas@totem.lt</t>
  </si>
  <si>
    <t>+370 5 2608737</t>
  </si>
  <si>
    <t>https://rekvizitai.vz.lt/imone/totem_promo/</t>
  </si>
  <si>
    <t>https://www.facebook.com/T0TEMagency/</t>
  </si>
  <si>
    <t>https://www.instagram.com/totem.agency/</t>
  </si>
  <si>
    <t>https://www.linkedin.com/company/totem-promo</t>
  </si>
  <si>
    <t>UAB "Digital matter"</t>
  </si>
  <si>
    <t>https://digitalmatter.ai</t>
  </si>
  <si>
    <t>LT100006306115</t>
  </si>
  <si>
    <t>Ukmergės g. 126, LT-08100 Vilnius</t>
  </si>
  <si>
    <t>info@digitalmatter.ai</t>
  </si>
  <si>
    <t>https://rekvizitai.vz.lt/imone/digital_matter/</t>
  </si>
  <si>
    <t>https://www.facebook.com/DigitalMatterGlobal</t>
  </si>
  <si>
    <t>https://www.instagram.com/digital_matter/</t>
  </si>
  <si>
    <t>https://www.linkedin.com/company/digitalmatterai/</t>
  </si>
  <si>
    <t>UAB "EnterNet"</t>
  </si>
  <si>
    <t>https://enternet.lt</t>
  </si>
  <si>
    <t>LT100006501510</t>
  </si>
  <si>
    <t>Geležinio Vilko g. 18a, LT-08104 Vilnius</t>
  </si>
  <si>
    <t>enternet@enternet.lt</t>
  </si>
  <si>
    <t>https://rekvizitai.vz.lt/imone/uab_enternet/</t>
  </si>
  <si>
    <t>UAB "SOME FILMS"</t>
  </si>
  <si>
    <t>http://www.somefilms.net</t>
  </si>
  <si>
    <t>LT100006731616</t>
  </si>
  <si>
    <t>Gedimino pr. 32-7, LT-01104 Vilnius</t>
  </si>
  <si>
    <t>olganija@gmail.com</t>
  </si>
  <si>
    <t>https://rekvizitai.vz.lt/imone/some_films/</t>
  </si>
  <si>
    <t>UAB "Seovoras"</t>
  </si>
  <si>
    <t>http://www.seospiders.lt</t>
  </si>
  <si>
    <t>LT100009563315</t>
  </si>
  <si>
    <t>Kovo 11-osios g. 28-23, Kaunas</t>
  </si>
  <si>
    <t>info@seospiders.lt</t>
  </si>
  <si>
    <t>https://rekvizitai.vz.lt/imone/verslo_vystymas/</t>
  </si>
  <si>
    <t>UAB "Spotlight LT"</t>
  </si>
  <si>
    <t>http://www.inspotlight.lt</t>
  </si>
  <si>
    <t>LT100007333118</t>
  </si>
  <si>
    <t>Vandenio g. 18B, Vilnius</t>
  </si>
  <si>
    <t>hello@inspotlight.lt</t>
  </si>
  <si>
    <t>+370 5 2199953</t>
  </si>
  <si>
    <t>https://rekvizitai.vz.lt/imone/spotlight_lt/</t>
  </si>
  <si>
    <t>https://www.facebook.com/inSpotlightLT</t>
  </si>
  <si>
    <t>MB "Fotokomanda"</t>
  </si>
  <si>
    <t>http://www.foko.lt</t>
  </si>
  <si>
    <t>Fotografavimo veikla</t>
  </si>
  <si>
    <t>LT100007365812</t>
  </si>
  <si>
    <t>Vytenio g. 50-81, Vilnius</t>
  </si>
  <si>
    <t>info@foko.lt</t>
  </si>
  <si>
    <t>https://rekvizitai.vz.lt/imone/fotokomanda/</t>
  </si>
  <si>
    <t>https://www.facebook.com/FOKOLT/</t>
  </si>
  <si>
    <t>UAB "Wide Wings"</t>
  </si>
  <si>
    <t>http://www.widewings.eu</t>
  </si>
  <si>
    <t>LT100007528417</t>
  </si>
  <si>
    <t>J. Jasinskio g. 16C, LT-03163 Vilnius</t>
  </si>
  <si>
    <t>admin@widewings.eu</t>
  </si>
  <si>
    <t>https://rekvizitai.vz.lt/imone/wide_wings/</t>
  </si>
  <si>
    <t>UAB "Kūrybiniai komunikacijos sprendimai"</t>
  </si>
  <si>
    <t>http://www.autoriai.lt</t>
  </si>
  <si>
    <t>LT100008334111</t>
  </si>
  <si>
    <t>Mindaugo g. 23C, LT-03218 Vilnius</t>
  </si>
  <si>
    <t>parasyk@autoriai.lt</t>
  </si>
  <si>
    <t>https://rekvizitai.vz.lt/imone/kurybiniai_komunikacijos_sprendimai/</t>
  </si>
  <si>
    <t>UAB "Vaizdo skonis"</t>
  </si>
  <si>
    <t>http://www.zest.lt</t>
  </si>
  <si>
    <t>LT100008216319</t>
  </si>
  <si>
    <t>Žemaitės g. 21-101, Vilnius</t>
  </si>
  <si>
    <t>info@zest.lt</t>
  </si>
  <si>
    <t>https://rekvizitai.vz.lt/imone/vaizdo_skonis/</t>
  </si>
  <si>
    <t>https://www.facebook.com/ZestProductionHouse</t>
  </si>
  <si>
    <t>https://linkedin.com/company/zest-production-house</t>
  </si>
  <si>
    <t>UAB "Skaitmeninė reklama"</t>
  </si>
  <si>
    <t>http://www.skreklama.lt</t>
  </si>
  <si>
    <t>LT100009370315</t>
  </si>
  <si>
    <t>Perkūnkiemio g. 5, LT-12129 Vilnius</t>
  </si>
  <si>
    <t>info@skreklama.lt</t>
  </si>
  <si>
    <t>https://rekvizitai.vz.lt/imone/skaitmenine_reklama/</t>
  </si>
  <si>
    <t>UAB "Turinio rinkodara"</t>
  </si>
  <si>
    <t>https://choco.agency</t>
  </si>
  <si>
    <t>LT100010096910</t>
  </si>
  <si>
    <t>Vilniaus g. 28-16, LT-01402 Vilnius</t>
  </si>
  <si>
    <t>info@choco.agency</t>
  </si>
  <si>
    <t>https://rekvizitai.vz.lt/imone/turinio_rinkodara/</t>
  </si>
  <si>
    <t>The Critical, UAB</t>
  </si>
  <si>
    <t>http://thecritical.lt</t>
  </si>
  <si>
    <t>LT100011042110</t>
  </si>
  <si>
    <t>K. Petrausko g. 26, LT-44156 Kaunas</t>
  </si>
  <si>
    <t>hi@thecritical.lt</t>
  </si>
  <si>
    <t>https://rekvizitai.vz.lt/imone/dizaino_agentura/</t>
  </si>
  <si>
    <t>https://www.facebook.com/thecriticalagency</t>
  </si>
  <si>
    <t>https://www.instagram.com/the_critical_agency/</t>
  </si>
  <si>
    <t>https://www.linkedin.com/company/thecritical</t>
  </si>
  <si>
    <t>MB "Kvadratai"</t>
  </si>
  <si>
    <t>http://www.scuare.lt</t>
  </si>
  <si>
    <t>LT100011847616</t>
  </si>
  <si>
    <t>Pamėnkalnio g. 34B, Vilnius</t>
  </si>
  <si>
    <t>info@scuare.lt</t>
  </si>
  <si>
    <t>https://rekvizitai.vz.lt/imone/kvadratai/</t>
  </si>
  <si>
    <t>https://www.facebook.com/scuarevilnius/</t>
  </si>
  <si>
    <t>UAB Caption</t>
  </si>
  <si>
    <t>https://caption.lt</t>
  </si>
  <si>
    <t>LT100011861117</t>
  </si>
  <si>
    <t>Slucko g. 2, LT-09310 Vilnius</t>
  </si>
  <si>
    <t>info@caption.lt</t>
  </si>
  <si>
    <t>https://rekvizitai.vz.lt/imone/caption/</t>
  </si>
  <si>
    <t>https://www.facebook.com/caption.lt</t>
  </si>
  <si>
    <t>https://www.instagram.com/caption.lt/</t>
  </si>
  <si>
    <t>https://www.linkedin.com/company/captionagency/</t>
  </si>
  <si>
    <t>MB "Vienas paspaudimas"</t>
  </si>
  <si>
    <t>https://oneclick.lt</t>
  </si>
  <si>
    <t>LT100012185317</t>
  </si>
  <si>
    <t>Juozo Vyšniausko g. 5, Narsiečių k., LT-53304 Kauno r.</t>
  </si>
  <si>
    <t>Kauno r.</t>
  </si>
  <si>
    <t>info@oneclick.lt</t>
  </si>
  <si>
    <t>https://rekvizitai.vz.lt/imone/vienas_paspaudimas/</t>
  </si>
  <si>
    <t>UAB APG MEDIA</t>
  </si>
  <si>
    <t>https://apgmedia.lt/</t>
  </si>
  <si>
    <t>LT100012178516</t>
  </si>
  <si>
    <t>Antakalnio g. 17, Vilnius</t>
  </si>
  <si>
    <t>https://rekvizitai.vz.lt/imone/apg_media/</t>
  </si>
  <si>
    <t>https://www.facebook.com/apgmediaLT/</t>
  </si>
  <si>
    <t>"Socium agency", UAB</t>
  </si>
  <si>
    <t>http://www.sociumagency.lt</t>
  </si>
  <si>
    <t>LT100013842414</t>
  </si>
  <si>
    <t>Konstitucijos pr. 9-93, LT-09308 Vilnius</t>
  </si>
  <si>
    <t>info@sociumagency.lt</t>
  </si>
  <si>
    <t>https://rekvizitai.vz.lt/imone/socium_agency/</t>
  </si>
  <si>
    <t>MB "Magnus advisory"</t>
  </si>
  <si>
    <t>http://www.magnusadvisory.lt</t>
  </si>
  <si>
    <t>LT100014558810</t>
  </si>
  <si>
    <t>Karaimų g. 3-8, LT-08118 Vilnius</t>
  </si>
  <si>
    <t>hello@magnusadvisory.lt</t>
  </si>
  <si>
    <t>https://rekvizitai.vz.lt/imone/magnus_advisory/</t>
  </si>
  <si>
    <t>UAB Lost Bunch</t>
  </si>
  <si>
    <t>http://www.rapidmedia.lt</t>
  </si>
  <si>
    <t>Treniotos g. 4, LT-08121 Vilnius</t>
  </si>
  <si>
    <t>suopys.laurynas@gmail.com</t>
  </si>
  <si>
    <t>+370 5 2487388</t>
  </si>
  <si>
    <t>https://rekvizitai.vz.lt/imone/rapid_informatic_media_and_communication_services/</t>
  </si>
  <si>
    <t>Pavadinimas</t>
  </si>
  <si>
    <t>Pagrindinis brandas</t>
  </si>
  <si>
    <t>Veikla (kūryba)</t>
  </si>
  <si>
    <t>Veikla (PR)</t>
  </si>
  <si>
    <t>Veikla (Digital media)</t>
  </si>
  <si>
    <t>Veikla (PA)</t>
  </si>
  <si>
    <t>Atlyginimų sąnaudos 2019</t>
  </si>
  <si>
    <t>Ne atlyginimų sąnaudos darbuotojui 2019</t>
  </si>
  <si>
    <t>Atlyginimų sąnaudos 2020</t>
  </si>
  <si>
    <t>Ne atlyginimų sąnaudos darbuotojui 2020</t>
  </si>
  <si>
    <t>Atlyginimų sąnaudos 2021</t>
  </si>
  <si>
    <t>Ne atlyginimų sąnaudos darbuotojui 2021</t>
  </si>
  <si>
    <t>Atlyginimų sąnaudos 2022</t>
  </si>
  <si>
    <t>Ne atlyginimų sąnaudos darbuotojui 2022</t>
  </si>
  <si>
    <t>Atlyginimų sąnaudos 2023</t>
  </si>
  <si>
    <t>Ne atlyginimų sąnaudos darbuotojui 2023</t>
  </si>
  <si>
    <t>Atlyginimų sąnaudos 2024</t>
  </si>
  <si>
    <t>Ne atlyginimų sąnaudos darbuotojui 2024</t>
  </si>
  <si>
    <t>Atlyginimų sąnaudos 2025 05</t>
  </si>
  <si>
    <t>6 Loops</t>
  </si>
  <si>
    <t>6 vijos, MB</t>
  </si>
  <si>
    <t xml:space="preserve">Ogilvy </t>
  </si>
  <si>
    <t>ogilvy.lt</t>
  </si>
  <si>
    <t>ADELL REKLAMA, UAB</t>
  </si>
  <si>
    <t>https://www.facebook.com/OgilvyVilnius</t>
  </si>
  <si>
    <t>https://www.instagram.com/ogilvy_vilnius/</t>
  </si>
  <si>
    <t>https://www.linkedin.com/company/ogilvy-vilnius/</t>
  </si>
  <si>
    <t>Adface</t>
  </si>
  <si>
    <t>Adverum</t>
  </si>
  <si>
    <t>ADVERUM, UAB</t>
  </si>
  <si>
    <t>ALL CAPS</t>
  </si>
  <si>
    <t>https://www.facebook.com/ALLCAPSagency/</t>
  </si>
  <si>
    <t>https://www.instagram.com/allcapsagency/</t>
  </si>
  <si>
    <t>https://www.linkedin.com/company/all-caps-vilnius/</t>
  </si>
  <si>
    <t>Caption, UAB</t>
  </si>
  <si>
    <t>Caption</t>
  </si>
  <si>
    <t>Apg media, UAB</t>
  </si>
  <si>
    <t>APG media</t>
  </si>
  <si>
    <t>Arena Media</t>
  </si>
  <si>
    <t>https://www.linkedin.com/company/adcom-2/?originalSubdomain=lt</t>
  </si>
  <si>
    <t>TRUTH.</t>
  </si>
  <si>
    <t>truth.lt</t>
  </si>
  <si>
    <t>ASTOS DIZAINAS, UAB</t>
  </si>
  <si>
    <t>https://www.facebook.com/truthLT/</t>
  </si>
  <si>
    <t>https://www.instagram.com/truth.agency/</t>
  </si>
  <si>
    <t>https://www.linkedin.com/company/truthlt/</t>
  </si>
  <si>
    <t>Ave Media, MB</t>
  </si>
  <si>
    <t>Ave Media Agentūra</t>
  </si>
  <si>
    <t>Be reklamos negerai</t>
  </si>
  <si>
    <t>Ateities rinkodara, UAB</t>
  </si>
  <si>
    <t>Bemedija, UAB</t>
  </si>
  <si>
    <t>BeeMarketing</t>
  </si>
  <si>
    <t>https://www.instagram.com/beemarketing.lt/</t>
  </si>
  <si>
    <t>https://www.linkedin.com/company/bee-marketing/</t>
  </si>
  <si>
    <t>Berta and, UAB</t>
  </si>
  <si>
    <t>Berta&amp;Agency</t>
  </si>
  <si>
    <t>Bosanova, UAB</t>
  </si>
  <si>
    <t>Bosanova</t>
  </si>
  <si>
    <t>BPN</t>
  </si>
  <si>
    <t>https://www.linkedin.com/company/bpn-lt/</t>
  </si>
  <si>
    <t>Ciklopas, UAB</t>
  </si>
  <si>
    <t>Cyclopes</t>
  </si>
  <si>
    <t>co:agency</t>
  </si>
  <si>
    <t>coagency, UAB</t>
  </si>
  <si>
    <t>https://www.facebook.com/coagency.lt#</t>
  </si>
  <si>
    <t>https://www.linkedin.com/company/coagencylt/</t>
  </si>
  <si>
    <t>Convo</t>
  </si>
  <si>
    <t>Sėkmingi, UAB</t>
  </si>
  <si>
    <t>https://www.instagram.com/agencyconvo</t>
  </si>
  <si>
    <t>Dansu, UAB</t>
  </si>
  <si>
    <t>Dansu</t>
  </si>
  <si>
    <t>Dear problem</t>
  </si>
  <si>
    <t>Dentsu</t>
  </si>
  <si>
    <t>https://www.linkedin.com/company/dentsu-lithuania/?originalSubdomain=lt</t>
  </si>
  <si>
    <t>Digital Matter, UAB</t>
  </si>
  <si>
    <t>Digital Matter</t>
  </si>
  <si>
    <t>DigitFruition</t>
  </si>
  <si>
    <t>Digitfruition, MB</t>
  </si>
  <si>
    <t>https://www.instagram.com/digitfruition/</t>
  </si>
  <si>
    <t>https://www.linkedin.com/in/nojuslatvinskas/</t>
  </si>
  <si>
    <t>Clinic212</t>
  </si>
  <si>
    <t>clinic212.lt</t>
  </si>
  <si>
    <t>https://www.facebook.com/ClinicNews/</t>
  </si>
  <si>
    <t>https://www.instagram.com/clinic212/</t>
  </si>
  <si>
    <t>Efcom</t>
  </si>
  <si>
    <t>efcom.lt</t>
  </si>
  <si>
    <t>EFCOM, UAB</t>
  </si>
  <si>
    <t>https://www.linkedin.com/company/efcom/about/</t>
  </si>
  <si>
    <t xml:space="preserve">ENTER </t>
  </si>
  <si>
    <t>https://www.facebook.com/enterthedigital/</t>
  </si>
  <si>
    <t>https://www.instagram.com/enteragency/?hl=en</t>
  </si>
  <si>
    <t>Enternet, UAB</t>
  </si>
  <si>
    <t>Enternet</t>
  </si>
  <si>
    <t>Evo Media, UAB</t>
  </si>
  <si>
    <t>Evo media</t>
  </si>
  <si>
    <t>Evolvery</t>
  </si>
  <si>
    <t>Expertmedia</t>
  </si>
  <si>
    <t>RAKVA, UAB</t>
  </si>
  <si>
    <t>Fabula</t>
  </si>
  <si>
    <t>https://www.facebook.com/fabularudpedersengroup</t>
  </si>
  <si>
    <t>https://www.instagram.com/fabula_rpg</t>
  </si>
  <si>
    <t>https://www.linkedin.com/company/fabula-rud-pedersen-group/</t>
  </si>
  <si>
    <t>FAD</t>
  </si>
  <si>
    <t>Reklamos ateitis, MB</t>
  </si>
  <si>
    <t>https://www.facebook.com/fad.reklamos.ateitis/</t>
  </si>
  <si>
    <t>https://www.instagram.com/fad.reklamos.ateitis/</t>
  </si>
  <si>
    <t>https://www.linkedin.com/company/fad-reklamos-ateitis/</t>
  </si>
  <si>
    <t>We deliver agency</t>
  </si>
  <si>
    <t>https://www.facebook.com/Wedeliveragency</t>
  </si>
  <si>
    <t>https://www.linkedin.com/company/we-deliver-performance/</t>
  </si>
  <si>
    <t>Fotokomanda, UAB</t>
  </si>
  <si>
    <t>Foko</t>
  </si>
  <si>
    <t>Galley Group, UAB</t>
  </si>
  <si>
    <t>Galley group</t>
  </si>
  <si>
    <t>Mediapark</t>
  </si>
  <si>
    <t>GAUMINA, UAB</t>
  </si>
  <si>
    <t>https://www.facebook.com/mediaparkgroup/</t>
  </si>
  <si>
    <t>https://www.instagram.com/mediapark/</t>
  </si>
  <si>
    <t>Gideas</t>
  </si>
  <si>
    <t>https://www.facebook.com/uabgideas/?locale=lt_LT</t>
  </si>
  <si>
    <t>Good one</t>
  </si>
  <si>
    <t>Havas Media</t>
  </si>
  <si>
    <t>https://www.facebook.com/HavasMediaLT/?locale=lt_LT</t>
  </si>
  <si>
    <t>https://www.linkedin.com/company/havas-media-lithuania/?originalSubdomain=lt</t>
  </si>
  <si>
    <t>Headline</t>
  </si>
  <si>
    <t>Headline Agency, UAB</t>
  </si>
  <si>
    <t>https://www.facebook.com/agency.Headline/?ref=br_tf</t>
  </si>
  <si>
    <t>Impact Advisory / Flow</t>
  </si>
  <si>
    <t>IC BALTIC, UAB</t>
  </si>
  <si>
    <t>https://www.facebook.com/impactadvisorybusiness/</t>
  </si>
  <si>
    <t>https://www.linkedin.com/company/impactadvisory/</t>
  </si>
  <si>
    <t>IdeaPrima</t>
  </si>
  <si>
    <t>Idea prima, UAB</t>
  </si>
  <si>
    <t>https://www.linkedin.com/company/pr-agency-uab-idea-prima-/?originalSubdomain=lt</t>
  </si>
  <si>
    <t>Idee fixe vilnius, UAB</t>
  </si>
  <si>
    <t>Idee fixe</t>
  </si>
  <si>
    <t>Indiana.lt, UAB</t>
  </si>
  <si>
    <t>Indiana</t>
  </si>
  <si>
    <t>Influenceriai.lt</t>
  </si>
  <si>
    <t>Nuomonės lyderiai, UAB</t>
  </si>
  <si>
    <t>https://www.instagram.com/influenceriai.lt</t>
  </si>
  <si>
    <t>https://www.linkedin.com/company/influenceriailt/</t>
  </si>
  <si>
    <t xml:space="preserve">INK </t>
  </si>
  <si>
    <t>INK agency, UAB</t>
  </si>
  <si>
    <t>https://www.instagram.com/inkagency.lt/</t>
  </si>
  <si>
    <t>https://www.linkedin.com/company/uab-ink-agency/</t>
  </si>
  <si>
    <t>Inspired UM</t>
  </si>
  <si>
    <t>https://www.instagram.com/inspired_um/</t>
  </si>
  <si>
    <t>Integrity PR</t>
  </si>
  <si>
    <t>INTEGRITY PER, UAB</t>
  </si>
  <si>
    <t>KOKO PR</t>
  </si>
  <si>
    <t>Komunikacija ir konsultantai, UAB</t>
  </si>
  <si>
    <t>Kubrik, UAB</t>
  </si>
  <si>
    <t>Kubrik</t>
  </si>
  <si>
    <t>Kūrybiniai komunikacijos sprendimai, UAB</t>
  </si>
  <si>
    <t>autoriai.lt</t>
  </si>
  <si>
    <t>Kvadratai, MB</t>
  </si>
  <si>
    <t>Scuare</t>
  </si>
  <si>
    <t xml:space="preserve">Publicis groupe </t>
  </si>
  <si>
    <t>https://www.facebook.com/publicisgroupe</t>
  </si>
  <si>
    <t>https://www.instagram.com/publicisgroupe/</t>
  </si>
  <si>
    <t>https://www.linkedin.com/company/publicis-groupe/</t>
  </si>
  <si>
    <t>Lost Bunch, UAB</t>
  </si>
  <si>
    <t>Rapid Media</t>
  </si>
  <si>
    <t>Love media</t>
  </si>
  <si>
    <t>Love media, UAB</t>
  </si>
  <si>
    <t>https://www.instagram.com/love_media_agentura/</t>
  </si>
  <si>
    <t>https://www.linkedin.com/company/agencylovemedia/posts/</t>
  </si>
  <si>
    <t>Madiavo</t>
  </si>
  <si>
    <t>P&amp;P Holding, MB</t>
  </si>
  <si>
    <t>https://www.facebook.com/Madiavo</t>
  </si>
  <si>
    <t>https://www.instagram.com/madiavoagentura/</t>
  </si>
  <si>
    <t>https://www.linkedin.com/company/madiavo/</t>
  </si>
  <si>
    <t>Magnus advisory, MB</t>
  </si>
  <si>
    <t>Magnus advisory</t>
  </si>
  <si>
    <t>Maniac</t>
  </si>
  <si>
    <t>Maniakai, UAB</t>
  </si>
  <si>
    <t>https://www.facebook.com/maniakai</t>
  </si>
  <si>
    <t>Market Rats, UAB</t>
  </si>
  <si>
    <t>Market ratss</t>
  </si>
  <si>
    <t>Media House</t>
  </si>
  <si>
    <t>MEDIA HOUSE, UAB</t>
  </si>
  <si>
    <t>https://www.linkedin.com/company/media-house-lithuania/?originalSubdomain=lt</t>
  </si>
  <si>
    <t>Media mind, UAB</t>
  </si>
  <si>
    <t>Omnicom</t>
  </si>
  <si>
    <t>Meta advisory Lithuania, UAB</t>
  </si>
  <si>
    <t>Meta</t>
  </si>
  <si>
    <t>https://rekvizitai.vz.lt/imone/uab_lamco/juridinis-asmuo/</t>
  </si>
  <si>
    <t>https://www.linkedin.com/company/meta-advisory-lithuania/</t>
  </si>
  <si>
    <t>Milk Vilnius</t>
  </si>
  <si>
    <t>themilk.lt</t>
  </si>
  <si>
    <t>https://www.instagram.com/milknofilter/?hl=en</t>
  </si>
  <si>
    <t>https://www.linkedin.com/company/milk-vilnius/</t>
  </si>
  <si>
    <t>New Agency, UAB</t>
  </si>
  <si>
    <t>NEW!</t>
  </si>
  <si>
    <t>https://www.instagram.com/new.creative.agency/</t>
  </si>
  <si>
    <t>https://www.linkedin.com/company/new-/</t>
  </si>
  <si>
    <t>Nomads</t>
  </si>
  <si>
    <t xml:space="preserve">Not Perfect </t>
  </si>
  <si>
    <t>Not Perfect Vilnius, UAB</t>
  </si>
  <si>
    <t>https://www.facebook.com/NotPerfectVilnius/</t>
  </si>
  <si>
    <t>https://www.instagram.com/notperfectvilnius/</t>
  </si>
  <si>
    <t>https://www.linkedin.com/company/not-perfect-vilnius/</t>
  </si>
  <si>
    <t>Open Agency</t>
  </si>
  <si>
    <t>https://www.facebook.com/openagencylt/</t>
  </si>
  <si>
    <t>https://www.instagram.com/openagency.initiative?fbclid=IwY2xjawLCLU5leHRuA2FlbQIxMABicmlkETExOVVHd2VLcmtjamt6ekZCAR6y2JEfJIE3DvQxCVV8n3WzJxYSfR7dLwLecm68G7jmGUePXpZ8EYmEVwmuaw_aem_ud35S8ulcXFqHZxpUp0kGQ</t>
  </si>
  <si>
    <t>https://www.linkedin.com/company/open-initiative-lithuania/</t>
  </si>
  <si>
    <t>Panama Agency, MB</t>
  </si>
  <si>
    <t>Panama Agency</t>
  </si>
  <si>
    <t>Panama agency, MB</t>
  </si>
  <si>
    <t>Particle PR</t>
  </si>
  <si>
    <t>Particle PER, UAB</t>
  </si>
  <si>
    <t>Partizanas</t>
  </si>
  <si>
    <t>PARTIZANAS, UAB</t>
  </si>
  <si>
    <t>https://www.facebook.com/Partizanas</t>
  </si>
  <si>
    <t>https://www.instagram.com/partizanas.agency/</t>
  </si>
  <si>
    <t>https://www.linkedin.com/company/partizanas/</t>
  </si>
  <si>
    <t xml:space="preserve">PR Ace </t>
  </si>
  <si>
    <t>PR service</t>
  </si>
  <si>
    <t>PIAR, UAB</t>
  </si>
  <si>
    <t>Protingi sprendimai, UAB</t>
  </si>
  <si>
    <t>Smart</t>
  </si>
  <si>
    <t>https://www.facebook.com/SmartReklamosAgentura/</t>
  </si>
  <si>
    <t>https://www.linkedin.com/company/smart-vilnius/?originalSubdomain=lt</t>
  </si>
  <si>
    <t>Publicum</t>
  </si>
  <si>
    <t>PUBLICUM, UAB</t>
  </si>
  <si>
    <t>https://www.facebook.com/publicum.havas</t>
  </si>
  <si>
    <t>https://www.linkedin.com/company/publicum/</t>
  </si>
  <si>
    <t>RAIBEC</t>
  </si>
  <si>
    <t>LITS, UAB</t>
  </si>
  <si>
    <t xml:space="preserve">Reprise </t>
  </si>
  <si>
    <t>SEOvoras, UAB</t>
  </si>
  <si>
    <t>Seo Spiders on the web</t>
  </si>
  <si>
    <t>Skaitmeninė reklama, UAB</t>
  </si>
  <si>
    <t>Skaitmeninė reklama</t>
  </si>
  <si>
    <t>Socium agency, UAB</t>
  </si>
  <si>
    <t>Socium Agency</t>
  </si>
  <si>
    <t>SOMA Agency</t>
  </si>
  <si>
    <t>https://www.facebook.com/SOMA.agency.HAVAS</t>
  </si>
  <si>
    <t>https://www.instagram.com/somaagency/</t>
  </si>
  <si>
    <t>https://www.linkedin.com/company/socialus-marketingas/</t>
  </si>
  <si>
    <t>Some Films, UAB</t>
  </si>
  <si>
    <t>Some Films</t>
  </si>
  <si>
    <t>Sons &amp; Daughters</t>
  </si>
  <si>
    <t>sonsdaughters.lt</t>
  </si>
  <si>
    <t>https://www.instagram.com/sons.daughters.agency/</t>
  </si>
  <si>
    <t>https://www.linkedin.com/company/sons-daughters/</t>
  </si>
  <si>
    <t>Spotlight LT, UAB</t>
  </si>
  <si>
    <t>Spotlight</t>
  </si>
  <si>
    <t>SuperYou</t>
  </si>
  <si>
    <t>https://www.facebook.com/superyou.agency/</t>
  </si>
  <si>
    <t>https://www.instagram.com/superyou.agency/</t>
  </si>
  <si>
    <t>https://www.linkedin.com/company/superyou/</t>
  </si>
  <si>
    <t>SynthesisCG</t>
  </si>
  <si>
    <t>https://www.facebook.com/synthesisconsult/</t>
  </si>
  <si>
    <t>https://www.instagram.com/synthesis_cg/</t>
  </si>
  <si>
    <t>https://www.linkedin.com/company/synthesiscg/</t>
  </si>
  <si>
    <t>Tarela</t>
  </si>
  <si>
    <t>TARELA, UAB</t>
  </si>
  <si>
    <t>Tekvila, UAB</t>
  </si>
  <si>
    <t>Eventum Group</t>
  </si>
  <si>
    <t>The Critical</t>
  </si>
  <si>
    <t>Totem promo, UAB</t>
  </si>
  <si>
    <t>TOTEM agency</t>
  </si>
  <si>
    <t>MediaCom</t>
  </si>
  <si>
    <t>https://www.linkedin.com/company/essencemediacom-lithuania/</t>
  </si>
  <si>
    <t>Turinio rinkodara, UAB</t>
  </si>
  <si>
    <t>Choco agency</t>
  </si>
  <si>
    <t>Vaizdo skonis, UAB</t>
  </si>
  <si>
    <t>Zest production house</t>
  </si>
  <si>
    <t>Vento Nuovo</t>
  </si>
  <si>
    <t>https://rekvizitai.vz.lt/imone/uab_vento_nuovo/</t>
  </si>
  <si>
    <t>Verslo idėjų partneriai, UAB</t>
  </si>
  <si>
    <t>Google partner</t>
  </si>
  <si>
    <t>Via Media</t>
  </si>
  <si>
    <t>VIA MEDIA, UAB</t>
  </si>
  <si>
    <t>https://www.facebook.com/mindshare.lithuania</t>
  </si>
  <si>
    <t>https://www.linkedin.com/company/mindshare-lithuania/</t>
  </si>
  <si>
    <t>Videoprojektų sprendimai, MB</t>
  </si>
  <si>
    <t>Pick a Story</t>
  </si>
  <si>
    <t>https://www.instagram.com/pickastory.eu/</t>
  </si>
  <si>
    <t>https://www.linkedin.com/company/pick-a-story/</t>
  </si>
  <si>
    <t>Vienas paspaudimas, MB</t>
  </si>
  <si>
    <t>Oneclick.lt</t>
  </si>
  <si>
    <t>VISETAS</t>
  </si>
  <si>
    <t>visetas.lt</t>
  </si>
  <si>
    <t>Visetas, UAB</t>
  </si>
  <si>
    <t>https://www.facebook.com/visetas/</t>
  </si>
  <si>
    <t>https://www.linkedin.com/company/visetas/</t>
  </si>
  <si>
    <t>Way Makers</t>
  </si>
  <si>
    <t>Way makers, MB</t>
  </si>
  <si>
    <t>We Are Marketing</t>
  </si>
  <si>
    <t>https://www.facebook.com/WeAreMarketing/</t>
  </si>
  <si>
    <t>https://www.linkedin.com/company/we-are-marketing/?originalSubdomain=lt</t>
  </si>
  <si>
    <t>WhatAbout</t>
  </si>
  <si>
    <t>Wide Wings, UAB</t>
  </si>
  <si>
    <t>Wide wings</t>
  </si>
  <si>
    <t>Spark LT, UAB</t>
  </si>
  <si>
    <t>Spark Agency</t>
  </si>
  <si>
    <t>VRS WPI Vilnius, UAB</t>
  </si>
  <si>
    <t>VRS92</t>
  </si>
  <si>
    <t>Reklamos vizija, UAB</t>
  </si>
  <si>
    <t>Advision</t>
  </si>
  <si>
    <t>Petraitis ir Pūras, UAB</t>
  </si>
  <si>
    <t>Black Florence</t>
  </si>
  <si>
    <t>Marios Agency, MB</t>
  </si>
  <si>
    <t>Marios Agency</t>
  </si>
  <si>
    <t>100 ačiū, MB</t>
  </si>
  <si>
    <t>100 ačiū</t>
  </si>
  <si>
    <t>Pantomima, MB</t>
  </si>
  <si>
    <t>Pantomima</t>
  </si>
  <si>
    <t>Videvita, UAB</t>
  </si>
  <si>
    <t>Videvita</t>
  </si>
  <si>
    <t>Nuostabu, UAB</t>
  </si>
  <si>
    <t>Nuostabu</t>
  </si>
  <si>
    <t>Ric Creative, UAB</t>
  </si>
  <si>
    <t>Ric Creative</t>
  </si>
  <si>
    <t>Įmonės pavadinimas</t>
  </si>
  <si>
    <t>Metai</t>
  </si>
  <si>
    <t>Veikla (Renginiai)</t>
  </si>
  <si>
    <t>Veikla (BTL)</t>
  </si>
  <si>
    <t>Veikla (Konsultantai)</t>
  </si>
  <si>
    <t>Veikla (Media)</t>
  </si>
  <si>
    <t>Veikla (Production house)</t>
  </si>
  <si>
    <t>Darbuotojų skaičius</t>
  </si>
  <si>
    <t>Darbuotojų pokytis, %</t>
  </si>
  <si>
    <t>Atlyginimo vidurkis</t>
  </si>
  <si>
    <t>Atlyginimo pokytis, %</t>
  </si>
  <si>
    <t>DU sąnaudos</t>
  </si>
  <si>
    <t>DU sąnaudų pokytis, %</t>
  </si>
  <si>
    <t>Apyvarta</t>
  </si>
  <si>
    <t>Apyvartos pokytis, %</t>
  </si>
  <si>
    <t>Ne-atlyginimų sąnaudos</t>
  </si>
  <si>
    <t>Ne-atlyginimų sąnaudų pokytis, %</t>
  </si>
  <si>
    <t>Pelnas</t>
  </si>
  <si>
    <t>Pelno pokytis, %</t>
  </si>
  <si>
    <t>Fiks ir pelno mokestis</t>
  </si>
  <si>
    <t>Spėjamos pajamos</t>
  </si>
  <si>
    <t>Ne</t>
  </si>
  <si>
    <t>7 sprendimai, MB</t>
  </si>
  <si>
    <t>BE1ST Agency</t>
  </si>
  <si>
    <t>Production house</t>
  </si>
  <si>
    <t>BTL</t>
  </si>
  <si>
    <t>Konsultantai</t>
  </si>
  <si>
    <t>Renginiai</t>
  </si>
  <si>
    <t>Smarts</t>
  </si>
  <si>
    <t>Mediacom</t>
  </si>
  <si>
    <t>Vento Nuovo, UAB</t>
  </si>
  <si>
    <t>Wrks, UAB</t>
  </si>
  <si>
    <t>Karuselė</t>
  </si>
  <si>
    <t>Apyvarta-</t>
  </si>
  <si>
    <t>DU sąnaudos-</t>
  </si>
  <si>
    <t>Atlyginimo vidurkis-</t>
  </si>
  <si>
    <t>Darbuotojų skaičius-</t>
  </si>
  <si>
    <t>Ne-atlyginimų sąnaudos-</t>
  </si>
  <si>
    <t>Grynasis Pelnas</t>
  </si>
  <si>
    <t>Spėjamos pajamos-</t>
  </si>
  <si>
    <t>TOP 40 įmonės pagal apyvartą</t>
  </si>
  <si>
    <t>TOP 40 įmonės pagal spėjamas pajamas</t>
  </si>
  <si>
    <t>TOP 40 įmonės pagal ne atlyginimo sąnaudas</t>
  </si>
  <si>
    <t>TOP 40 įmonės pagal grynąjį pelną</t>
  </si>
  <si>
    <t>Vyksta magija &gt;&gt;&gt;&gt;&gt;</t>
  </si>
  <si>
    <t>TOP 40 įmonės pagal DU sąnaudas</t>
  </si>
  <si>
    <t>TOP 40 įmonės pagal darbuotojų skaičių</t>
  </si>
  <si>
    <t>TOP 40 įmonės pagal atlyginimo vidurkį</t>
  </si>
  <si>
    <t>TOP 40 įmonės pagal apyvartos pokytį</t>
  </si>
  <si>
    <t>TOP 40 įmonės pagal ne-atlyginimų sąnaudų pokytį</t>
  </si>
  <si>
    <t>TOP 40 įmonės pagal pelno pokytį</t>
  </si>
  <si>
    <t>Values</t>
  </si>
  <si>
    <t>Vyksta magija &gt;&gt;&gt;&gt;</t>
  </si>
  <si>
    <t>Sum of Apyvartos pokytis, %</t>
  </si>
  <si>
    <t>Sum of Darbuotojų pokytis, %</t>
  </si>
  <si>
    <t>Sum of Atlyginimo pokytis, %</t>
  </si>
  <si>
    <t>Sum of DU sąnaudų pokytis, %</t>
  </si>
  <si>
    <t>Sum of Ne-atlyginimų sąnaudų pokytis, %</t>
  </si>
  <si>
    <t>Sum of Pelno pokytis, %</t>
  </si>
  <si>
    <t>TOP 40 įmonės pagal atlyginimo pokytį</t>
  </si>
  <si>
    <t>TOP 40 įmonės pagal darbuotojų pokytį</t>
  </si>
  <si>
    <t>TOP 40 įmonės pagal DU sąnaudų pokytį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</si>
</sst>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0.0%"/>
  </numFmts>
  <fonts count="15" x14ac:knownFonts="1">
    <font>
      <sz val="11"/>
      <color theme="1"/>
      <name val="Aptos Narrow"/>
      <family val="2"/>
      <charset val="186"/>
      <scheme val="minor"/>
    </font>
    <font>
      <sz val="11"/>
      <color theme="1"/>
      <name val="Aptos Narrow"/>
      <family val="2"/>
      <charset val="186"/>
      <scheme val="minor"/>
    </font>
    <font>
      <sz val="8"/>
      <name val="Aptos Narrow"/>
      <family val="2"/>
      <charset val="186"/>
      <scheme val="minor"/>
    </font>
    <font>
      <u/>
      <sz val="11"/>
      <color theme="10"/>
      <name val="Aptos Narrow"/>
      <family val="2"/>
      <charset val="186"/>
      <scheme val="minor"/>
    </font>
    <font>
      <sz val="11"/>
      <color theme="1"/>
      <name val="Aptos Narrow"/>
      <family val="2"/>
    </font>
    <font>
      <sz val="11"/>
      <color rgb="FF000000"/>
      <name val="Aptos Narrow"/>
      <family val="2"/>
    </font>
    <font>
      <sz val="11"/>
      <color rgb="FF212529"/>
      <name val="Aptos Narrow"/>
      <family val="2"/>
    </font>
    <font>
      <sz val="11"/>
      <color theme="1"/>
      <name val="Aptos Narrow"/>
      <family val="2"/>
      <scheme val="minor"/>
    </font>
    <font>
      <b/>
      <sz val="11"/>
      <color theme="1"/>
      <name val="Aptos Narrow"/>
      <family val="2"/>
      <scheme val="minor"/>
    </font>
    <font>
      <u/>
      <sz val="11"/>
      <color theme="10"/>
      <name val="Calibri"/>
      <family val="2"/>
    </font>
    <font>
      <b/>
      <sz val="11"/>
      <color theme="1"/>
      <name val="Aptos Narrow"/>
    </font>
    <font>
      <b/>
      <sz val="11"/>
      <color theme="1"/>
      <name val="Aptos Narrow"/>
      <scheme val="minor"/>
    </font>
    <font>
      <sz val="11"/>
      <color rgb="FF000000"/>
      <name val="Aptos Narrow"/>
      <family val="2"/>
      <scheme val="minor"/>
    </font>
    <font>
      <b/>
      <sz val="11"/>
      <color rgb="FF000000"/>
      <name val="Aptos Narrow"/>
      <family val="2"/>
      <charset val="186"/>
      <scheme val="minor"/>
    </font>
    <font>
      <sz val="11"/>
      <color rgb="FF000000"/>
      <name val="Aptos Narrow"/>
      <family val="2"/>
      <charset val="186"/>
      <scheme val="minor"/>
    </font>
  </fonts>
  <fills count="3">
    <fill>
      <patternFill patternType="none"/>
    </fill>
    <fill>
      <patternFill patternType="gray125"/>
    </fill>
    <fill>
      <patternFill patternType="solid">
        <fgColor theme="4" tint="0.79998168889431442"/>
        <bgColor indexed="64"/>
      </patternFill>
    </fill>
  </fills>
  <borders count="31">
    <border>
      <left/>
      <right/>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top style="thin">
        <color rgb="FF000000"/>
      </top>
      <bottom/>
      <diagonal/>
    </border>
    <border>
      <left style="thin">
        <color rgb="FF000000"/>
      </left>
      <right/>
      <top style="thin">
        <color rgb="FF000000"/>
      </top>
      <bottom style="thin">
        <color indexed="64"/>
      </bottom>
      <diagonal/>
    </border>
    <border>
      <left style="thin">
        <color indexed="64"/>
      </left>
      <right/>
      <top style="thin">
        <color rgb="FF000000"/>
      </top>
      <bottom style="thin">
        <color indexed="64"/>
      </bottom>
      <diagonal/>
    </border>
    <border>
      <left style="thin">
        <color auto="1"/>
      </left>
      <right style="thin">
        <color auto="1"/>
      </right>
      <top style="thin">
        <color rgb="FF000000"/>
      </top>
      <bottom style="thin">
        <color auto="1"/>
      </bottom>
      <diagonal/>
    </border>
    <border>
      <left style="thin">
        <color auto="1"/>
      </left>
      <right style="thin">
        <color auto="1"/>
      </right>
      <top style="thin">
        <color rgb="FF000000"/>
      </top>
      <bottom/>
      <diagonal/>
    </border>
    <border>
      <left style="thin">
        <color auto="1"/>
      </left>
      <right style="thin">
        <color rgb="FF000000"/>
      </right>
      <top style="thin">
        <color rgb="FF000000"/>
      </top>
      <bottom/>
      <diagonal/>
    </border>
    <border>
      <left style="thin">
        <color rgb="FF000000"/>
      </left>
      <right/>
      <top style="thin">
        <color indexed="64"/>
      </top>
      <bottom style="thin">
        <color indexed="64"/>
      </bottom>
      <diagonal/>
    </border>
    <border>
      <left style="thin">
        <color auto="1"/>
      </left>
      <right style="thin">
        <color rgb="FF000000"/>
      </right>
      <top style="thin">
        <color auto="1"/>
      </top>
      <bottom/>
      <diagonal/>
    </border>
    <border>
      <left/>
      <right style="thin">
        <color indexed="64"/>
      </right>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bottom style="thin">
        <color rgb="FF000000"/>
      </bottom>
      <diagonal/>
    </border>
  </borders>
  <cellStyleXfs count="6">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7" fillId="0" borderId="0"/>
    <xf numFmtId="0" fontId="9" fillId="0" borderId="0" applyNumberFormat="0" applyFill="0" applyBorder="0" applyAlignment="0" applyProtection="0">
      <alignment vertical="top"/>
      <protection locked="0"/>
    </xf>
    <xf numFmtId="164" fontId="1" fillId="0" borderId="0" applyFont="0" applyFill="0" applyBorder="0" applyAlignment="0" applyProtection="0"/>
  </cellStyleXfs>
  <cellXfs count="94">
    <xf numFmtId="0" fontId="0" fillId="0" borderId="0" xfId="0"/>
    <xf numFmtId="9" fontId="0" fillId="0" borderId="0" xfId="1" applyFont="1"/>
    <xf numFmtId="1" fontId="0" fillId="0" borderId="0" xfId="0" applyNumberFormat="1"/>
    <xf numFmtId="1" fontId="0" fillId="0" borderId="0" xfId="1" applyNumberFormat="1" applyFont="1" applyFill="1"/>
    <xf numFmtId="1" fontId="3" fillId="0" borderId="0" xfId="2" applyNumberFormat="1" applyFill="1"/>
    <xf numFmtId="0" fontId="7" fillId="0" borderId="0" xfId="3"/>
    <xf numFmtId="9" fontId="7" fillId="0" borderId="0" xfId="1" applyFont="1"/>
    <xf numFmtId="165" fontId="0" fillId="0" borderId="0" xfId="5" applyNumberFormat="1" applyFont="1"/>
    <xf numFmtId="165" fontId="0" fillId="0" borderId="0" xfId="0" applyNumberFormat="1"/>
    <xf numFmtId="165" fontId="7" fillId="0" borderId="0" xfId="5" applyNumberFormat="1" applyFont="1"/>
    <xf numFmtId="0" fontId="0" fillId="0" borderId="0" xfId="0" pivotButton="1" applyAlignment="1">
      <alignment wrapText="1"/>
    </xf>
    <xf numFmtId="165" fontId="0" fillId="0" borderId="0" xfId="0" applyNumberFormat="1" applyAlignment="1">
      <alignment wrapText="1"/>
    </xf>
    <xf numFmtId="0" fontId="0" fillId="0" borderId="0" xfId="0" applyAlignment="1">
      <alignment wrapText="1"/>
    </xf>
    <xf numFmtId="4" fontId="0" fillId="0" borderId="0" xfId="0" applyNumberFormat="1"/>
    <xf numFmtId="165" fontId="0" fillId="0" borderId="1" xfId="5" applyNumberFormat="1" applyFont="1" applyBorder="1"/>
    <xf numFmtId="0" fontId="0" fillId="0" borderId="2" xfId="0" applyBorder="1"/>
    <xf numFmtId="0" fontId="11" fillId="2" borderId="3" xfId="0" applyFont="1" applyFill="1" applyBorder="1"/>
    <xf numFmtId="0" fontId="0" fillId="2" borderId="4" xfId="0" applyFill="1" applyBorder="1"/>
    <xf numFmtId="0" fontId="0" fillId="2" borderId="5" xfId="0" applyFill="1" applyBorder="1"/>
    <xf numFmtId="0" fontId="11" fillId="2" borderId="4" xfId="0" applyFont="1" applyFill="1" applyBorder="1"/>
    <xf numFmtId="165" fontId="7" fillId="0" borderId="0" xfId="5" applyNumberFormat="1" applyFont="1" applyFill="1"/>
    <xf numFmtId="9" fontId="7" fillId="0" borderId="0" xfId="1" applyFont="1" applyFill="1"/>
    <xf numFmtId="165" fontId="0" fillId="0" borderId="0" xfId="5" applyNumberFormat="1" applyFont="1" applyFill="1"/>
    <xf numFmtId="9" fontId="0" fillId="0" borderId="0" xfId="1" applyFont="1" applyFill="1"/>
    <xf numFmtId="0" fontId="12" fillId="0" borderId="0" xfId="0" applyFont="1"/>
    <xf numFmtId="0" fontId="8" fillId="0" borderId="6" xfId="3" applyFont="1" applyBorder="1" applyAlignment="1">
      <alignment horizontal="center" vertical="top"/>
    </xf>
    <xf numFmtId="1" fontId="8" fillId="0" borderId="6" xfId="3" applyNumberFormat="1" applyFont="1" applyBorder="1" applyAlignment="1">
      <alignment horizontal="center" vertical="top"/>
    </xf>
    <xf numFmtId="9" fontId="8" fillId="0" borderId="6" xfId="1" applyFont="1" applyBorder="1" applyAlignment="1">
      <alignment horizontal="center" vertical="top"/>
    </xf>
    <xf numFmtId="0" fontId="0" fillId="0" borderId="0" xfId="0" pivotButton="1"/>
    <xf numFmtId="165" fontId="0" fillId="0" borderId="7" xfId="5" applyNumberFormat="1" applyFont="1" applyBorder="1"/>
    <xf numFmtId="9" fontId="0" fillId="0" borderId="0" xfId="0" applyNumberFormat="1"/>
    <xf numFmtId="9" fontId="0" fillId="0" borderId="0" xfId="1" applyFont="1" applyFill="1" applyBorder="1"/>
    <xf numFmtId="0" fontId="11" fillId="2" borderId="8" xfId="0" applyFont="1" applyFill="1" applyBorder="1"/>
    <xf numFmtId="9" fontId="0" fillId="0" borderId="0" xfId="1" applyFont="1" applyBorder="1"/>
    <xf numFmtId="9" fontId="0" fillId="0" borderId="1" xfId="1" applyFont="1" applyBorder="1"/>
    <xf numFmtId="165" fontId="0" fillId="0" borderId="0" xfId="5" applyNumberFormat="1" applyFont="1" applyAlignment="1"/>
    <xf numFmtId="0" fontId="13" fillId="0" borderId="0" xfId="0" applyFont="1"/>
    <xf numFmtId="0" fontId="14" fillId="0" borderId="0" xfId="0" applyFont="1"/>
    <xf numFmtId="1" fontId="10" fillId="0" borderId="0" xfId="0" applyNumberFormat="1" applyFont="1"/>
    <xf numFmtId="1" fontId="11" fillId="0" borderId="0" xfId="0" applyNumberFormat="1" applyFont="1"/>
    <xf numFmtId="0" fontId="11" fillId="0" borderId="0" xfId="0" applyFont="1"/>
    <xf numFmtId="1" fontId="4" fillId="0" borderId="0" xfId="0" applyNumberFormat="1" applyFont="1"/>
    <xf numFmtId="0" fontId="4" fillId="0" borderId="0" xfId="0" applyFont="1"/>
    <xf numFmtId="1" fontId="0" fillId="0" borderId="0" xfId="0" applyNumberFormat="1" applyAlignment="1">
      <alignment wrapText="1"/>
    </xf>
    <xf numFmtId="1" fontId="6" fillId="0" borderId="0" xfId="0" applyNumberFormat="1" applyFont="1"/>
    <xf numFmtId="1" fontId="5" fillId="0" borderId="0" xfId="0" applyNumberFormat="1" applyFont="1"/>
    <xf numFmtId="165" fontId="7" fillId="0" borderId="0" xfId="5" applyNumberFormat="1" applyFont="1" applyAlignment="1">
      <alignment wrapText="1"/>
    </xf>
    <xf numFmtId="9" fontId="8" fillId="0" borderId="6" xfId="3" applyNumberFormat="1" applyFont="1" applyBorder="1" applyAlignment="1">
      <alignment horizontal="center" vertical="top"/>
    </xf>
    <xf numFmtId="9" fontId="7" fillId="0" borderId="0" xfId="5" applyNumberFormat="1" applyFont="1" applyAlignment="1">
      <alignment wrapText="1"/>
    </xf>
    <xf numFmtId="9" fontId="7" fillId="0" borderId="0" xfId="5" applyNumberFormat="1" applyFont="1"/>
    <xf numFmtId="9" fontId="7" fillId="0" borderId="0" xfId="1" applyFont="1" applyAlignment="1">
      <alignment wrapText="1"/>
    </xf>
    <xf numFmtId="0" fontId="0" fillId="0" borderId="9" xfId="0" applyBorder="1"/>
    <xf numFmtId="0" fontId="0" fillId="0" borderId="10" xfId="0" applyBorder="1"/>
    <xf numFmtId="0" fontId="0" fillId="0" borderId="11" xfId="0" applyBorder="1"/>
    <xf numFmtId="9" fontId="0" fillId="0" borderId="11" xfId="1" applyFont="1" applyBorder="1"/>
    <xf numFmtId="9" fontId="0" fillId="0" borderId="12" xfId="1" applyFont="1" applyBorder="1"/>
    <xf numFmtId="9" fontId="0" fillId="0" borderId="13" xfId="1" applyFont="1" applyBorder="1"/>
    <xf numFmtId="0" fontId="0" fillId="0" borderId="14" xfId="0" applyBorder="1"/>
    <xf numFmtId="0" fontId="0" fillId="0" borderId="15" xfId="0" applyBorder="1"/>
    <xf numFmtId="9" fontId="0" fillId="0" borderId="15" xfId="1" applyFont="1" applyBorder="1"/>
    <xf numFmtId="9" fontId="0" fillId="0" borderId="16" xfId="1" applyFont="1" applyBorder="1"/>
    <xf numFmtId="0" fontId="11" fillId="2" borderId="17" xfId="0" applyFont="1" applyFill="1" applyBorder="1"/>
    <xf numFmtId="165" fontId="0" fillId="0" borderId="0" xfId="5" applyNumberFormat="1" applyFont="1" applyBorder="1"/>
    <xf numFmtId="165" fontId="0" fillId="0" borderId="13" xfId="5" applyNumberFormat="1" applyFont="1" applyBorder="1"/>
    <xf numFmtId="165" fontId="0" fillId="0" borderId="16" xfId="5" applyNumberFormat="1" applyFont="1" applyBorder="1"/>
    <xf numFmtId="165" fontId="0" fillId="0" borderId="15" xfId="5" applyNumberFormat="1" applyFont="1" applyBorder="1"/>
    <xf numFmtId="0" fontId="0" fillId="0" borderId="11" xfId="0" applyBorder="1" applyAlignment="1">
      <alignment wrapText="1"/>
    </xf>
    <xf numFmtId="9" fontId="0" fillId="0" borderId="11" xfId="0" applyNumberFormat="1" applyBorder="1"/>
    <xf numFmtId="0" fontId="0" fillId="0" borderId="18" xfId="0" applyBorder="1"/>
    <xf numFmtId="9" fontId="0" fillId="0" borderId="12" xfId="0" applyNumberFormat="1" applyBorder="1"/>
    <xf numFmtId="9" fontId="0" fillId="0" borderId="13" xfId="0" applyNumberFormat="1" applyBorder="1"/>
    <xf numFmtId="9" fontId="0" fillId="0" borderId="15" xfId="0" applyNumberFormat="1" applyBorder="1"/>
    <xf numFmtId="9" fontId="0" fillId="0" borderId="16" xfId="0" applyNumberFormat="1" applyBorder="1"/>
    <xf numFmtId="0" fontId="11" fillId="2" borderId="19" xfId="0" applyFont="1" applyFill="1" applyBorder="1"/>
    <xf numFmtId="0" fontId="11" fillId="2" borderId="20" xfId="0" applyFont="1" applyFill="1" applyBorder="1"/>
    <xf numFmtId="0" fontId="11" fillId="2" borderId="21" xfId="0" applyFont="1" applyFill="1" applyBorder="1"/>
    <xf numFmtId="0" fontId="11" fillId="2" borderId="18" xfId="0" applyFont="1" applyFill="1" applyBorder="1"/>
    <xf numFmtId="0" fontId="11" fillId="2" borderId="22" xfId="0" applyFont="1" applyFill="1" applyBorder="1"/>
    <xf numFmtId="0" fontId="11" fillId="2" borderId="23" xfId="0" applyFont="1" applyFill="1" applyBorder="1"/>
    <xf numFmtId="0" fontId="11" fillId="2" borderId="24" xfId="0" applyFont="1" applyFill="1" applyBorder="1"/>
    <xf numFmtId="0" fontId="11" fillId="2" borderId="25" xfId="0" applyFont="1" applyFill="1" applyBorder="1"/>
    <xf numFmtId="9" fontId="0" fillId="0" borderId="26" xfId="1" applyFont="1" applyBorder="1"/>
    <xf numFmtId="0" fontId="0" fillId="2" borderId="27" xfId="0" applyFill="1" applyBorder="1"/>
    <xf numFmtId="0" fontId="0" fillId="2" borderId="28" xfId="0" applyFill="1" applyBorder="1"/>
    <xf numFmtId="0" fontId="11" fillId="2" borderId="27" xfId="0" applyFont="1" applyFill="1" applyBorder="1"/>
    <xf numFmtId="0" fontId="0" fillId="2" borderId="29" xfId="0" applyFill="1" applyBorder="1"/>
    <xf numFmtId="0" fontId="0" fillId="0" borderId="30" xfId="0" applyBorder="1"/>
    <xf numFmtId="165" fontId="0" fillId="0" borderId="26" xfId="5" applyNumberFormat="1" applyFont="1" applyBorder="1"/>
    <xf numFmtId="0" fontId="7" fillId="0" borderId="0" xfId="3" applyAlignment="1">
      <alignment wrapText="1"/>
    </xf>
    <xf numFmtId="166" fontId="0" fillId="0" borderId="0" xfId="0" applyNumberFormat="1"/>
    <xf numFmtId="0" fontId="8" fillId="0" borderId="8" xfId="3" applyFont="1" applyBorder="1" applyAlignment="1">
      <alignment horizontal="center" vertical="top"/>
    </xf>
    <xf numFmtId="1" fontId="8" fillId="0" borderId="8" xfId="3" applyNumberFormat="1" applyFont="1" applyBorder="1" applyAlignment="1">
      <alignment horizontal="center" vertical="top"/>
    </xf>
    <xf numFmtId="9" fontId="8" fillId="0" borderId="8" xfId="1" applyFont="1" applyBorder="1" applyAlignment="1">
      <alignment horizontal="center" vertical="top"/>
    </xf>
    <xf numFmtId="164" fontId="0" fillId="0" borderId="0" xfId="0" applyNumberFormat="1"/>
  </cellXfs>
  <cellStyles count="6">
    <cellStyle name="Comma" xfId="5" builtinId="3"/>
    <cellStyle name="Hyperlink" xfId="2" builtinId="8"/>
    <cellStyle name="Hyperlink 2" xfId="4" xr:uid="{4B94FB19-54AE-4E9F-9731-DFBBC1812DAF}"/>
    <cellStyle name="Normal" xfId="0" builtinId="0"/>
    <cellStyle name="Normal 2" xfId="3" xr:uid="{28767B74-3053-4109-BAE8-E84F80FEFDA5}"/>
    <cellStyle name="Percent" xfId="1" builtinId="5"/>
  </cellStyles>
  <dxfs count="133">
    <dxf>
      <numFmt numFmtId="165" formatCode="_-* #,##0_-;\-* #,##0_-;_-* &quot;-&quot;??_-;_-@_-"/>
    </dxf>
    <dxf>
      <numFmt numFmtId="165" formatCode="_-* #,##0_-;\-* #,##0_-;_-* &quot;-&quot;??_-;_-@_-"/>
    </dxf>
    <dxf>
      <numFmt numFmtId="3" formatCode="#,##0"/>
    </dxf>
    <dxf>
      <alignment wrapText="1"/>
    </dxf>
    <dxf>
      <alignment wrapText="1"/>
    </dxf>
    <dxf>
      <numFmt numFmtId="4" formatCode="#,##0.00"/>
    </dxf>
    <dxf>
      <numFmt numFmtId="165" formatCode="_-* #,##0_-;\-* #,##0_-;_-* &quot;-&quot;??_-;_-@_-"/>
    </dxf>
    <dxf>
      <numFmt numFmtId="165" formatCode="_-* #,##0_-;\-* #,##0_-;_-* &quot;-&quot;??_-;_-@_-"/>
    </dxf>
    <dxf>
      <numFmt numFmtId="3" formatCode="#,##0"/>
    </dxf>
    <dxf>
      <alignment wrapText="1"/>
    </dxf>
    <dxf>
      <alignment wrapText="1"/>
    </dxf>
    <dxf>
      <numFmt numFmtId="4" formatCode="#,##0.00"/>
    </dxf>
    <dxf>
      <numFmt numFmtId="13" formatCode="0%"/>
    </dxf>
    <dxf>
      <numFmt numFmtId="4" formatCode="#,##0.00"/>
    </dxf>
    <dxf>
      <alignment wrapText="1"/>
    </dxf>
    <dxf>
      <alignment wrapText="1"/>
    </dxf>
    <dxf>
      <numFmt numFmtId="3" formatCode="#,##0"/>
    </dxf>
    <dxf>
      <numFmt numFmtId="165" formatCode="_-* #,##0_-;\-* #,##0_-;_-* &quot;-&quot;??_-;_-@_-"/>
    </dxf>
    <dxf>
      <numFmt numFmtId="165" formatCode="_-* #,##0_-;\-* #,##0_-;_-* &quot;-&quot;??_-;_-@_-"/>
    </dxf>
    <dxf>
      <numFmt numFmtId="165" formatCode="_-* #,##0_-;\-* #,##0_-;_-* &quot;-&quot;??_-;_-@_-"/>
    </dxf>
    <dxf>
      <numFmt numFmtId="165" formatCode="_-* #,##0_-;\-* #,##0_-;_-* &quot;-&quot;??_-;_-@_-"/>
    </dxf>
    <dxf>
      <font>
        <b val="0"/>
        <i val="0"/>
        <strike val="0"/>
        <condense val="0"/>
        <extend val="0"/>
        <outline val="0"/>
        <shadow val="0"/>
        <u val="none"/>
        <vertAlign val="baseline"/>
        <sz val="11"/>
        <color theme="1"/>
        <name val="Aptos Narrow"/>
        <family val="2"/>
        <charset val="186"/>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charset val="186"/>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Aptos Narrow"/>
        <family val="2"/>
        <charset val="186"/>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charset val="186"/>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Aptos Narrow"/>
        <family val="2"/>
        <charset val="186"/>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Aptos Narrow"/>
        <family val="2"/>
        <charset val="186"/>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font>
        <b val="0"/>
        <i val="0"/>
        <strike val="0"/>
        <condense val="0"/>
        <extend val="0"/>
        <outline val="0"/>
        <shadow val="0"/>
        <u val="none"/>
        <vertAlign val="baseline"/>
        <sz val="11"/>
        <color theme="1"/>
        <name val="Aptos Narrow"/>
        <family val="2"/>
        <charset val="186"/>
        <scheme val="minor"/>
      </font>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alignment wrapText="0"/>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numFmt numFmtId="1" formatCode="0"/>
      <fill>
        <patternFill patternType="none">
          <fgColor indexed="64"/>
          <bgColor auto="1"/>
        </patternFill>
      </fill>
    </dxf>
    <dxf>
      <font>
        <b val="0"/>
        <i val="0"/>
        <strike val="0"/>
        <condense val="0"/>
        <extend val="0"/>
        <outline val="0"/>
        <shadow val="0"/>
        <u val="none"/>
        <vertAlign val="baseline"/>
        <sz val="11"/>
        <color theme="1"/>
        <name val="Aptos Narrow"/>
        <family val="2"/>
        <scheme val="none"/>
      </font>
      <numFmt numFmtId="1" formatCode="0"/>
      <fill>
        <patternFill patternType="none">
          <fgColor indexed="64"/>
          <bgColor auto="1"/>
        </patternFill>
      </fill>
    </dxf>
    <dxf>
      <font>
        <strike val="0"/>
        <outline val="0"/>
        <shadow val="0"/>
        <u val="none"/>
        <vertAlign val="baseline"/>
        <sz val="11"/>
        <name val="Aptos Narrow"/>
        <family val="2"/>
        <scheme val="none"/>
      </font>
      <numFmt numFmtId="1" formatCode="0"/>
      <fill>
        <patternFill patternType="none">
          <fgColor indexed="64"/>
          <bgColor auto="1"/>
        </patternFill>
      </fill>
    </dxf>
    <dxf>
      <numFmt numFmtId="1" formatCode="0"/>
      <fill>
        <patternFill patternType="none">
          <fgColor indexed="64"/>
          <bgColor auto="1"/>
        </patternFill>
      </fill>
    </dxf>
    <dxf>
      <font>
        <b/>
      </font>
      <numFmt numFmtId="1" formatCode="0"/>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39" Type="http://schemas.openxmlformats.org/officeDocument/2006/relationships/customXml" Target="../customXml/item3.xml"/><Relationship Id="rId21" Type="http://schemas.microsoft.com/office/2007/relationships/slicerCache" Target="slicerCaches/slicerCache12.xml"/><Relationship Id="rId34"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microsoft.com/office/2007/relationships/slicerCache" Target="slicerCaches/slicerCache2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07/relationships/slicerCache" Target="slicerCaches/slicerCache19.xml"/><Relationship Id="rId36"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07/relationships/slicerCache" Target="slicerCaches/slicerCache18.xml"/><Relationship Id="rId30" Type="http://schemas.microsoft.com/office/2007/relationships/slicerCache" Target="slicerCaches/slicerCache21.xml"/><Relationship Id="rId35" Type="http://schemas.openxmlformats.org/officeDocument/2006/relationships/sheetMetadata" Target="metadata.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15</xdr:col>
      <xdr:colOff>9525</xdr:colOff>
      <xdr:row>21</xdr:row>
      <xdr:rowOff>171450</xdr:rowOff>
    </xdr:from>
    <xdr:to>
      <xdr:col>16</xdr:col>
      <xdr:colOff>552450</xdr:colOff>
      <xdr:row>26</xdr:row>
      <xdr:rowOff>152400</xdr:rowOff>
    </xdr:to>
    <mc:AlternateContent xmlns:mc="http://schemas.openxmlformats.org/markup-compatibility/2006" xmlns:a14="http://schemas.microsoft.com/office/drawing/2010/main">
      <mc:Choice Requires="a14">
        <xdr:graphicFrame macro="">
          <xdr:nvGraphicFramePr>
            <xdr:cNvPr id="2" name="Metai">
              <a:extLst>
                <a:ext uri="{FF2B5EF4-FFF2-40B4-BE49-F238E27FC236}">
                  <a16:creationId xmlns:a16="http://schemas.microsoft.com/office/drawing/2014/main" id="{7F45571E-686C-2975-62E3-3CC9B624B475}"/>
                </a:ext>
              </a:extLst>
            </xdr:cNvPr>
            <xdr:cNvGraphicFramePr/>
          </xdr:nvGraphicFramePr>
          <xdr:xfrm>
            <a:off x="0" y="0"/>
            <a:ext cx="0" cy="0"/>
          </xdr:xfrm>
          <a:graphic>
            <a:graphicData uri="http://schemas.microsoft.com/office/drawing/2010/slicer">
              <sle:slicer xmlns:sle="http://schemas.microsoft.com/office/drawing/2010/slicer" name="Metai"/>
            </a:graphicData>
          </a:graphic>
        </xdr:graphicFrame>
      </mc:Choice>
      <mc:Fallback xmlns="">
        <xdr:sp macro="" textlink="">
          <xdr:nvSpPr>
            <xdr:cNvPr id="0" name=""/>
            <xdr:cNvSpPr>
              <a:spLocks noTextEdit="1"/>
            </xdr:cNvSpPr>
          </xdr:nvSpPr>
          <xdr:spPr>
            <a:xfrm>
              <a:off x="13614551" y="5892292"/>
              <a:ext cx="4475088" cy="22467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40012</xdr:colOff>
      <xdr:row>2</xdr:row>
      <xdr:rowOff>2184</xdr:rowOff>
    </xdr:from>
    <xdr:to>
      <xdr:col>14</xdr:col>
      <xdr:colOff>2211712</xdr:colOff>
      <xdr:row>6</xdr:row>
      <xdr:rowOff>107772</xdr:rowOff>
    </xdr:to>
    <mc:AlternateContent xmlns:mc="http://schemas.openxmlformats.org/markup-compatibility/2006" xmlns:a14="http://schemas.microsoft.com/office/drawing/2010/main">
      <mc:Choice Requires="a14">
        <xdr:graphicFrame macro="">
          <xdr:nvGraphicFramePr>
            <xdr:cNvPr id="8" name="Veikla (renginiai)">
              <a:extLst>
                <a:ext uri="{FF2B5EF4-FFF2-40B4-BE49-F238E27FC236}">
                  <a16:creationId xmlns:a16="http://schemas.microsoft.com/office/drawing/2014/main" id="{D5F21D92-C8A6-EDA9-6022-C12AD0B692FD}"/>
                </a:ext>
              </a:extLst>
            </xdr:cNvPr>
            <xdr:cNvGraphicFramePr/>
          </xdr:nvGraphicFramePr>
          <xdr:xfrm>
            <a:off x="0" y="0"/>
            <a:ext cx="0" cy="0"/>
          </xdr:xfrm>
          <a:graphic>
            <a:graphicData uri="http://schemas.microsoft.com/office/drawing/2010/slicer">
              <sle:slicer xmlns:sle="http://schemas.microsoft.com/office/drawing/2010/slicer" name="Veikla (renginiai)"/>
            </a:graphicData>
          </a:graphic>
        </xdr:graphicFrame>
      </mc:Choice>
      <mc:Fallback xmlns="">
        <xdr:sp macro="" textlink="">
          <xdr:nvSpPr>
            <xdr:cNvPr id="0" name=""/>
            <xdr:cNvSpPr>
              <a:spLocks noTextEdit="1"/>
            </xdr:cNvSpPr>
          </xdr:nvSpPr>
          <xdr:spPr>
            <a:xfrm>
              <a:off x="13601798" y="606946"/>
              <a:ext cx="2171700" cy="8917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2396886</xdr:colOff>
      <xdr:row>2</xdr:row>
      <xdr:rowOff>2184</xdr:rowOff>
    </xdr:from>
    <xdr:to>
      <xdr:col>16</xdr:col>
      <xdr:colOff>526436</xdr:colOff>
      <xdr:row>6</xdr:row>
      <xdr:rowOff>107772</xdr:rowOff>
    </xdr:to>
    <mc:AlternateContent xmlns:mc="http://schemas.openxmlformats.org/markup-compatibility/2006" xmlns:a14="http://schemas.microsoft.com/office/drawing/2010/main">
      <mc:Choice Requires="a14">
        <xdr:graphicFrame macro="">
          <xdr:nvGraphicFramePr>
            <xdr:cNvPr id="9" name="Veikla (Konsultantai)">
              <a:extLst>
                <a:ext uri="{FF2B5EF4-FFF2-40B4-BE49-F238E27FC236}">
                  <a16:creationId xmlns:a16="http://schemas.microsoft.com/office/drawing/2014/main" id="{66E03131-7C9A-83A7-A520-EAED164279AF}"/>
                </a:ext>
              </a:extLst>
            </xdr:cNvPr>
            <xdr:cNvGraphicFramePr/>
          </xdr:nvGraphicFramePr>
          <xdr:xfrm>
            <a:off x="0" y="0"/>
            <a:ext cx="0" cy="0"/>
          </xdr:xfrm>
          <a:graphic>
            <a:graphicData uri="http://schemas.microsoft.com/office/drawing/2010/slicer">
              <sle:slicer xmlns:sle="http://schemas.microsoft.com/office/drawing/2010/slicer" name="Veikla (Konsultantai)"/>
            </a:graphicData>
          </a:graphic>
        </xdr:graphicFrame>
      </mc:Choice>
      <mc:Fallback xmlns="">
        <xdr:sp macro="" textlink="">
          <xdr:nvSpPr>
            <xdr:cNvPr id="0" name=""/>
            <xdr:cNvSpPr>
              <a:spLocks noTextEdit="1"/>
            </xdr:cNvSpPr>
          </xdr:nvSpPr>
          <xdr:spPr>
            <a:xfrm>
              <a:off x="15958672" y="606946"/>
              <a:ext cx="2166336" cy="8917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25946</xdr:colOff>
      <xdr:row>6</xdr:row>
      <xdr:rowOff>172028</xdr:rowOff>
    </xdr:from>
    <xdr:to>
      <xdr:col>14</xdr:col>
      <xdr:colOff>2197646</xdr:colOff>
      <xdr:row>11</xdr:row>
      <xdr:rowOff>84794</xdr:rowOff>
    </xdr:to>
    <mc:AlternateContent xmlns:mc="http://schemas.openxmlformats.org/markup-compatibility/2006" xmlns:a14="http://schemas.microsoft.com/office/drawing/2010/main">
      <mc:Choice Requires="a14">
        <xdr:graphicFrame macro="">
          <xdr:nvGraphicFramePr>
            <xdr:cNvPr id="10" name="Veikla (Media)">
              <a:extLst>
                <a:ext uri="{FF2B5EF4-FFF2-40B4-BE49-F238E27FC236}">
                  <a16:creationId xmlns:a16="http://schemas.microsoft.com/office/drawing/2014/main" id="{025FA45E-4160-0FAA-B752-4C2A3882E321}"/>
                </a:ext>
              </a:extLst>
            </xdr:cNvPr>
            <xdr:cNvGraphicFramePr/>
          </xdr:nvGraphicFramePr>
          <xdr:xfrm>
            <a:off x="0" y="0"/>
            <a:ext cx="0" cy="0"/>
          </xdr:xfrm>
          <a:graphic>
            <a:graphicData uri="http://schemas.microsoft.com/office/drawing/2010/slicer">
              <sle:slicer xmlns:sle="http://schemas.microsoft.com/office/drawing/2010/slicer" name="Veikla (Media)"/>
            </a:graphicData>
          </a:graphic>
        </xdr:graphicFrame>
      </mc:Choice>
      <mc:Fallback xmlns="">
        <xdr:sp macro="" textlink="">
          <xdr:nvSpPr>
            <xdr:cNvPr id="0" name=""/>
            <xdr:cNvSpPr>
              <a:spLocks noTextEdit="1"/>
            </xdr:cNvSpPr>
          </xdr:nvSpPr>
          <xdr:spPr>
            <a:xfrm>
              <a:off x="13587732" y="1562980"/>
              <a:ext cx="2171700" cy="8955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2384186</xdr:colOff>
      <xdr:row>6</xdr:row>
      <xdr:rowOff>176207</xdr:rowOff>
    </xdr:from>
    <xdr:to>
      <xdr:col>16</xdr:col>
      <xdr:colOff>513736</xdr:colOff>
      <xdr:row>11</xdr:row>
      <xdr:rowOff>88973</xdr:rowOff>
    </xdr:to>
    <mc:AlternateContent xmlns:mc="http://schemas.openxmlformats.org/markup-compatibility/2006" xmlns:a14="http://schemas.microsoft.com/office/drawing/2010/main">
      <mc:Choice Requires="a14">
        <xdr:graphicFrame macro="">
          <xdr:nvGraphicFramePr>
            <xdr:cNvPr id="11" name="Veikla (Production house)">
              <a:extLst>
                <a:ext uri="{FF2B5EF4-FFF2-40B4-BE49-F238E27FC236}">
                  <a16:creationId xmlns:a16="http://schemas.microsoft.com/office/drawing/2014/main" id="{4FD779A0-9202-FEF1-3C9E-C27456DE8A33}"/>
                </a:ext>
              </a:extLst>
            </xdr:cNvPr>
            <xdr:cNvGraphicFramePr/>
          </xdr:nvGraphicFramePr>
          <xdr:xfrm>
            <a:off x="0" y="0"/>
            <a:ext cx="0" cy="0"/>
          </xdr:xfrm>
          <a:graphic>
            <a:graphicData uri="http://schemas.microsoft.com/office/drawing/2010/slicer">
              <sle:slicer xmlns:sle="http://schemas.microsoft.com/office/drawing/2010/slicer" name="Veikla (Production house)"/>
            </a:graphicData>
          </a:graphic>
        </xdr:graphicFrame>
      </mc:Choice>
      <mc:Fallback xmlns="">
        <xdr:sp macro="" textlink="">
          <xdr:nvSpPr>
            <xdr:cNvPr id="0" name=""/>
            <xdr:cNvSpPr>
              <a:spLocks noTextEdit="1"/>
            </xdr:cNvSpPr>
          </xdr:nvSpPr>
          <xdr:spPr>
            <a:xfrm>
              <a:off x="15945972" y="1567159"/>
              <a:ext cx="2166336" cy="8955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25946</xdr:colOff>
      <xdr:row>11</xdr:row>
      <xdr:rowOff>185237</xdr:rowOff>
    </xdr:from>
    <xdr:to>
      <xdr:col>14</xdr:col>
      <xdr:colOff>2197646</xdr:colOff>
      <xdr:row>16</xdr:row>
      <xdr:rowOff>98004</xdr:rowOff>
    </xdr:to>
    <mc:AlternateContent xmlns:mc="http://schemas.openxmlformats.org/markup-compatibility/2006" xmlns:a14="http://schemas.microsoft.com/office/drawing/2010/main">
      <mc:Choice Requires="a14">
        <xdr:graphicFrame macro="">
          <xdr:nvGraphicFramePr>
            <xdr:cNvPr id="12" name="Veikla (kūryba) 1">
              <a:extLst>
                <a:ext uri="{FF2B5EF4-FFF2-40B4-BE49-F238E27FC236}">
                  <a16:creationId xmlns:a16="http://schemas.microsoft.com/office/drawing/2014/main" id="{33FB3CE9-A529-9435-9790-BE99109A9B38}"/>
                </a:ext>
              </a:extLst>
            </xdr:cNvPr>
            <xdr:cNvGraphicFramePr/>
          </xdr:nvGraphicFramePr>
          <xdr:xfrm>
            <a:off x="0" y="0"/>
            <a:ext cx="0" cy="0"/>
          </xdr:xfrm>
          <a:graphic>
            <a:graphicData uri="http://schemas.microsoft.com/office/drawing/2010/slicer">
              <sle:slicer xmlns:sle="http://schemas.microsoft.com/office/drawing/2010/slicer" name="Veikla (kūryba) 1"/>
            </a:graphicData>
          </a:graphic>
        </xdr:graphicFrame>
      </mc:Choice>
      <mc:Fallback xmlns="">
        <xdr:sp macro="" textlink="">
          <xdr:nvSpPr>
            <xdr:cNvPr id="0" name=""/>
            <xdr:cNvSpPr>
              <a:spLocks noTextEdit="1"/>
            </xdr:cNvSpPr>
          </xdr:nvSpPr>
          <xdr:spPr>
            <a:xfrm>
              <a:off x="13587732" y="2558927"/>
              <a:ext cx="2171700" cy="8955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38646</xdr:colOff>
      <xdr:row>16</xdr:row>
      <xdr:rowOff>173048</xdr:rowOff>
    </xdr:from>
    <xdr:to>
      <xdr:col>14</xdr:col>
      <xdr:colOff>2210346</xdr:colOff>
      <xdr:row>21</xdr:row>
      <xdr:rowOff>89473</xdr:rowOff>
    </xdr:to>
    <mc:AlternateContent xmlns:mc="http://schemas.openxmlformats.org/markup-compatibility/2006" xmlns:a14="http://schemas.microsoft.com/office/drawing/2010/main">
      <mc:Choice Requires="a14">
        <xdr:graphicFrame macro="">
          <xdr:nvGraphicFramePr>
            <xdr:cNvPr id="14" name="Veikla (Digital media) 1">
              <a:extLst>
                <a:ext uri="{FF2B5EF4-FFF2-40B4-BE49-F238E27FC236}">
                  <a16:creationId xmlns:a16="http://schemas.microsoft.com/office/drawing/2014/main" id="{527D2B7E-2F0B-977A-F0A9-F4EA6D0D4440}"/>
                </a:ext>
              </a:extLst>
            </xdr:cNvPr>
            <xdr:cNvGraphicFramePr/>
          </xdr:nvGraphicFramePr>
          <xdr:xfrm>
            <a:off x="0" y="0"/>
            <a:ext cx="0" cy="0"/>
          </xdr:xfrm>
          <a:graphic>
            <a:graphicData uri="http://schemas.microsoft.com/office/drawing/2010/slicer">
              <sle:slicer xmlns:sle="http://schemas.microsoft.com/office/drawing/2010/slicer" name="Veikla (Digital media) 1"/>
            </a:graphicData>
          </a:graphic>
        </xdr:graphicFrame>
      </mc:Choice>
      <mc:Fallback xmlns="">
        <xdr:sp macro="" textlink="">
          <xdr:nvSpPr>
            <xdr:cNvPr id="0" name=""/>
            <xdr:cNvSpPr>
              <a:spLocks noTextEdit="1"/>
            </xdr:cNvSpPr>
          </xdr:nvSpPr>
          <xdr:spPr>
            <a:xfrm>
              <a:off x="13600432" y="3529477"/>
              <a:ext cx="2171700" cy="8991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2371486</xdr:colOff>
      <xdr:row>16</xdr:row>
      <xdr:rowOff>138608</xdr:rowOff>
    </xdr:from>
    <xdr:to>
      <xdr:col>16</xdr:col>
      <xdr:colOff>501036</xdr:colOff>
      <xdr:row>21</xdr:row>
      <xdr:rowOff>55606</xdr:rowOff>
    </xdr:to>
    <mc:AlternateContent xmlns:mc="http://schemas.openxmlformats.org/markup-compatibility/2006" xmlns:a14="http://schemas.microsoft.com/office/drawing/2010/main">
      <mc:Choice Requires="a14">
        <xdr:graphicFrame macro="">
          <xdr:nvGraphicFramePr>
            <xdr:cNvPr id="15" name="Veikla (PA) 1">
              <a:extLst>
                <a:ext uri="{FF2B5EF4-FFF2-40B4-BE49-F238E27FC236}">
                  <a16:creationId xmlns:a16="http://schemas.microsoft.com/office/drawing/2014/main" id="{D318A2F4-1DF8-BCC8-94F9-9A8292B09D19}"/>
                </a:ext>
              </a:extLst>
            </xdr:cNvPr>
            <xdr:cNvGraphicFramePr/>
          </xdr:nvGraphicFramePr>
          <xdr:xfrm>
            <a:off x="0" y="0"/>
            <a:ext cx="0" cy="0"/>
          </xdr:xfrm>
          <a:graphic>
            <a:graphicData uri="http://schemas.microsoft.com/office/drawing/2010/slicer">
              <sle:slicer xmlns:sle="http://schemas.microsoft.com/office/drawing/2010/slicer" name="Veikla (PA) 1"/>
            </a:graphicData>
          </a:graphic>
        </xdr:graphicFrame>
      </mc:Choice>
      <mc:Fallback xmlns="">
        <xdr:sp macro="" textlink="">
          <xdr:nvSpPr>
            <xdr:cNvPr id="0" name=""/>
            <xdr:cNvSpPr>
              <a:spLocks noTextEdit="1"/>
            </xdr:cNvSpPr>
          </xdr:nvSpPr>
          <xdr:spPr>
            <a:xfrm>
              <a:off x="15933272" y="3495037"/>
              <a:ext cx="2166336" cy="8997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2383367</xdr:colOff>
      <xdr:row>12</xdr:row>
      <xdr:rowOff>1</xdr:rowOff>
    </xdr:from>
    <xdr:to>
      <xdr:col>16</xdr:col>
      <xdr:colOff>491067</xdr:colOff>
      <xdr:row>16</xdr:row>
      <xdr:rowOff>97369</xdr:rowOff>
    </xdr:to>
    <mc:AlternateContent xmlns:mc="http://schemas.openxmlformats.org/markup-compatibility/2006" xmlns:a14="http://schemas.microsoft.com/office/drawing/2010/main">
      <mc:Choice Requires="a14">
        <xdr:graphicFrame macro="">
          <xdr:nvGraphicFramePr>
            <xdr:cNvPr id="16" name="Veikla (PR)">
              <a:extLst>
                <a:ext uri="{FF2B5EF4-FFF2-40B4-BE49-F238E27FC236}">
                  <a16:creationId xmlns:a16="http://schemas.microsoft.com/office/drawing/2014/main" id="{748CA915-64DD-669A-2901-CC523EC713C1}"/>
                </a:ext>
              </a:extLst>
            </xdr:cNvPr>
            <xdr:cNvGraphicFramePr/>
          </xdr:nvGraphicFramePr>
          <xdr:xfrm>
            <a:off x="0" y="0"/>
            <a:ext cx="0" cy="0"/>
          </xdr:xfrm>
          <a:graphic>
            <a:graphicData uri="http://schemas.microsoft.com/office/drawing/2010/slicer">
              <sle:slicer xmlns:sle="http://schemas.microsoft.com/office/drawing/2010/slicer" name="Veikla (PR)"/>
            </a:graphicData>
          </a:graphic>
        </xdr:graphicFrame>
      </mc:Choice>
      <mc:Fallback xmlns="">
        <xdr:sp macro="" textlink="">
          <xdr:nvSpPr>
            <xdr:cNvPr id="0" name=""/>
            <xdr:cNvSpPr>
              <a:spLocks noTextEdit="1"/>
            </xdr:cNvSpPr>
          </xdr:nvSpPr>
          <xdr:spPr>
            <a:xfrm>
              <a:off x="15945153" y="2570239"/>
              <a:ext cx="2144486" cy="883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xdr:colOff>
      <xdr:row>22</xdr:row>
      <xdr:rowOff>33868</xdr:rowOff>
    </xdr:from>
    <xdr:to>
      <xdr:col>14</xdr:col>
      <xdr:colOff>2167467</xdr:colOff>
      <xdr:row>26</xdr:row>
      <xdr:rowOff>135466</xdr:rowOff>
    </xdr:to>
    <mc:AlternateContent xmlns:mc="http://schemas.openxmlformats.org/markup-compatibility/2006" xmlns:a14="http://schemas.microsoft.com/office/drawing/2010/main">
      <mc:Choice Requires="a14">
        <xdr:graphicFrame macro="">
          <xdr:nvGraphicFramePr>
            <xdr:cNvPr id="17" name="Veikla (BTL)">
              <a:extLst>
                <a:ext uri="{FF2B5EF4-FFF2-40B4-BE49-F238E27FC236}">
                  <a16:creationId xmlns:a16="http://schemas.microsoft.com/office/drawing/2014/main" id="{90A6529E-34FF-4340-3736-F9C57051F90E}"/>
                </a:ext>
              </a:extLst>
            </xdr:cNvPr>
            <xdr:cNvGraphicFramePr/>
          </xdr:nvGraphicFramePr>
          <xdr:xfrm>
            <a:off x="0" y="0"/>
            <a:ext cx="0" cy="0"/>
          </xdr:xfrm>
          <a:graphic>
            <a:graphicData uri="http://schemas.microsoft.com/office/drawing/2010/slicer">
              <sle:slicer xmlns:sle="http://schemas.microsoft.com/office/drawing/2010/slicer" name="Veikla (BTL)"/>
            </a:graphicData>
          </a:graphic>
        </xdr:graphicFrame>
      </mc:Choice>
      <mc:Fallback xmlns="">
        <xdr:sp macro="" textlink="">
          <xdr:nvSpPr>
            <xdr:cNvPr id="0" name=""/>
            <xdr:cNvSpPr>
              <a:spLocks noTextEdit="1"/>
            </xdr:cNvSpPr>
          </xdr:nvSpPr>
          <xdr:spPr>
            <a:xfrm>
              <a:off x="13561785" y="4569582"/>
              <a:ext cx="2167468" cy="8877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1</xdr:row>
      <xdr:rowOff>152400</xdr:rowOff>
    </xdr:from>
    <xdr:to>
      <xdr:col>19</xdr:col>
      <xdr:colOff>571500</xdr:colOff>
      <xdr:row>27</xdr:row>
      <xdr:rowOff>9525</xdr:rowOff>
    </xdr:to>
    <mc:AlternateContent xmlns:mc="http://schemas.openxmlformats.org/markup-compatibility/2006" xmlns:a14="http://schemas.microsoft.com/office/drawing/2010/main">
      <mc:Choice Requires="a14">
        <xdr:graphicFrame macro="">
          <xdr:nvGraphicFramePr>
            <xdr:cNvPr id="3" name="Įmonės pavadinimas">
              <a:extLst>
                <a:ext uri="{FF2B5EF4-FFF2-40B4-BE49-F238E27FC236}">
                  <a16:creationId xmlns:a16="http://schemas.microsoft.com/office/drawing/2014/main" id="{FC3BD716-2E79-1831-CF68-7EBBD44AECCF}"/>
                </a:ext>
                <a:ext uri="{147F2762-F138-4A5C-976F-8EAC2B608ADB}">
                  <a16:predDERef xmlns:a16="http://schemas.microsoft.com/office/drawing/2014/main" pred="{90A6529E-34FF-4340-3736-F9C57051F90E}"/>
                </a:ext>
              </a:extLst>
            </xdr:cNvPr>
            <xdr:cNvGraphicFramePr/>
          </xdr:nvGraphicFramePr>
          <xdr:xfrm>
            <a:off x="0" y="0"/>
            <a:ext cx="0" cy="0"/>
          </xdr:xfrm>
          <a:graphic>
            <a:graphicData uri="http://schemas.microsoft.com/office/drawing/2010/slicer">
              <sle:slicer xmlns:sle="http://schemas.microsoft.com/office/drawing/2010/slicer" name="Įmonės pavadinimas"/>
            </a:graphicData>
          </a:graphic>
        </xdr:graphicFrame>
      </mc:Choice>
      <mc:Fallback xmlns="">
        <xdr:sp macro="" textlink="">
          <xdr:nvSpPr>
            <xdr:cNvPr id="0" name=""/>
            <xdr:cNvSpPr>
              <a:spLocks noTextEdit="1"/>
            </xdr:cNvSpPr>
          </xdr:nvSpPr>
          <xdr:spPr>
            <a:xfrm>
              <a:off x="17043400" y="810590"/>
              <a:ext cx="2213665" cy="74029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387814</xdr:colOff>
      <xdr:row>1</xdr:row>
      <xdr:rowOff>178419</xdr:rowOff>
    </xdr:from>
    <xdr:to>
      <xdr:col>27</xdr:col>
      <xdr:colOff>574907</xdr:colOff>
      <xdr:row>6</xdr:row>
      <xdr:rowOff>163550</xdr:rowOff>
    </xdr:to>
    <mc:AlternateContent xmlns:mc="http://schemas.openxmlformats.org/markup-compatibility/2006" xmlns:a14="http://schemas.microsoft.com/office/drawing/2010/main">
      <mc:Choice Requires="a14">
        <xdr:graphicFrame macro="">
          <xdr:nvGraphicFramePr>
            <xdr:cNvPr id="2" name="Veikla (Renginiai) 1">
              <a:extLst>
                <a:ext uri="{FF2B5EF4-FFF2-40B4-BE49-F238E27FC236}">
                  <a16:creationId xmlns:a16="http://schemas.microsoft.com/office/drawing/2014/main" id="{9908A9FC-5A65-3754-185B-5F72282778B6}"/>
                </a:ext>
              </a:extLst>
            </xdr:cNvPr>
            <xdr:cNvGraphicFramePr/>
          </xdr:nvGraphicFramePr>
          <xdr:xfrm>
            <a:off x="0" y="0"/>
            <a:ext cx="0" cy="0"/>
          </xdr:xfrm>
          <a:graphic>
            <a:graphicData uri="http://schemas.microsoft.com/office/drawing/2010/slicer">
              <sle:slicer xmlns:sle="http://schemas.microsoft.com/office/drawing/2010/slicer" name="Veikla (Renginiai) 1"/>
            </a:graphicData>
          </a:graphic>
        </xdr:graphicFrame>
      </mc:Choice>
      <mc:Fallback xmlns="">
        <xdr:sp macro="" textlink="">
          <xdr:nvSpPr>
            <xdr:cNvPr id="0" name=""/>
            <xdr:cNvSpPr>
              <a:spLocks noTextEdit="1"/>
            </xdr:cNvSpPr>
          </xdr:nvSpPr>
          <xdr:spPr>
            <a:xfrm>
              <a:off x="16353528" y="373804"/>
              <a:ext cx="1833906" cy="9620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387814</xdr:colOff>
      <xdr:row>7</xdr:row>
      <xdr:rowOff>119727</xdr:rowOff>
    </xdr:from>
    <xdr:to>
      <xdr:col>27</xdr:col>
      <xdr:colOff>574907</xdr:colOff>
      <xdr:row>12</xdr:row>
      <xdr:rowOff>104859</xdr:rowOff>
    </xdr:to>
    <mc:AlternateContent xmlns:mc="http://schemas.openxmlformats.org/markup-compatibility/2006" xmlns:a14="http://schemas.microsoft.com/office/drawing/2010/main">
      <mc:Choice Requires="a14">
        <xdr:graphicFrame macro="">
          <xdr:nvGraphicFramePr>
            <xdr:cNvPr id="3" name="Veikla (BTL) 1">
              <a:extLst>
                <a:ext uri="{FF2B5EF4-FFF2-40B4-BE49-F238E27FC236}">
                  <a16:creationId xmlns:a16="http://schemas.microsoft.com/office/drawing/2014/main" id="{C40AB9EE-E5A8-C999-5C1F-6FBC376D86F5}"/>
                </a:ext>
              </a:extLst>
            </xdr:cNvPr>
            <xdr:cNvGraphicFramePr/>
          </xdr:nvGraphicFramePr>
          <xdr:xfrm>
            <a:off x="0" y="0"/>
            <a:ext cx="0" cy="0"/>
          </xdr:xfrm>
          <a:graphic>
            <a:graphicData uri="http://schemas.microsoft.com/office/drawing/2010/slicer">
              <sle:slicer xmlns:sle="http://schemas.microsoft.com/office/drawing/2010/slicer" name="Veikla (BTL) 1"/>
            </a:graphicData>
          </a:graphic>
        </xdr:graphicFrame>
      </mc:Choice>
      <mc:Fallback xmlns="">
        <xdr:sp macro="" textlink="">
          <xdr:nvSpPr>
            <xdr:cNvPr id="0" name=""/>
            <xdr:cNvSpPr>
              <a:spLocks noTextEdit="1"/>
            </xdr:cNvSpPr>
          </xdr:nvSpPr>
          <xdr:spPr>
            <a:xfrm>
              <a:off x="16353528" y="1487419"/>
              <a:ext cx="1833906" cy="96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387814</xdr:colOff>
      <xdr:row>13</xdr:row>
      <xdr:rowOff>61035</xdr:rowOff>
    </xdr:from>
    <xdr:to>
      <xdr:col>27</xdr:col>
      <xdr:colOff>574907</xdr:colOff>
      <xdr:row>18</xdr:row>
      <xdr:rowOff>46167</xdr:rowOff>
    </xdr:to>
    <mc:AlternateContent xmlns:mc="http://schemas.openxmlformats.org/markup-compatibility/2006" xmlns:a14="http://schemas.microsoft.com/office/drawing/2010/main">
      <mc:Choice Requires="a14">
        <xdr:graphicFrame macro="">
          <xdr:nvGraphicFramePr>
            <xdr:cNvPr id="4" name="Veikla (Konsultantai) 1">
              <a:extLst>
                <a:ext uri="{FF2B5EF4-FFF2-40B4-BE49-F238E27FC236}">
                  <a16:creationId xmlns:a16="http://schemas.microsoft.com/office/drawing/2014/main" id="{F6EF432A-034F-E106-56C3-4CFB5E463A97}"/>
                </a:ext>
              </a:extLst>
            </xdr:cNvPr>
            <xdr:cNvGraphicFramePr/>
          </xdr:nvGraphicFramePr>
          <xdr:xfrm>
            <a:off x="0" y="0"/>
            <a:ext cx="0" cy="0"/>
          </xdr:xfrm>
          <a:graphic>
            <a:graphicData uri="http://schemas.microsoft.com/office/drawing/2010/slicer">
              <sle:slicer xmlns:sle="http://schemas.microsoft.com/office/drawing/2010/slicer" name="Veikla (Konsultantai) 1"/>
            </a:graphicData>
          </a:graphic>
        </xdr:graphicFrame>
      </mc:Choice>
      <mc:Fallback xmlns="">
        <xdr:sp macro="" textlink="">
          <xdr:nvSpPr>
            <xdr:cNvPr id="0" name=""/>
            <xdr:cNvSpPr>
              <a:spLocks noTextEdit="1"/>
            </xdr:cNvSpPr>
          </xdr:nvSpPr>
          <xdr:spPr>
            <a:xfrm>
              <a:off x="16353528" y="2601035"/>
              <a:ext cx="1833906" cy="96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387814</xdr:colOff>
      <xdr:row>19</xdr:row>
      <xdr:rowOff>2342</xdr:rowOff>
    </xdr:from>
    <xdr:to>
      <xdr:col>27</xdr:col>
      <xdr:colOff>574907</xdr:colOff>
      <xdr:row>23</xdr:row>
      <xdr:rowOff>182859</xdr:rowOff>
    </xdr:to>
    <mc:AlternateContent xmlns:mc="http://schemas.openxmlformats.org/markup-compatibility/2006" xmlns:a14="http://schemas.microsoft.com/office/drawing/2010/main">
      <mc:Choice Requires="a14">
        <xdr:graphicFrame macro="">
          <xdr:nvGraphicFramePr>
            <xdr:cNvPr id="5" name="Veikla (Media) 1">
              <a:extLst>
                <a:ext uri="{FF2B5EF4-FFF2-40B4-BE49-F238E27FC236}">
                  <a16:creationId xmlns:a16="http://schemas.microsoft.com/office/drawing/2014/main" id="{A766E61C-F5D2-913B-C39C-42A28FA67433}"/>
                </a:ext>
              </a:extLst>
            </xdr:cNvPr>
            <xdr:cNvGraphicFramePr/>
          </xdr:nvGraphicFramePr>
          <xdr:xfrm>
            <a:off x="0" y="0"/>
            <a:ext cx="0" cy="0"/>
          </xdr:xfrm>
          <a:graphic>
            <a:graphicData uri="http://schemas.microsoft.com/office/drawing/2010/slicer">
              <sle:slicer xmlns:sle="http://schemas.microsoft.com/office/drawing/2010/slicer" name="Veikla (Media) 1"/>
            </a:graphicData>
          </a:graphic>
        </xdr:graphicFrame>
      </mc:Choice>
      <mc:Fallback xmlns="">
        <xdr:sp macro="" textlink="">
          <xdr:nvSpPr>
            <xdr:cNvPr id="0" name=""/>
            <xdr:cNvSpPr>
              <a:spLocks noTextEdit="1"/>
            </xdr:cNvSpPr>
          </xdr:nvSpPr>
          <xdr:spPr>
            <a:xfrm>
              <a:off x="16353528" y="3714650"/>
              <a:ext cx="1833906" cy="96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5576</xdr:colOff>
      <xdr:row>1</xdr:row>
      <xdr:rowOff>178419</xdr:rowOff>
    </xdr:from>
    <xdr:to>
      <xdr:col>25</xdr:col>
      <xdr:colOff>192669</xdr:colOff>
      <xdr:row>6</xdr:row>
      <xdr:rowOff>163551</xdr:rowOff>
    </xdr:to>
    <mc:AlternateContent xmlns:mc="http://schemas.openxmlformats.org/markup-compatibility/2006" xmlns:a14="http://schemas.microsoft.com/office/drawing/2010/main">
      <mc:Choice Requires="a14">
        <xdr:graphicFrame macro="">
          <xdr:nvGraphicFramePr>
            <xdr:cNvPr id="6" name="Veikla (Production house) 1">
              <a:extLst>
                <a:ext uri="{FF2B5EF4-FFF2-40B4-BE49-F238E27FC236}">
                  <a16:creationId xmlns:a16="http://schemas.microsoft.com/office/drawing/2014/main" id="{C36143B0-938C-1C15-A019-988C7E5C57B2}"/>
                </a:ext>
              </a:extLst>
            </xdr:cNvPr>
            <xdr:cNvGraphicFramePr/>
          </xdr:nvGraphicFramePr>
          <xdr:xfrm>
            <a:off x="0" y="0"/>
            <a:ext cx="0" cy="0"/>
          </xdr:xfrm>
          <a:graphic>
            <a:graphicData uri="http://schemas.microsoft.com/office/drawing/2010/slicer">
              <sle:slicer xmlns:sle="http://schemas.microsoft.com/office/drawing/2010/slicer" name="Veikla (Production house) 1"/>
            </a:graphicData>
          </a:graphic>
        </xdr:graphicFrame>
      </mc:Choice>
      <mc:Fallback xmlns="">
        <xdr:sp macro="" textlink="">
          <xdr:nvSpPr>
            <xdr:cNvPr id="0" name=""/>
            <xdr:cNvSpPr>
              <a:spLocks noTextEdit="1"/>
            </xdr:cNvSpPr>
          </xdr:nvSpPr>
          <xdr:spPr>
            <a:xfrm>
              <a:off x="14324477" y="373804"/>
              <a:ext cx="1833906" cy="96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5576</xdr:colOff>
      <xdr:row>7</xdr:row>
      <xdr:rowOff>124688</xdr:rowOff>
    </xdr:from>
    <xdr:to>
      <xdr:col>25</xdr:col>
      <xdr:colOff>192669</xdr:colOff>
      <xdr:row>12</xdr:row>
      <xdr:rowOff>109820</xdr:rowOff>
    </xdr:to>
    <mc:AlternateContent xmlns:mc="http://schemas.openxmlformats.org/markup-compatibility/2006" xmlns:a14="http://schemas.microsoft.com/office/drawing/2010/main">
      <mc:Choice Requires="a14">
        <xdr:graphicFrame macro="">
          <xdr:nvGraphicFramePr>
            <xdr:cNvPr id="7" name="Veikla (kūryba)">
              <a:extLst>
                <a:ext uri="{FF2B5EF4-FFF2-40B4-BE49-F238E27FC236}">
                  <a16:creationId xmlns:a16="http://schemas.microsoft.com/office/drawing/2014/main" id="{B0E98DCA-E84D-C5CB-62BF-474F6E504714}"/>
                </a:ext>
              </a:extLst>
            </xdr:cNvPr>
            <xdr:cNvGraphicFramePr/>
          </xdr:nvGraphicFramePr>
          <xdr:xfrm>
            <a:off x="0" y="0"/>
            <a:ext cx="0" cy="0"/>
          </xdr:xfrm>
          <a:graphic>
            <a:graphicData uri="http://schemas.microsoft.com/office/drawing/2010/slicer">
              <sle:slicer xmlns:sle="http://schemas.microsoft.com/office/drawing/2010/slicer" name="Veikla (kūryba)"/>
            </a:graphicData>
          </a:graphic>
        </xdr:graphicFrame>
      </mc:Choice>
      <mc:Fallback xmlns="">
        <xdr:sp macro="" textlink="">
          <xdr:nvSpPr>
            <xdr:cNvPr id="0" name=""/>
            <xdr:cNvSpPr>
              <a:spLocks noTextEdit="1"/>
            </xdr:cNvSpPr>
          </xdr:nvSpPr>
          <xdr:spPr>
            <a:xfrm>
              <a:off x="14324477" y="1492380"/>
              <a:ext cx="1833906" cy="96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5576</xdr:colOff>
      <xdr:row>13</xdr:row>
      <xdr:rowOff>70956</xdr:rowOff>
    </xdr:from>
    <xdr:to>
      <xdr:col>25</xdr:col>
      <xdr:colOff>200075</xdr:colOff>
      <xdr:row>18</xdr:row>
      <xdr:rowOff>56088</xdr:rowOff>
    </xdr:to>
    <mc:AlternateContent xmlns:mc="http://schemas.openxmlformats.org/markup-compatibility/2006" xmlns:a14="http://schemas.microsoft.com/office/drawing/2010/main">
      <mc:Choice Requires="a14">
        <xdr:graphicFrame macro="">
          <xdr:nvGraphicFramePr>
            <xdr:cNvPr id="8" name="Veikla (PR) 1">
              <a:extLst>
                <a:ext uri="{FF2B5EF4-FFF2-40B4-BE49-F238E27FC236}">
                  <a16:creationId xmlns:a16="http://schemas.microsoft.com/office/drawing/2014/main" id="{F59474D3-CF98-0F3B-8BD6-CE52DE112025}"/>
                </a:ext>
              </a:extLst>
            </xdr:cNvPr>
            <xdr:cNvGraphicFramePr/>
          </xdr:nvGraphicFramePr>
          <xdr:xfrm>
            <a:off x="0" y="0"/>
            <a:ext cx="0" cy="0"/>
          </xdr:xfrm>
          <a:graphic>
            <a:graphicData uri="http://schemas.microsoft.com/office/drawing/2010/slicer">
              <sle:slicer xmlns:sle="http://schemas.microsoft.com/office/drawing/2010/slicer" name="Veikla (PR) 1"/>
            </a:graphicData>
          </a:graphic>
        </xdr:graphicFrame>
      </mc:Choice>
      <mc:Fallback xmlns="">
        <xdr:sp macro="" textlink="">
          <xdr:nvSpPr>
            <xdr:cNvPr id="0" name=""/>
            <xdr:cNvSpPr>
              <a:spLocks noTextEdit="1"/>
            </xdr:cNvSpPr>
          </xdr:nvSpPr>
          <xdr:spPr>
            <a:xfrm>
              <a:off x="14324477" y="2610956"/>
              <a:ext cx="1841312" cy="96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5576</xdr:colOff>
      <xdr:row>19</xdr:row>
      <xdr:rowOff>17224</xdr:rowOff>
    </xdr:from>
    <xdr:to>
      <xdr:col>25</xdr:col>
      <xdr:colOff>200075</xdr:colOff>
      <xdr:row>23</xdr:row>
      <xdr:rowOff>190095</xdr:rowOff>
    </xdr:to>
    <mc:AlternateContent xmlns:mc="http://schemas.openxmlformats.org/markup-compatibility/2006" xmlns:a14="http://schemas.microsoft.com/office/drawing/2010/main">
      <mc:Choice Requires="a14">
        <xdr:graphicFrame macro="">
          <xdr:nvGraphicFramePr>
            <xdr:cNvPr id="9" name="Veikla (Digital media)">
              <a:extLst>
                <a:ext uri="{FF2B5EF4-FFF2-40B4-BE49-F238E27FC236}">
                  <a16:creationId xmlns:a16="http://schemas.microsoft.com/office/drawing/2014/main" id="{756F7E72-C980-39CB-6CC5-4675200EAB62}"/>
                </a:ext>
              </a:extLst>
            </xdr:cNvPr>
            <xdr:cNvGraphicFramePr/>
          </xdr:nvGraphicFramePr>
          <xdr:xfrm>
            <a:off x="0" y="0"/>
            <a:ext cx="0" cy="0"/>
          </xdr:xfrm>
          <a:graphic>
            <a:graphicData uri="http://schemas.microsoft.com/office/drawing/2010/slicer">
              <sle:slicer xmlns:sle="http://schemas.microsoft.com/office/drawing/2010/slicer" name="Veikla (Digital media)"/>
            </a:graphicData>
          </a:graphic>
        </xdr:graphicFrame>
      </mc:Choice>
      <mc:Fallback xmlns="">
        <xdr:sp macro="" textlink="">
          <xdr:nvSpPr>
            <xdr:cNvPr id="0" name=""/>
            <xdr:cNvSpPr>
              <a:spLocks noTextEdit="1"/>
            </xdr:cNvSpPr>
          </xdr:nvSpPr>
          <xdr:spPr>
            <a:xfrm>
              <a:off x="14324477" y="3729532"/>
              <a:ext cx="1841312" cy="9544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5576</xdr:colOff>
      <xdr:row>24</xdr:row>
      <xdr:rowOff>151230</xdr:rowOff>
    </xdr:from>
    <xdr:to>
      <xdr:col>25</xdr:col>
      <xdr:colOff>192669</xdr:colOff>
      <xdr:row>29</xdr:row>
      <xdr:rowOff>136362</xdr:rowOff>
    </xdr:to>
    <mc:AlternateContent xmlns:mc="http://schemas.openxmlformats.org/markup-compatibility/2006" xmlns:a14="http://schemas.microsoft.com/office/drawing/2010/main">
      <mc:Choice Requires="a14">
        <xdr:graphicFrame macro="">
          <xdr:nvGraphicFramePr>
            <xdr:cNvPr id="10" name="Veikla (PA)">
              <a:extLst>
                <a:ext uri="{FF2B5EF4-FFF2-40B4-BE49-F238E27FC236}">
                  <a16:creationId xmlns:a16="http://schemas.microsoft.com/office/drawing/2014/main" id="{7A484CF9-12F6-1629-673D-E26E6DCB1ECF}"/>
                </a:ext>
              </a:extLst>
            </xdr:cNvPr>
            <xdr:cNvGraphicFramePr/>
          </xdr:nvGraphicFramePr>
          <xdr:xfrm>
            <a:off x="0" y="0"/>
            <a:ext cx="0" cy="0"/>
          </xdr:xfrm>
          <a:graphic>
            <a:graphicData uri="http://schemas.microsoft.com/office/drawing/2010/slicer">
              <sle:slicer xmlns:sle="http://schemas.microsoft.com/office/drawing/2010/slicer" name="Veikla (PA)"/>
            </a:graphicData>
          </a:graphic>
        </xdr:graphicFrame>
      </mc:Choice>
      <mc:Fallback xmlns="">
        <xdr:sp macro="" textlink="">
          <xdr:nvSpPr>
            <xdr:cNvPr id="0" name=""/>
            <xdr:cNvSpPr>
              <a:spLocks noTextEdit="1"/>
            </xdr:cNvSpPr>
          </xdr:nvSpPr>
          <xdr:spPr>
            <a:xfrm>
              <a:off x="14324477" y="4840461"/>
              <a:ext cx="1833906" cy="9620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714375</xdr:colOff>
      <xdr:row>1</xdr:row>
      <xdr:rowOff>171450</xdr:rowOff>
    </xdr:from>
    <xdr:to>
      <xdr:col>30</xdr:col>
      <xdr:colOff>104775</xdr:colOff>
      <xdr:row>29</xdr:row>
      <xdr:rowOff>114300</xdr:rowOff>
    </xdr:to>
    <mc:AlternateContent xmlns:mc="http://schemas.openxmlformats.org/markup-compatibility/2006" xmlns:a14="http://schemas.microsoft.com/office/drawing/2010/main">
      <mc:Choice Requires="a14">
        <xdr:graphicFrame macro="">
          <xdr:nvGraphicFramePr>
            <xdr:cNvPr id="11" name="Pagrindinis brandas">
              <a:extLst>
                <a:ext uri="{FF2B5EF4-FFF2-40B4-BE49-F238E27FC236}">
                  <a16:creationId xmlns:a16="http://schemas.microsoft.com/office/drawing/2014/main" id="{24BA8753-F8B2-5B91-06E4-9CA81637502F}"/>
                </a:ext>
                <a:ext uri="{147F2762-F138-4A5C-976F-8EAC2B608ADB}">
                  <a16:predDERef xmlns:a16="http://schemas.microsoft.com/office/drawing/2014/main" pred="{7A484CF9-12F6-1629-673D-E26E6DCB1ECF}"/>
                </a:ext>
              </a:extLst>
            </xdr:cNvPr>
            <xdr:cNvGraphicFramePr/>
          </xdr:nvGraphicFramePr>
          <xdr:xfrm>
            <a:off x="0" y="0"/>
            <a:ext cx="0" cy="0"/>
          </xdr:xfrm>
          <a:graphic>
            <a:graphicData uri="http://schemas.microsoft.com/office/drawing/2010/slicer">
              <sle:slicer xmlns:sle="http://schemas.microsoft.com/office/drawing/2010/slicer" name="Pagrindinis brandas"/>
            </a:graphicData>
          </a:graphic>
        </xdr:graphicFrame>
      </mc:Choice>
      <mc:Fallback xmlns="">
        <xdr:sp macro="" textlink="">
          <xdr:nvSpPr>
            <xdr:cNvPr id="0" name=""/>
            <xdr:cNvSpPr>
              <a:spLocks noTextEdit="1"/>
            </xdr:cNvSpPr>
          </xdr:nvSpPr>
          <xdr:spPr>
            <a:xfrm>
              <a:off x="16630650" y="361950"/>
              <a:ext cx="1676400" cy="52768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76.416968518519" createdVersion="8" refreshedVersion="8" minRefreshableVersion="3" recordCount="660" xr:uid="{0F30B467-5538-A74D-B084-A76C91666E59}">
  <cacheSource type="worksheet">
    <worksheetSource name="Table2"/>
  </cacheSource>
  <cacheFields count="26">
    <cacheField name="Įmonės pavadinimas" numFmtId="0">
      <sharedItems containsBlank="1" count="119">
        <s v="6 Loops, UAB"/>
        <s v="7 sprendimai, MB"/>
        <s v="Adell reklama, UAB"/>
        <s v="Adface, UAB"/>
        <s v="Adverum, UAB"/>
        <s v="ALL CAPS, UAB"/>
        <s v="Apg media, UAB"/>
        <s v="Arena Media, UAB"/>
        <s v="Astos dizainas, UAB"/>
        <s v="Ave Media, MB"/>
        <s v="Be reklamos negerai, UAB"/>
        <s v="Bemedija, UAB"/>
        <s v="Berta and, UAB"/>
        <s v="Bosanova, UAB"/>
        <s v="BPN LT, UAB"/>
        <s v="Caption, UAB"/>
        <s v="Ciklopas, UAB"/>
        <s v="co:agency, UAB"/>
        <s v="Convo, UAB"/>
        <s v="Dansu, UAB"/>
        <s v="Dear problem, UAB"/>
        <s v="Dentsu Lithuania, UAB"/>
        <s v="Digital Matter, UAB"/>
        <s v="Digitfruition, UAB"/>
        <s v="Du Dvylika, UAB"/>
        <s v="Efcom, UAB"/>
        <s v="Enter Agency, UAB"/>
        <s v="Enternet, UAB"/>
        <s v="Evo Media, UAB"/>
        <s v="Evolvery, UAB"/>
        <s v="Expertmedia, UAB"/>
        <s v="Fabula ir partneriai, UAB"/>
        <s v="FAD, UAB"/>
        <s v="We deliver, UAB"/>
        <s v="Fotokomanda, UAB"/>
        <s v="Galley Group, UAB"/>
        <s v="Gaumina, UAB"/>
        <s v="Gideas, UAB"/>
        <s v="Good one, UAB"/>
        <s v="Havas Media, UAB"/>
        <s v="Headline, UAB"/>
        <s v="IC Baltic, UAB"/>
        <s v="Idea Prima, UAB"/>
        <s v="Idee fixe vilnius, UAB"/>
        <s v="Indiana.lt, UAB"/>
        <s v="Influenceriai.lt, UAB"/>
        <s v="INK Agency, UAB"/>
        <s v="Inspired Communications, UAB"/>
        <s v="Integrity PR, UAB"/>
        <s v="Komunikacija ir konsultantai, UAB"/>
        <s v="Kubrik, UAB"/>
        <s v="Kūrybiniai komunikacijos sprendimai, UAB"/>
        <s v="Kvadratai, MB"/>
        <s v="Lion Communications Vilnius, UAB"/>
        <s v="Lost Bunch, UAB"/>
        <s v="LoveMedia, UAB"/>
        <s v="Madiavo, UAB"/>
        <s v="Magnus advisory, MB"/>
        <s v="Maniac, UAB"/>
        <s v="Market Rats, UAB"/>
        <s v="Media House, UAB"/>
        <s v="Media mind, UAB"/>
        <s v="Meta advisory Lithuania, UAB"/>
        <s v="Milk Agency, UAB"/>
        <s v="New Agency, UAB"/>
        <s v="Not Perfect, UAB"/>
        <s v="Open Agency, UAB"/>
        <s v="Panama Agency, MB"/>
        <s v="Particle PR, UAB"/>
        <s v="Partizanas, UAB"/>
        <s v="PR Ace Agency, MB"/>
        <s v="PR Service, UAB (PIAR)"/>
        <s v="Protingi sprendimai, UAB"/>
        <s v="Publicum, UAB"/>
        <s v="RAIBEC, UAB"/>
        <s v="Reprise Media, UAB"/>
        <s v="SEOvoras, UAB"/>
        <s v="Synthesis Consulting Group, UAB"/>
        <s v="Skaitmeninė reklama, UAB"/>
        <s v="Socium agency, UAB"/>
        <s v="SOMA Agency (Havas), UAB"/>
        <s v="Some Films, UAB"/>
        <s v="Sons &amp; Daughters, UAB"/>
        <s v="Spotlight LT, UAB"/>
        <s v="SuperYou, UAB"/>
        <s v="Tarela, UAB"/>
        <s v="Tekvila, UAB"/>
        <s v="The Critical, UAB"/>
        <s v="Totem promo, UAB"/>
        <s v="Trendmark, UAB"/>
        <s v="Turinio rinkodara, UAB"/>
        <s v="Vaizdo skonis, UAB"/>
        <s v="Vento Nuovo, UAB"/>
        <s v="Verslo idėjų partneriai, UAB"/>
        <s v="Via Media, UAB"/>
        <s v="Videoprojektų sprendimai, MB"/>
        <s v="Vienas paspaudimas, MB"/>
        <s v="Visetas, UAB"/>
        <s v="Way Makers, MB"/>
        <s v="We Are Marketing, UAB"/>
        <s v="Whatabout.agency, UAB"/>
        <s v="Wide Wings, UAB"/>
        <s v="Wrks, UAB"/>
        <s v="Spark LT, UAB"/>
        <s v="VRS WPI Vilnius, UAB"/>
        <s v="Reklamos vizija, UAB"/>
        <s v="Petraitis ir Pūras, UAB"/>
        <s v="Marios Agency, MB"/>
        <s v="100 ačiū, MB"/>
        <s v="Pantomima, MB"/>
        <s v="Videvita, UAB"/>
        <s v="Nuostabu, UAB"/>
        <s v="Ric Creative, UAB"/>
        <m u="1"/>
        <s v="BeeMarketing, UAB" u="1"/>
        <s v="FCR Media Lietuva, UAB" u="1"/>
        <s v="MediaCom, UAB" u="1"/>
        <s v="INK IDEA, UAB" u="1"/>
        <s v="Antraštė, MB" u="1"/>
      </sharedItems>
    </cacheField>
    <cacheField name="Pagrindinis brandas" numFmtId="0">
      <sharedItems containsBlank="1" count="117">
        <s v="6 Loops"/>
        <s v="BE1ST Agency"/>
        <s v="Ogilvy "/>
        <s v="Adface"/>
        <s v="Adverum"/>
        <s v="ALL CAPS"/>
        <s v="APG media"/>
        <s v="Arena Media"/>
        <s v="TRUTH."/>
        <s v="Ave Media Agentūra"/>
        <s v="Be reklamos negerai"/>
        <s v="BeeMarketing"/>
        <s v="Berta&amp;Agency"/>
        <s v="Bosanova"/>
        <s v="BPN"/>
        <s v="Caption"/>
        <s v="Cyclopes"/>
        <s v="co:agency"/>
        <s v="Convo"/>
        <s v="Dansu"/>
        <s v="Dear problem"/>
        <s v="Dentsu"/>
        <s v="Digital Matter"/>
        <s v="DigitFruition"/>
        <s v="Clinic212"/>
        <s v="Efcom"/>
        <s v="ENTER "/>
        <s v="Enternet"/>
        <s v="Evo media"/>
        <s v="Evolvery"/>
        <s v="Expertmedia"/>
        <s v="Fabula"/>
        <s v="FAD"/>
        <s v="We deliver agency"/>
        <s v="Foko"/>
        <s v="Galley group"/>
        <s v="Mediapark"/>
        <s v="Gideas"/>
        <s v="Good one"/>
        <s v="Havas Media"/>
        <s v="Headline"/>
        <s v="Impact Advisory / Flow"/>
        <s v="IdeaPrima"/>
        <s v="Idee fixe"/>
        <s v="Indiana"/>
        <s v="Influenceriai.lt"/>
        <s v="INK "/>
        <s v="Inspired UM"/>
        <s v="Integrity PR"/>
        <s v="KOKO PR"/>
        <s v="Kubrik"/>
        <s v="autoriai.lt"/>
        <s v="Scuare"/>
        <s v="Publicis groupe "/>
        <s v="Rapid Media"/>
        <s v="Love media"/>
        <s v="Madiavo"/>
        <s v="Magnus advisory"/>
        <s v="Maniac"/>
        <s v="Market ratss"/>
        <s v="Media House"/>
        <s v="Omnicom"/>
        <s v="Meta"/>
        <s v="Milk Vilnius"/>
        <s v="NEW!"/>
        <s v="Not Perfect "/>
        <s v="Open Agency"/>
        <s v="Panama Agency"/>
        <s v="Particle PR"/>
        <s v="Partizanas"/>
        <s v="PR Ace "/>
        <s v="PR service"/>
        <s v="Smarts"/>
        <s v="Publicum"/>
        <s v="RAIBEC"/>
        <s v="Reprise "/>
        <s v="Seo Spiders on the web"/>
        <s v="SynthesisCG"/>
        <s v="Skaitmeninė reklama"/>
        <s v="Socium Agency"/>
        <s v="SOMA Agency"/>
        <s v="Some Films"/>
        <s v="Sons &amp; Daughters"/>
        <s v="Spotlight"/>
        <s v="SuperYou"/>
        <s v="Tarela"/>
        <s v="Eventum Group"/>
        <s v="The Critical"/>
        <s v="TOTEM agency"/>
        <s v="Mediacom"/>
        <s v="Choco agency"/>
        <s v="Zest production house"/>
        <s v="Vento Nuovo"/>
        <s v="Google partner"/>
        <s v="Via Media"/>
        <s v="Pick a Story"/>
        <s v="Oneclick.lt"/>
        <s v="VISETAS"/>
        <s v="Way Makers"/>
        <s v="We Are Marketing"/>
        <s v="WhatAbout"/>
        <s v="Wide wings"/>
        <s v="Karuselė"/>
        <s v="Spark Agency"/>
        <s v="VRS92"/>
        <s v="Advision"/>
        <s v="Black Florence"/>
        <s v="Marios Agency"/>
        <s v="100 ačiū"/>
        <s v="Pantomima"/>
        <s v="Videvita"/>
        <s v="Nuostabu"/>
        <s v="Ric Creative"/>
        <m u="1"/>
        <s v="EssenceMediacom" u="1"/>
        <s v="Trendmark" u="1"/>
        <s v="Ink Idea" u="1"/>
      </sharedItems>
    </cacheField>
    <cacheField name="Metai" numFmtId="0">
      <sharedItems containsSemiMixedTypes="0" containsString="0" containsNumber="1" containsInteger="1" minValue="2019" maxValue="2024" count="6">
        <n v="2019"/>
        <n v="2020"/>
        <n v="2021"/>
        <n v="2022"/>
        <n v="2023"/>
        <n v="2024"/>
      </sharedItems>
    </cacheField>
    <cacheField name="Veikla (Renginiai)" numFmtId="0">
      <sharedItems containsBlank="1" count="3">
        <s v="Ne"/>
        <s v="Renginiai"/>
        <m u="1"/>
      </sharedItems>
    </cacheField>
    <cacheField name="Veikla (BTL)" numFmtId="0">
      <sharedItems containsBlank="1" count="3">
        <s v="Ne"/>
        <s v="BTL"/>
        <m u="1"/>
      </sharedItems>
    </cacheField>
    <cacheField name="Veikla (Konsultantai)" numFmtId="0">
      <sharedItems containsBlank="1" count="3">
        <s v="Ne"/>
        <s v="Konsultantai"/>
        <m u="1"/>
      </sharedItems>
    </cacheField>
    <cacheField name="Veikla (Media)" numFmtId="0">
      <sharedItems containsBlank="1" count="3">
        <s v="Ne"/>
        <s v="Media"/>
        <m u="1"/>
      </sharedItems>
    </cacheField>
    <cacheField name="Veikla (Production house)" numFmtId="0">
      <sharedItems containsBlank="1" count="3">
        <s v="Ne"/>
        <s v="Production house"/>
        <m u="1"/>
      </sharedItems>
    </cacheField>
    <cacheField name="Veikla (kūryba)" numFmtId="0">
      <sharedItems containsBlank="1" count="3">
        <s v="Ne"/>
        <s v="Kūryba"/>
        <m u="1"/>
      </sharedItems>
    </cacheField>
    <cacheField name="Veikla (PR)" numFmtId="0">
      <sharedItems containsBlank="1" count="3">
        <s v="Ne"/>
        <s v="PR"/>
        <m u="1"/>
      </sharedItems>
    </cacheField>
    <cacheField name="Veikla (Digital media)" numFmtId="0">
      <sharedItems containsBlank="1" count="3">
        <s v="Digital media"/>
        <s v="Ne"/>
        <m u="1"/>
      </sharedItems>
    </cacheField>
    <cacheField name="Veikla (PA)" numFmtId="0">
      <sharedItems containsBlank="1" count="3">
        <s v="Ne"/>
        <s v="PA"/>
        <m u="1"/>
      </sharedItems>
    </cacheField>
    <cacheField name="Darbuotojų skaičius" numFmtId="165">
      <sharedItems containsSemiMixedTypes="0" containsString="0" containsNumber="1" containsInteger="1" minValue="0" maxValue="99"/>
    </cacheField>
    <cacheField name="Darbuotojų pokytis, %" numFmtId="9">
      <sharedItems containsSemiMixedTypes="0" containsString="0" containsNumber="1" minValue="-1" maxValue="11"/>
    </cacheField>
    <cacheField name="Atlyginimo vidurkis" numFmtId="165">
      <sharedItems containsSemiMixedTypes="0" containsString="0" containsNumber="1" containsInteger="1" minValue="0" maxValue="8800"/>
    </cacheField>
    <cacheField name="Atlyginimo pokytis, %" numFmtId="9">
      <sharedItems containsSemiMixedTypes="0" containsString="0" containsNumber="1" minValue="-0.87646432374866878" maxValue="0.75"/>
    </cacheField>
    <cacheField name="DU sąnaudos" numFmtId="165">
      <sharedItems containsSemiMixedTypes="0" containsString="0" containsNumber="1" containsInteger="1" minValue="0" maxValue="2805516"/>
    </cacheField>
    <cacheField name="DU sąnaudų pokytis, %" numFmtId="9">
      <sharedItems containsSemiMixedTypes="0" containsString="0" containsNumber="1" minValue="-1" maxValue="2.0737970932693663"/>
    </cacheField>
    <cacheField name="Apyvarta" numFmtId="165">
      <sharedItems containsString="0" containsBlank="1" containsNumber="1" containsInteger="1" minValue="0" maxValue="36638811"/>
    </cacheField>
    <cacheField name="Apyvartos pokytis, %" numFmtId="9">
      <sharedItems containsString="0" containsBlank="1" containsNumber="1" minValue="-1" maxValue="35.024530121514758"/>
    </cacheField>
    <cacheField name="Ne-atlyginimų sąnaudos" numFmtId="165">
      <sharedItems containsSemiMixedTypes="0" containsString="0" containsNumber="1" containsInteger="1" minValue="-213480" maxValue="34043820"/>
    </cacheField>
    <cacheField name="Ne-atlyginimų sąnaudų pokytis, %" numFmtId="9">
      <sharedItems containsSemiMixedTypes="0" containsString="0" containsNumber="1" minValue="-3.7240326598793256" maxValue="9.297462336509815"/>
    </cacheField>
    <cacheField name="Pelnas" numFmtId="165">
      <sharedItems containsString="0" containsBlank="1" containsNumber="1" containsInteger="1" minValue="-769000" maxValue="1889619"/>
    </cacheField>
    <cacheField name="Pelno pokytis, %" numFmtId="9">
      <sharedItems containsString="0" containsBlank="1" containsNumber="1" minValue="-40.490671641791053" maxValue="105.633284043554"/>
    </cacheField>
    <cacheField name="Fiks ir pelno mokestis" numFmtId="165">
      <sharedItems containsSemiMixedTypes="0" containsString="0" containsNumber="1" minValue="0" maxValue="1206371.8799999999"/>
    </cacheField>
    <cacheField name="Spėjamos pajamos" numFmtId="165">
      <sharedItems containsSemiMixedTypes="0" containsString="0" containsNumber="1" minValue="0" maxValue="5901506.8799999999"/>
    </cacheField>
  </cacheFields>
  <extLst>
    <ext xmlns:x14="http://schemas.microsoft.com/office/spreadsheetml/2009/9/main" uri="{725AE2AE-9491-48be-B2B4-4EB974FC3084}">
      <x14:pivotCacheDefinition pivotCacheId="6641486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76.416968750003" createdVersion="8" refreshedVersion="8" minRefreshableVersion="3" recordCount="841" xr:uid="{175B74B5-CA3B-40EF-9B64-27F5590694A2}">
  <cacheSource type="worksheet">
    <worksheetSource ref="A1:Z1048576" sheet="Įmonės-analizei"/>
  </cacheSource>
  <cacheFields count="26">
    <cacheField name="Įmonės pavadinimas" numFmtId="0">
      <sharedItems containsBlank="1" count="117">
        <s v="6 Loops, UAB"/>
        <s v="7 sprendimai, MB"/>
        <s v="Adell reklama, UAB"/>
        <s v="Adface, UAB"/>
        <s v="Adverum, UAB"/>
        <s v="ALL CAPS, UAB"/>
        <s v="Apg media, UAB"/>
        <s v="Arena Media, UAB"/>
        <s v="Astos dizainas, UAB"/>
        <s v="Ave Media, MB"/>
        <s v="Be reklamos negerai, UAB"/>
        <s v="Bemedija, UAB"/>
        <s v="Berta and, UAB"/>
        <s v="Bosanova, UAB"/>
        <s v="BPN LT, UAB"/>
        <s v="Caption, UAB"/>
        <s v="Ciklopas, UAB"/>
        <s v="co:agency, UAB"/>
        <s v="Convo, UAB"/>
        <s v="Dansu, UAB"/>
        <s v="Dear problem, UAB"/>
        <s v="Dentsu Lithuania, UAB"/>
        <s v="Digital Matter, UAB"/>
        <s v="Digitfruition, UAB"/>
        <s v="Du Dvylika, UAB"/>
        <s v="Efcom, UAB"/>
        <s v="Enter Agency, UAB"/>
        <s v="Enternet, UAB"/>
        <s v="Evo Media, UAB"/>
        <s v="Evolvery, UAB"/>
        <s v="Expertmedia, UAB"/>
        <s v="Fabula ir partneriai, UAB"/>
        <s v="FAD, UAB"/>
        <s v="We deliver, UAB"/>
        <s v="Fotokomanda, UAB"/>
        <s v="Galley Group, UAB"/>
        <s v="Gaumina, UAB"/>
        <s v="Gideas, UAB"/>
        <s v="Good one, UAB"/>
        <s v="Havas Media, UAB"/>
        <s v="Headline, UAB"/>
        <s v="IC Baltic, UAB"/>
        <s v="Idea Prima, UAB"/>
        <s v="Idee fixe vilnius, UAB"/>
        <s v="Indiana.lt, UAB"/>
        <s v="Influenceriai.lt, UAB"/>
        <s v="INK Agency, UAB"/>
        <s v="Inspired Communications, UAB"/>
        <s v="Integrity PR, UAB"/>
        <s v="Komunikacija ir konsultantai, UAB"/>
        <s v="Kubrik, UAB"/>
        <s v="Kūrybiniai komunikacijos sprendimai, UAB"/>
        <s v="Kvadratai, MB"/>
        <s v="Lion Communications Vilnius, UAB"/>
        <s v="Lost Bunch, UAB"/>
        <s v="LoveMedia, UAB"/>
        <s v="Madiavo, UAB"/>
        <s v="Magnus advisory, MB"/>
        <s v="Maniac, UAB"/>
        <s v="Market Rats, UAB"/>
        <s v="Media House, UAB"/>
        <s v="Media mind, UAB"/>
        <s v="Meta advisory Lithuania, UAB"/>
        <s v="Milk Agency, UAB"/>
        <s v="New Agency, UAB"/>
        <s v="Not Perfect, UAB"/>
        <s v="Open Agency, UAB"/>
        <s v="Panama Agency, MB"/>
        <s v="Particle PR, UAB"/>
        <s v="Partizanas, UAB"/>
        <s v="PR Ace Agency, MB"/>
        <s v="PR Service, UAB (PIAR)"/>
        <s v="Protingi sprendimai, UAB"/>
        <s v="Publicum, UAB"/>
        <s v="RAIBEC, UAB"/>
        <s v="Reprise Media, UAB"/>
        <s v="SEOvoras, UAB"/>
        <s v="Synthesis Consulting Group, UAB"/>
        <s v="Skaitmeninė reklama, UAB"/>
        <s v="Socium agency, UAB"/>
        <s v="SOMA Agency (Havas), UAB"/>
        <s v="Some Films, UAB"/>
        <s v="Sons &amp; Daughters, UAB"/>
        <s v="Spotlight LT, UAB"/>
        <s v="SuperYou, UAB"/>
        <s v="Tarela, UAB"/>
        <s v="Tekvila, UAB"/>
        <s v="The Critical, UAB"/>
        <s v="Totem promo, UAB"/>
        <s v="Trendmark, UAB"/>
        <s v="Turinio rinkodara, UAB"/>
        <s v="Vaizdo skonis, UAB"/>
        <s v="Vento Nuovo, UAB"/>
        <s v="Verslo idėjų partneriai, UAB"/>
        <s v="Via Media, UAB"/>
        <s v="Videoprojektų sprendimai, MB"/>
        <s v="Vienas paspaudimas, MB"/>
        <s v="Visetas, UAB"/>
        <s v="Way Makers, MB"/>
        <s v="We Are Marketing, UAB"/>
        <s v="Whatabout.agency, UAB"/>
        <s v="Wide Wings, UAB"/>
        <s v="Wrks, UAB"/>
        <s v="Spark LT, UAB"/>
        <s v="VRS WPI Vilnius, UAB"/>
        <s v="Reklamos vizija, UAB"/>
        <s v="Petraitis ir Pūras, UAB"/>
        <s v="Marios Agency, MB"/>
        <s v="100 ačiū, MB"/>
        <s v="Pantomima, MB"/>
        <s v="Videvita, UAB"/>
        <s v="Nuostabu, UAB"/>
        <s v="Ric Creative, UAB"/>
        <m/>
        <s v="BeeMarketing, UAB" u="1"/>
        <s v="FCR Media Lietuva, UAB" u="1"/>
        <s v="MediaCom, UAB" u="1"/>
      </sharedItems>
    </cacheField>
    <cacheField name="Pagrindinis brandas" numFmtId="0">
      <sharedItems containsBlank="1" count="116">
        <s v="6 Loops"/>
        <s v="BE1ST Agency"/>
        <s v="Ogilvy "/>
        <s v="Adface"/>
        <s v="Adverum"/>
        <s v="ALL CAPS"/>
        <s v="APG media"/>
        <s v="Arena Media"/>
        <s v="TRUTH."/>
        <s v="Ave Media Agentūra"/>
        <s v="Be reklamos negerai"/>
        <s v="BeeMarketing"/>
        <s v="Berta&amp;Agency"/>
        <s v="Bosanova"/>
        <s v="BPN"/>
        <s v="Caption"/>
        <s v="Cyclopes"/>
        <s v="co:agency"/>
        <s v="Convo"/>
        <s v="Dansu"/>
        <s v="Dear problem"/>
        <s v="Dentsu"/>
        <s v="Digital Matter"/>
        <s v="DigitFruition"/>
        <s v="Clinic212"/>
        <s v="Efcom"/>
        <s v="ENTER "/>
        <s v="Enternet"/>
        <s v="Evo media"/>
        <s v="Evolvery"/>
        <s v="Expertmedia"/>
        <s v="Fabula"/>
        <s v="FAD"/>
        <s v="We deliver agency"/>
        <s v="Foko"/>
        <s v="Galley group"/>
        <s v="Mediapark"/>
        <s v="Gideas"/>
        <s v="Good one"/>
        <s v="Havas Media"/>
        <s v="Headline"/>
        <s v="Impact Advisory / Flow"/>
        <s v="IdeaPrima"/>
        <s v="Idee fixe"/>
        <s v="Indiana"/>
        <s v="Influenceriai.lt"/>
        <s v="INK "/>
        <s v="Inspired UM"/>
        <s v="Integrity PR"/>
        <s v="KOKO PR"/>
        <s v="Kubrik"/>
        <s v="autoriai.lt"/>
        <s v="Scuare"/>
        <s v="Publicis groupe "/>
        <s v="Rapid Media"/>
        <s v="Love media"/>
        <s v="Madiavo"/>
        <s v="Magnus advisory"/>
        <s v="Maniac"/>
        <s v="Market ratss"/>
        <s v="Media House"/>
        <s v="Omnicom"/>
        <s v="Meta"/>
        <s v="Milk Vilnius"/>
        <s v="NEW!"/>
        <s v="Not Perfect "/>
        <s v="Open Agency"/>
        <s v="Panama Agency"/>
        <s v="Particle PR"/>
        <s v="Partizanas"/>
        <s v="PR Ace "/>
        <s v="PR service"/>
        <s v="Smarts"/>
        <s v="Publicum"/>
        <s v="RAIBEC"/>
        <s v="Reprise "/>
        <s v="Seo Spiders on the web"/>
        <s v="SynthesisCG"/>
        <s v="Skaitmeninė reklama"/>
        <s v="Socium Agency"/>
        <s v="SOMA Agency"/>
        <s v="Some Films"/>
        <s v="Sons &amp; Daughters"/>
        <s v="Spotlight"/>
        <s v="SuperYou"/>
        <s v="Tarela"/>
        <s v="Eventum Group"/>
        <s v="The Critical"/>
        <s v="TOTEM agency"/>
        <s v="Mediacom"/>
        <s v="Choco agency"/>
        <s v="Zest production house"/>
        <s v="Vento Nuovo"/>
        <s v="Google partner"/>
        <s v="Via Media"/>
        <s v="Pick a Story"/>
        <s v="Oneclick.lt"/>
        <s v="VISETAS"/>
        <s v="Way Makers"/>
        <s v="We Are Marketing"/>
        <s v="WhatAbout"/>
        <s v="Wide wings"/>
        <s v="Karuselė"/>
        <s v="Spark Agency"/>
        <s v="VRS92"/>
        <s v="Advision"/>
        <s v="Black Florence"/>
        <s v="Marios Agency"/>
        <s v="100 ačiū"/>
        <s v="Pantomima"/>
        <s v="Videvita"/>
        <s v="Nuostabu"/>
        <s v="Ric Creative"/>
        <m/>
        <s v="EssenceMediacom" u="1"/>
        <s v="Trendmark" u="1"/>
      </sharedItems>
    </cacheField>
    <cacheField name="Metai" numFmtId="0">
      <sharedItems containsString="0" containsBlank="1" containsNumber="1" containsInteger="1" minValue="2019" maxValue="2024" count="7">
        <n v="2019"/>
        <n v="2020"/>
        <n v="2021"/>
        <n v="2022"/>
        <n v="2023"/>
        <n v="2024"/>
        <m/>
      </sharedItems>
    </cacheField>
    <cacheField name="Veikla (Renginiai)" numFmtId="0">
      <sharedItems containsBlank="1" count="3">
        <s v="Ne"/>
        <s v="Renginiai"/>
        <m/>
      </sharedItems>
    </cacheField>
    <cacheField name="Veikla (BTL)" numFmtId="0">
      <sharedItems containsBlank="1" count="3">
        <s v="Ne"/>
        <s v="BTL"/>
        <m/>
      </sharedItems>
    </cacheField>
    <cacheField name="Veikla (Konsultantai)" numFmtId="0">
      <sharedItems containsBlank="1" count="3">
        <s v="Ne"/>
        <s v="Konsultantai"/>
        <m/>
      </sharedItems>
    </cacheField>
    <cacheField name="Veikla (Media)" numFmtId="0">
      <sharedItems containsBlank="1" count="3">
        <s v="Ne"/>
        <s v="Media"/>
        <m/>
      </sharedItems>
    </cacheField>
    <cacheField name="Veikla (Production house)" numFmtId="0">
      <sharedItems containsBlank="1" count="3">
        <s v="Ne"/>
        <s v="Production house"/>
        <m/>
      </sharedItems>
    </cacheField>
    <cacheField name="Veikla (kūryba)" numFmtId="0">
      <sharedItems containsBlank="1" count="3">
        <s v="Ne"/>
        <s v="Kūryba"/>
        <m/>
      </sharedItems>
    </cacheField>
    <cacheField name="Veikla (PR)" numFmtId="0">
      <sharedItems containsBlank="1" count="3">
        <s v="Ne"/>
        <s v="PR"/>
        <m/>
      </sharedItems>
    </cacheField>
    <cacheField name="Veikla (Digital media)" numFmtId="0">
      <sharedItems containsBlank="1" count="3">
        <s v="Digital media"/>
        <s v="Ne"/>
        <m/>
      </sharedItems>
    </cacheField>
    <cacheField name="Veikla (PA)" numFmtId="0">
      <sharedItems containsBlank="1" count="3">
        <s v="Ne"/>
        <s v="PA"/>
        <m/>
      </sharedItems>
    </cacheField>
    <cacheField name="Darbuotojų skaičius" numFmtId="0">
      <sharedItems containsString="0" containsBlank="1" containsNumber="1" containsInteger="1" minValue="0" maxValue="99"/>
    </cacheField>
    <cacheField name="Darbuotojų pokytis, %" numFmtId="9">
      <sharedItems containsString="0" containsBlank="1" containsNumber="1" minValue="-1" maxValue="11"/>
    </cacheField>
    <cacheField name="Atlyginimo vidurkis" numFmtId="0">
      <sharedItems containsString="0" containsBlank="1" containsNumber="1" containsInteger="1" minValue="0" maxValue="8800"/>
    </cacheField>
    <cacheField name="Atlyginimo pokytis, %" numFmtId="9">
      <sharedItems containsString="0" containsBlank="1" containsNumber="1" minValue="-0.87646432374866878" maxValue="0.75"/>
    </cacheField>
    <cacheField name="DU sąnaudos" numFmtId="0">
      <sharedItems containsString="0" containsBlank="1" containsNumber="1" containsInteger="1" minValue="0" maxValue="2805516"/>
    </cacheField>
    <cacheField name="DU sąnaudų pokytis, %" numFmtId="0">
      <sharedItems containsString="0" containsBlank="1" containsNumber="1" minValue="-1" maxValue="2.0737970932693663"/>
    </cacheField>
    <cacheField name="Apyvarta" numFmtId="0">
      <sharedItems containsString="0" containsBlank="1" containsNumber="1" containsInteger="1" minValue="0" maxValue="36638811"/>
    </cacheField>
    <cacheField name="Apyvartos pokytis, %" numFmtId="9">
      <sharedItems containsString="0" containsBlank="1" containsNumber="1" minValue="-1" maxValue="35.024530121514758"/>
    </cacheField>
    <cacheField name="Ne-atlyginimų sąnaudos" numFmtId="0">
      <sharedItems containsString="0" containsBlank="1" containsNumber="1" containsInteger="1" minValue="-213480" maxValue="34043820"/>
    </cacheField>
    <cacheField name="Ne-atlyginimų sąnaudų pokytis, %" numFmtId="9">
      <sharedItems containsString="0" containsBlank="1" containsNumber="1" minValue="-3.7240326598793256" maxValue="9.297462336509815"/>
    </cacheField>
    <cacheField name="Pelnas" numFmtId="0">
      <sharedItems containsString="0" containsBlank="1" containsNumber="1" containsInteger="1" minValue="-769000" maxValue="1889619"/>
    </cacheField>
    <cacheField name="Pelno pokytis, %" numFmtId="9">
      <sharedItems containsString="0" containsBlank="1" containsNumber="1" minValue="-40.490671641791053" maxValue="105.633284043554"/>
    </cacheField>
    <cacheField name="Fiks ir pelno mokestis" numFmtId="0">
      <sharedItems containsString="0" containsBlank="1" containsNumber="1" minValue="0" maxValue="1206371.8799999999"/>
    </cacheField>
    <cacheField name="Spėjamos pajamos" numFmtId="0">
      <sharedItems containsString="0" containsBlank="1" containsNumber="1" minValue="0" maxValue="5901506.8799999999"/>
    </cacheField>
  </cacheFields>
  <extLst>
    <ext xmlns:x14="http://schemas.microsoft.com/office/spreadsheetml/2009/9/main" uri="{725AE2AE-9491-48be-B2B4-4EB974FC3084}">
      <x14:pivotCacheDefinition pivotCacheId="621322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x v="0"/>
    <x v="0"/>
    <x v="0"/>
    <x v="0"/>
    <x v="0"/>
    <x v="0"/>
    <x v="0"/>
    <x v="0"/>
    <n v="0"/>
    <n v="0"/>
    <n v="0"/>
    <n v="0"/>
    <n v="0"/>
    <n v="0"/>
    <n v="3060"/>
    <n v="0"/>
    <n v="0"/>
    <n v="0"/>
    <n v="-3087"/>
    <n v="0"/>
    <n v="0"/>
    <n v="3060"/>
  </r>
  <r>
    <x v="0"/>
    <x v="0"/>
    <x v="1"/>
    <x v="0"/>
    <x v="0"/>
    <x v="0"/>
    <x v="0"/>
    <x v="0"/>
    <x v="0"/>
    <x v="0"/>
    <x v="0"/>
    <x v="0"/>
    <n v="0"/>
    <n v="0"/>
    <n v="0"/>
    <n v="0"/>
    <n v="0"/>
    <n v="0"/>
    <n v="4301"/>
    <n v="0.40555555555555539"/>
    <n v="0"/>
    <n v="0"/>
    <n v="1"/>
    <n v="-1.0003239390994489"/>
    <n v="0"/>
    <n v="4301"/>
  </r>
  <r>
    <x v="0"/>
    <x v="0"/>
    <x v="2"/>
    <x v="0"/>
    <x v="0"/>
    <x v="0"/>
    <x v="0"/>
    <x v="0"/>
    <x v="0"/>
    <x v="0"/>
    <x v="0"/>
    <x v="0"/>
    <n v="0"/>
    <n v="0"/>
    <n v="0"/>
    <n v="0"/>
    <n v="0"/>
    <n v="0"/>
    <n v="0"/>
    <n v="0"/>
    <n v="0"/>
    <n v="0"/>
    <n v="0"/>
    <n v="-1"/>
    <n v="0"/>
    <n v="0"/>
  </r>
  <r>
    <x v="0"/>
    <x v="0"/>
    <x v="3"/>
    <x v="0"/>
    <x v="0"/>
    <x v="0"/>
    <x v="0"/>
    <x v="0"/>
    <x v="0"/>
    <x v="0"/>
    <x v="0"/>
    <x v="0"/>
    <n v="0"/>
    <n v="0"/>
    <n v="0"/>
    <n v="0"/>
    <n v="0"/>
    <n v="0"/>
    <n v="0"/>
    <n v="-1"/>
    <n v="0"/>
    <n v="0"/>
    <n v="0"/>
    <n v="0"/>
    <n v="0"/>
    <n v="0"/>
  </r>
  <r>
    <x v="0"/>
    <x v="0"/>
    <x v="4"/>
    <x v="0"/>
    <x v="0"/>
    <x v="0"/>
    <x v="0"/>
    <x v="0"/>
    <x v="0"/>
    <x v="0"/>
    <x v="0"/>
    <x v="0"/>
    <n v="0"/>
    <n v="0"/>
    <n v="0"/>
    <n v="0"/>
    <n v="0"/>
    <n v="0"/>
    <n v="23740"/>
    <n v="0"/>
    <n v="0"/>
    <n v="0"/>
    <n v="18605"/>
    <n v="0"/>
    <n v="0"/>
    <n v="23740"/>
  </r>
  <r>
    <x v="0"/>
    <x v="0"/>
    <x v="5"/>
    <x v="0"/>
    <x v="0"/>
    <x v="0"/>
    <x v="0"/>
    <x v="0"/>
    <x v="0"/>
    <x v="0"/>
    <x v="0"/>
    <x v="0"/>
    <n v="1"/>
    <n v="0"/>
    <n v="0"/>
    <n v="0"/>
    <n v="0"/>
    <n v="0"/>
    <n v="60840"/>
    <n v="1.562763268744735"/>
    <n v="0"/>
    <n v="0"/>
    <n v="31289"/>
    <n v="0.68175221714592849"/>
    <n v="0"/>
    <n v="60840"/>
  </r>
  <r>
    <x v="1"/>
    <x v="1"/>
    <x v="0"/>
    <x v="0"/>
    <x v="0"/>
    <x v="0"/>
    <x v="0"/>
    <x v="0"/>
    <x v="0"/>
    <x v="0"/>
    <x v="0"/>
    <x v="0"/>
    <n v="0"/>
    <n v="0"/>
    <n v="0"/>
    <n v="0"/>
    <n v="0"/>
    <n v="0"/>
    <n v="0"/>
    <n v="0"/>
    <n v="0"/>
    <n v="0"/>
    <n v="0"/>
    <n v="0"/>
    <n v="0"/>
    <n v="0"/>
  </r>
  <r>
    <x v="1"/>
    <x v="1"/>
    <x v="1"/>
    <x v="0"/>
    <x v="0"/>
    <x v="0"/>
    <x v="0"/>
    <x v="0"/>
    <x v="0"/>
    <x v="0"/>
    <x v="0"/>
    <x v="0"/>
    <n v="1"/>
    <n v="0"/>
    <n v="0"/>
    <n v="0"/>
    <n v="0"/>
    <n v="0"/>
    <n v="9992"/>
    <n v="0"/>
    <n v="0"/>
    <n v="0"/>
    <n v="-49"/>
    <n v="0"/>
    <n v="0"/>
    <n v="9992"/>
  </r>
  <r>
    <x v="1"/>
    <x v="1"/>
    <x v="2"/>
    <x v="0"/>
    <x v="0"/>
    <x v="0"/>
    <x v="0"/>
    <x v="0"/>
    <x v="0"/>
    <x v="0"/>
    <x v="0"/>
    <x v="0"/>
    <n v="1"/>
    <n v="0"/>
    <n v="0"/>
    <n v="0"/>
    <n v="0"/>
    <n v="0"/>
    <n v="30202"/>
    <n v="6.7955364291433149"/>
    <n v="0"/>
    <n v="0"/>
    <n v="457"/>
    <n v="0"/>
    <n v="0"/>
    <n v="30202"/>
  </r>
  <r>
    <x v="1"/>
    <x v="1"/>
    <x v="3"/>
    <x v="0"/>
    <x v="0"/>
    <x v="0"/>
    <x v="0"/>
    <x v="0"/>
    <x v="0"/>
    <x v="0"/>
    <x v="0"/>
    <x v="0"/>
    <n v="1"/>
    <n v="0"/>
    <n v="0"/>
    <n v="0"/>
    <n v="0"/>
    <n v="0"/>
    <n v="30352"/>
    <n v="1.8721938944440764"/>
    <n v="0"/>
    <n v="0"/>
    <n v="1051"/>
    <n v="0"/>
    <n v="0"/>
    <n v="30352"/>
  </r>
  <r>
    <x v="1"/>
    <x v="1"/>
    <x v="4"/>
    <x v="0"/>
    <x v="0"/>
    <x v="0"/>
    <x v="0"/>
    <x v="0"/>
    <x v="0"/>
    <x v="0"/>
    <x v="0"/>
    <x v="0"/>
    <n v="1"/>
    <n v="0"/>
    <n v="0"/>
    <n v="0"/>
    <n v="0"/>
    <n v="0"/>
    <n v="29009"/>
    <n v="0.71919478123352665"/>
    <n v="0"/>
    <n v="0"/>
    <n v="179"/>
    <n v="0"/>
    <n v="0"/>
    <n v="29009"/>
  </r>
  <r>
    <x v="1"/>
    <x v="1"/>
    <x v="5"/>
    <x v="0"/>
    <x v="0"/>
    <x v="0"/>
    <x v="0"/>
    <x v="0"/>
    <x v="0"/>
    <x v="0"/>
    <x v="0"/>
    <x v="0"/>
    <n v="0"/>
    <n v="-1"/>
    <n v="0"/>
    <n v="0"/>
    <n v="0"/>
    <n v="0"/>
    <n v="0"/>
    <n v="0"/>
    <n v="0"/>
    <n v="0"/>
    <n v="0"/>
    <n v="0"/>
    <n v="0"/>
    <n v="0"/>
  </r>
  <r>
    <x v="2"/>
    <x v="2"/>
    <x v="0"/>
    <x v="0"/>
    <x v="0"/>
    <x v="0"/>
    <x v="0"/>
    <x v="0"/>
    <x v="1"/>
    <x v="0"/>
    <x v="1"/>
    <x v="0"/>
    <n v="45"/>
    <n v="0"/>
    <n v="2709"/>
    <n v="0"/>
    <n v="1462860"/>
    <n v="0"/>
    <n v="7290500"/>
    <n v="0"/>
    <n v="5189171"/>
    <n v="0"/>
    <n v="638469"/>
    <n v="0"/>
    <n v="629029.80000000005"/>
    <n v="2730358.8"/>
  </r>
  <r>
    <x v="2"/>
    <x v="2"/>
    <x v="1"/>
    <x v="0"/>
    <x v="0"/>
    <x v="0"/>
    <x v="0"/>
    <x v="0"/>
    <x v="1"/>
    <x v="0"/>
    <x v="1"/>
    <x v="0"/>
    <n v="46"/>
    <n v="2.2222222222222143E-2"/>
    <n v="2940"/>
    <n v="8.5271317829457294E-2"/>
    <n v="1622880"/>
    <n v="0.10938845822566745"/>
    <n v="6554110"/>
    <n v="-0.10100678965777379"/>
    <n v="4294186"/>
    <n v="-0.17247167225747617"/>
    <n v="637044"/>
    <n v="-2.231901627173793E-3"/>
    <n v="697838.4"/>
    <n v="2957762.4"/>
  </r>
  <r>
    <x v="2"/>
    <x v="2"/>
    <x v="2"/>
    <x v="0"/>
    <x v="0"/>
    <x v="0"/>
    <x v="0"/>
    <x v="0"/>
    <x v="1"/>
    <x v="0"/>
    <x v="1"/>
    <x v="0"/>
    <n v="50"/>
    <n v="8.6956521739130377E-2"/>
    <n v="3106"/>
    <n v="5.646258503401369E-2"/>
    <n v="1863600"/>
    <n v="0.14832889677610184"/>
    <n v="7010847"/>
    <n v="6.9687112361556336E-2"/>
    <n v="4457547"/>
    <n v="3.8042367051636772E-2"/>
    <n v="689700"/>
    <n v="8.2656770960875647E-2"/>
    <n v="801348"/>
    <n v="3354648"/>
  </r>
  <r>
    <x v="2"/>
    <x v="2"/>
    <x v="3"/>
    <x v="0"/>
    <x v="0"/>
    <x v="0"/>
    <x v="0"/>
    <x v="0"/>
    <x v="1"/>
    <x v="0"/>
    <x v="1"/>
    <x v="0"/>
    <n v="49"/>
    <n v="-2.0000000000000018E-2"/>
    <n v="3263"/>
    <n v="5.0547327752736633E-2"/>
    <n v="1918644"/>
    <n v="2.9536381197681871E-2"/>
    <n v="8435901"/>
    <n v="0.20326417050607451"/>
    <n v="5368386"/>
    <n v="0"/>
    <n v="1148871"/>
    <n v="0.66575467594606352"/>
    <n v="825016.92"/>
    <n v="3892531.92"/>
  </r>
  <r>
    <x v="2"/>
    <x v="2"/>
    <x v="4"/>
    <x v="0"/>
    <x v="0"/>
    <x v="0"/>
    <x v="0"/>
    <x v="0"/>
    <x v="1"/>
    <x v="0"/>
    <x v="1"/>
    <x v="0"/>
    <n v="49"/>
    <n v="0"/>
    <n v="4041"/>
    <n v="0.23843089181734589"/>
    <n v="2376108"/>
    <n v="0.23843089181734589"/>
    <n v="7661419"/>
    <n v="-9.1807857868412612E-2"/>
    <n v="4659384"/>
    <n v="-0.13206986233851292"/>
    <n v="625927"/>
    <n v="-0.45518078182842109"/>
    <n v="1021726.44"/>
    <n v="4023761.44"/>
  </r>
  <r>
    <x v="2"/>
    <x v="2"/>
    <x v="5"/>
    <x v="0"/>
    <x v="0"/>
    <x v="0"/>
    <x v="0"/>
    <x v="0"/>
    <x v="1"/>
    <x v="0"/>
    <x v="1"/>
    <x v="0"/>
    <n v="45"/>
    <n v="-8.1632653061224469E-2"/>
    <n v="3618"/>
    <n v="-0.1046770601336303"/>
    <n v="1953720"/>
    <n v="-0.17776464706149719"/>
    <n v="7456879"/>
    <n v="-2.6697404227598032E-2"/>
    <n v="5009770"/>
    <n v="7.5200069365392475E-2"/>
    <n v="493389"/>
    <n v="-0.2117467372393266"/>
    <n v="840099.6"/>
    <n v="3287208.6"/>
  </r>
  <r>
    <x v="3"/>
    <x v="3"/>
    <x v="0"/>
    <x v="0"/>
    <x v="0"/>
    <x v="0"/>
    <x v="0"/>
    <x v="0"/>
    <x v="1"/>
    <x v="0"/>
    <x v="1"/>
    <x v="0"/>
    <n v="4"/>
    <n v="0"/>
    <n v="1065"/>
    <n v="0"/>
    <n v="51120"/>
    <n v="0"/>
    <n v="103616"/>
    <n v="0"/>
    <n v="51357"/>
    <n v="0"/>
    <n v="1139"/>
    <n v="0"/>
    <n v="21981.599999999999"/>
    <n v="74240.600000000006"/>
  </r>
  <r>
    <x v="3"/>
    <x v="3"/>
    <x v="1"/>
    <x v="0"/>
    <x v="0"/>
    <x v="0"/>
    <x v="0"/>
    <x v="0"/>
    <x v="1"/>
    <x v="0"/>
    <x v="1"/>
    <x v="0"/>
    <n v="4"/>
    <n v="0"/>
    <n v="1170"/>
    <n v="9.8591549295774739E-2"/>
    <n v="56160"/>
    <n v="9.8591549295774739E-2"/>
    <n v="110839"/>
    <n v="6.9709311303273624E-2"/>
    <n v="45761"/>
    <n v="-0.10896275093950192"/>
    <n v="8918"/>
    <n v="6.8296751536435467"/>
    <n v="24148.799999999999"/>
    <n v="89226.8"/>
  </r>
  <r>
    <x v="3"/>
    <x v="3"/>
    <x v="2"/>
    <x v="0"/>
    <x v="0"/>
    <x v="0"/>
    <x v="0"/>
    <x v="0"/>
    <x v="1"/>
    <x v="0"/>
    <x v="1"/>
    <x v="0"/>
    <n v="5"/>
    <n v="0.25"/>
    <n v="1308"/>
    <n v="0.117948717948718"/>
    <n v="78480"/>
    <n v="0.39743589743589736"/>
    <n v="162654"/>
    <n v="0.46747985817266491"/>
    <n v="46204"/>
    <n v="9.6807325014751644E-3"/>
    <n v="37970"/>
    <n v="3.2576810944157879"/>
    <n v="33746.400000000001"/>
    <n v="150196.4"/>
  </r>
  <r>
    <x v="3"/>
    <x v="3"/>
    <x v="3"/>
    <x v="0"/>
    <x v="0"/>
    <x v="0"/>
    <x v="0"/>
    <x v="0"/>
    <x v="1"/>
    <x v="0"/>
    <x v="1"/>
    <x v="0"/>
    <n v="6"/>
    <n v="0.19999999999999996"/>
    <n v="1500"/>
    <n v="0.14678899082568811"/>
    <n v="108000"/>
    <n v="0.37614678899082565"/>
    <n v="175245"/>
    <n v="7.7409716330369971E-2"/>
    <n v="32462"/>
    <n v="-0.29742013678469392"/>
    <n v="34783"/>
    <n v="-8.3934685277850973E-2"/>
    <n v="46440"/>
    <n v="189223"/>
  </r>
  <r>
    <x v="3"/>
    <x v="3"/>
    <x v="4"/>
    <x v="0"/>
    <x v="0"/>
    <x v="0"/>
    <x v="0"/>
    <x v="0"/>
    <x v="1"/>
    <x v="0"/>
    <x v="1"/>
    <x v="0"/>
    <n v="9"/>
    <n v="0.5"/>
    <n v="1529"/>
    <n v="1.9333333333333421E-2"/>
    <n v="165132"/>
    <n v="0.52899999999999991"/>
    <n v="233594"/>
    <n v="0.33295671773802388"/>
    <n v="48592"/>
    <n v="0"/>
    <n v="19870"/>
    <n v="-0.42874392663082539"/>
    <n v="71006.759999999995"/>
    <n v="256008.76"/>
  </r>
  <r>
    <x v="3"/>
    <x v="3"/>
    <x v="5"/>
    <x v="0"/>
    <x v="0"/>
    <x v="0"/>
    <x v="0"/>
    <x v="0"/>
    <x v="1"/>
    <x v="0"/>
    <x v="1"/>
    <x v="0"/>
    <n v="9"/>
    <n v="0"/>
    <n v="1848"/>
    <n v="0.20863309352517989"/>
    <n v="199584"/>
    <n v="0.20863309352517989"/>
    <n v="212639"/>
    <n v="-8.9706927403957248E-2"/>
    <n v="8368"/>
    <n v="-0.82779058281198548"/>
    <n v="4687"/>
    <n v="-0.76411675893306485"/>
    <n v="85821.119999999995"/>
    <n v="290092.12"/>
  </r>
  <r>
    <x v="4"/>
    <x v="4"/>
    <x v="0"/>
    <x v="0"/>
    <x v="0"/>
    <x v="0"/>
    <x v="0"/>
    <x v="0"/>
    <x v="0"/>
    <x v="1"/>
    <x v="1"/>
    <x v="0"/>
    <n v="11"/>
    <n v="0"/>
    <n v="1861"/>
    <n v="0"/>
    <n v="245652"/>
    <n v="0"/>
    <n v="667536"/>
    <n v="0"/>
    <n v="359287"/>
    <n v="0"/>
    <n v="62597"/>
    <n v="0"/>
    <n v="105630.36"/>
    <n v="413879.36"/>
  </r>
  <r>
    <x v="4"/>
    <x v="4"/>
    <x v="1"/>
    <x v="0"/>
    <x v="0"/>
    <x v="0"/>
    <x v="0"/>
    <x v="0"/>
    <x v="0"/>
    <x v="1"/>
    <x v="1"/>
    <x v="0"/>
    <n v="12"/>
    <n v="9.0909090909090828E-2"/>
    <n v="2035"/>
    <n v="9.3498119290703841E-2"/>
    <n v="293040"/>
    <n v="0.19290703922622243"/>
    <n v="744583"/>
    <n v="0.11541999233000171"/>
    <n v="404854"/>
    <n v="0.12682618630788189"/>
    <n v="46689"/>
    <n v="-0.25413358467658198"/>
    <n v="126007.2"/>
    <n v="465736.2"/>
  </r>
  <r>
    <x v="4"/>
    <x v="4"/>
    <x v="2"/>
    <x v="0"/>
    <x v="0"/>
    <x v="0"/>
    <x v="0"/>
    <x v="0"/>
    <x v="0"/>
    <x v="1"/>
    <x v="1"/>
    <x v="0"/>
    <n v="13"/>
    <n v="8.3333333333333259E-2"/>
    <n v="2318"/>
    <n v="0.13906633906633911"/>
    <n v="361608"/>
    <n v="0.23398853398853392"/>
    <n v="1468239"/>
    <n v="0.97189433548711168"/>
    <n v="847404"/>
    <n v="1.0931101088293556"/>
    <n v="259227"/>
    <n v="4.5522071580029557"/>
    <n v="155491.44"/>
    <n v="776326.44"/>
  </r>
  <r>
    <x v="4"/>
    <x v="4"/>
    <x v="3"/>
    <x v="0"/>
    <x v="0"/>
    <x v="0"/>
    <x v="0"/>
    <x v="0"/>
    <x v="0"/>
    <x v="1"/>
    <x v="1"/>
    <x v="0"/>
    <n v="14"/>
    <n v="7.6923076923076872E-2"/>
    <n v="2323"/>
    <n v="2.1570319240724611E-3"/>
    <n v="390264"/>
    <n v="7.9246034379770292E-2"/>
    <n v="1251440"/>
    <n v="-0.14765920262300619"/>
    <n v="660153"/>
    <n v="-0.22097016299191408"/>
    <n v="201023"/>
    <n v="-0.2245290806898973"/>
    <n v="167813.52"/>
    <n v="759100.52"/>
  </r>
  <r>
    <x v="4"/>
    <x v="4"/>
    <x v="4"/>
    <x v="0"/>
    <x v="0"/>
    <x v="0"/>
    <x v="0"/>
    <x v="0"/>
    <x v="0"/>
    <x v="1"/>
    <x v="1"/>
    <x v="0"/>
    <n v="13"/>
    <n v="-7.1428571428571397E-2"/>
    <n v="2442"/>
    <n v="5.1226861816616509E-2"/>
    <n v="380952"/>
    <n v="-2.3860771170284734E-2"/>
    <n v="1505000"/>
    <n v="0.2026145879946302"/>
    <n v="805537"/>
    <n v="0"/>
    <n v="318511"/>
    <n v="0.58445053551086201"/>
    <n v="163809.35999999999"/>
    <n v="863272.36"/>
  </r>
  <r>
    <x v="4"/>
    <x v="4"/>
    <x v="5"/>
    <x v="0"/>
    <x v="0"/>
    <x v="0"/>
    <x v="0"/>
    <x v="0"/>
    <x v="0"/>
    <x v="1"/>
    <x v="1"/>
    <x v="0"/>
    <n v="12"/>
    <n v="-7.6923076923076872E-2"/>
    <n v="2597"/>
    <n v="6.347256347256347E-2"/>
    <n v="373968"/>
    <n v="-1.8333018333018369E-2"/>
    <n v="1193265"/>
    <n v="-0.20713289036544846"/>
    <n v="699309"/>
    <n v="-0.13187227898904708"/>
    <n v="119988"/>
    <n v="-0.6232845961363972"/>
    <n v="160806.24"/>
    <n v="654762.23999999999"/>
  </r>
  <r>
    <x v="5"/>
    <x v="5"/>
    <x v="0"/>
    <x v="0"/>
    <x v="0"/>
    <x v="0"/>
    <x v="0"/>
    <x v="0"/>
    <x v="1"/>
    <x v="0"/>
    <x v="0"/>
    <x v="0"/>
    <n v="33"/>
    <n v="0"/>
    <n v="1521"/>
    <n v="0"/>
    <n v="602316"/>
    <n v="0"/>
    <n v="1402789"/>
    <n v="0"/>
    <n v="626603"/>
    <n v="0"/>
    <n v="173870"/>
    <n v="0"/>
    <n v="258995.88"/>
    <n v="1035181.88"/>
  </r>
  <r>
    <x v="5"/>
    <x v="5"/>
    <x v="1"/>
    <x v="0"/>
    <x v="0"/>
    <x v="0"/>
    <x v="0"/>
    <x v="0"/>
    <x v="1"/>
    <x v="0"/>
    <x v="0"/>
    <x v="0"/>
    <n v="32"/>
    <n v="-3.0303030303030276E-2"/>
    <n v="1588"/>
    <n v="4.4049967126890133E-2"/>
    <n v="609792"/>
    <n v="1.2412089335166243E-2"/>
    <n v="1237158"/>
    <n v="-0.1180726395772992"/>
    <n v="474989"/>
    <n v="-0.24196181633346792"/>
    <n v="152377"/>
    <n v="-0.1236153447978374"/>
    <n v="262210.56"/>
    <n v="1024379.56"/>
  </r>
  <r>
    <x v="5"/>
    <x v="5"/>
    <x v="2"/>
    <x v="0"/>
    <x v="0"/>
    <x v="0"/>
    <x v="0"/>
    <x v="0"/>
    <x v="1"/>
    <x v="0"/>
    <x v="0"/>
    <x v="0"/>
    <n v="33"/>
    <n v="3.125E-2"/>
    <n v="1897"/>
    <n v="0.19458438287153659"/>
    <n v="751212"/>
    <n v="0.23191514483627196"/>
    <n v="1603371"/>
    <n v="0.29601150378528862"/>
    <n v="848444"/>
    <n v="0.78623926027760649"/>
    <n v="3715"/>
    <n v="-0.97561968013545397"/>
    <n v="323021.15999999997"/>
    <n v="1077948.1599999999"/>
  </r>
  <r>
    <x v="5"/>
    <x v="5"/>
    <x v="3"/>
    <x v="0"/>
    <x v="0"/>
    <x v="0"/>
    <x v="0"/>
    <x v="0"/>
    <x v="1"/>
    <x v="0"/>
    <x v="0"/>
    <x v="0"/>
    <n v="35"/>
    <n v="6.0606060606060552E-2"/>
    <n v="2185"/>
    <n v="0.1518186610437533"/>
    <n v="917700"/>
    <n v="0.22162585262216261"/>
    <n v="1860439"/>
    <n v="0.1603297053520365"/>
    <n v="841932"/>
    <n v="-7.6752266501972644E-3"/>
    <n v="100807"/>
    <n v="26.13512786002692"/>
    <n v="394611"/>
    <n v="1413118"/>
  </r>
  <r>
    <x v="5"/>
    <x v="5"/>
    <x v="4"/>
    <x v="0"/>
    <x v="0"/>
    <x v="0"/>
    <x v="0"/>
    <x v="0"/>
    <x v="1"/>
    <x v="0"/>
    <x v="0"/>
    <x v="0"/>
    <n v="35"/>
    <n v="0"/>
    <n v="2334"/>
    <n v="6.8192219679633848E-2"/>
    <n v="980280"/>
    <n v="6.8192219679633848E-2"/>
    <n v="1869162"/>
    <n v="4.6886783173218927E-3"/>
    <n v="766009"/>
    <n v="0"/>
    <n v="122873"/>
    <n v="0.21889352921920111"/>
    <n v="421520.39999999997"/>
    <n v="1524673.4"/>
  </r>
  <r>
    <x v="5"/>
    <x v="5"/>
    <x v="5"/>
    <x v="0"/>
    <x v="0"/>
    <x v="0"/>
    <x v="0"/>
    <x v="0"/>
    <x v="1"/>
    <x v="0"/>
    <x v="0"/>
    <x v="0"/>
    <n v="34"/>
    <n v="-2.8571428571428581E-2"/>
    <n v="2526"/>
    <n v="8.2262210796915092E-2"/>
    <n v="1030608"/>
    <n v="5.1340433345574699E-2"/>
    <n v="1908884"/>
    <n v="2.125123451043831E-2"/>
    <n v="847272"/>
    <n v="0.10608622091907538"/>
    <n v="31004"/>
    <n v="-0.74767442806800521"/>
    <n v="443161.44"/>
    <n v="1504773.44"/>
  </r>
  <r>
    <x v="6"/>
    <x v="6"/>
    <x v="0"/>
    <x v="0"/>
    <x v="0"/>
    <x v="0"/>
    <x v="1"/>
    <x v="0"/>
    <x v="0"/>
    <x v="0"/>
    <x v="0"/>
    <x v="0"/>
    <n v="6"/>
    <n v="0"/>
    <n v="2236"/>
    <n v="0"/>
    <n v="160992"/>
    <n v="0"/>
    <n v="735306"/>
    <n v="0"/>
    <n v="563562"/>
    <n v="0"/>
    <n v="10752"/>
    <n v="0"/>
    <n v="69226.559999999998"/>
    <n v="240970.56"/>
  </r>
  <r>
    <x v="6"/>
    <x v="6"/>
    <x v="1"/>
    <x v="0"/>
    <x v="0"/>
    <x v="0"/>
    <x v="1"/>
    <x v="0"/>
    <x v="0"/>
    <x v="0"/>
    <x v="0"/>
    <x v="0"/>
    <n v="10"/>
    <n v="0.66666666666666674"/>
    <n v="2193"/>
    <n v="-0.02"/>
    <n v="263160"/>
    <n v="0.63461538461538458"/>
    <n v="1080510"/>
    <n v="0.47"/>
    <n v="808156"/>
    <n v="0.43401435866861138"/>
    <n v="9194"/>
    <n v="-0.14000000000000001"/>
    <n v="113158.8"/>
    <n v="385512.8"/>
  </r>
  <r>
    <x v="6"/>
    <x v="6"/>
    <x v="2"/>
    <x v="0"/>
    <x v="0"/>
    <x v="0"/>
    <x v="1"/>
    <x v="0"/>
    <x v="0"/>
    <x v="0"/>
    <x v="0"/>
    <x v="0"/>
    <n v="16"/>
    <n v="0.60000000000000009"/>
    <n v="2601"/>
    <n v="0.19"/>
    <n v="499392"/>
    <n v="0.89767441860465125"/>
    <n v="1699462"/>
    <n v="0.56999999999999995"/>
    <n v="1170266"/>
    <n v="0.44806943213933947"/>
    <n v="29804"/>
    <n v="2.2400000000000002"/>
    <n v="214738.56"/>
    <n v="743934.56"/>
  </r>
  <r>
    <x v="6"/>
    <x v="6"/>
    <x v="3"/>
    <x v="0"/>
    <x v="0"/>
    <x v="0"/>
    <x v="1"/>
    <x v="0"/>
    <x v="0"/>
    <x v="0"/>
    <x v="0"/>
    <x v="0"/>
    <n v="17"/>
    <n v="6.25E-2"/>
    <n v="2876"/>
    <n v="0.11"/>
    <n v="586704"/>
    <n v="0.17483660130718959"/>
    <n v="2036569"/>
    <n v="0.2"/>
    <n v="1399574"/>
    <n v="0.19594519536583999"/>
    <n v="50291"/>
    <n v="0.69"/>
    <n v="252282.72"/>
    <n v="889277.72"/>
  </r>
  <r>
    <x v="6"/>
    <x v="6"/>
    <x v="4"/>
    <x v="0"/>
    <x v="0"/>
    <x v="0"/>
    <x v="1"/>
    <x v="0"/>
    <x v="0"/>
    <x v="0"/>
    <x v="0"/>
    <x v="0"/>
    <n v="15"/>
    <n v="-0.11764705882352944"/>
    <n v="3528"/>
    <n v="0.23"/>
    <n v="635040"/>
    <n v="8.2385666366685761E-2"/>
    <n v="1760945"/>
    <n v="-0.14000000000000001"/>
    <n v="1117490"/>
    <n v="-0.20154990018391306"/>
    <n v="8415"/>
    <n v="-0.83"/>
    <n v="273067.2"/>
    <n v="916522.2"/>
  </r>
  <r>
    <x v="6"/>
    <x v="6"/>
    <x v="5"/>
    <x v="0"/>
    <x v="0"/>
    <x v="0"/>
    <x v="1"/>
    <x v="0"/>
    <x v="0"/>
    <x v="0"/>
    <x v="0"/>
    <x v="0"/>
    <n v="14"/>
    <n v="-6.6666666666666652E-2"/>
    <n v="3152"/>
    <n v="-0.11"/>
    <n v="529536"/>
    <n v="-0.16613756613756614"/>
    <n v="1136845"/>
    <n v="-0.35"/>
    <n v="515879"/>
    <n v="-0.53835917994791904"/>
    <n v="91430"/>
    <n v="9.8699999999999992"/>
    <n v="227700.48000000001"/>
    <n v="848666.48"/>
  </r>
  <r>
    <x v="7"/>
    <x v="7"/>
    <x v="0"/>
    <x v="0"/>
    <x v="0"/>
    <x v="0"/>
    <x v="1"/>
    <x v="0"/>
    <x v="0"/>
    <x v="0"/>
    <x v="1"/>
    <x v="0"/>
    <n v="16"/>
    <n v="0"/>
    <n v="2374"/>
    <n v="0"/>
    <n v="455808"/>
    <n v="0"/>
    <n v="8490273"/>
    <n v="0"/>
    <n v="7649314"/>
    <n v="0"/>
    <n v="385151"/>
    <n v="0"/>
    <n v="195997.44"/>
    <n v="1036956.44"/>
  </r>
  <r>
    <x v="7"/>
    <x v="7"/>
    <x v="1"/>
    <x v="0"/>
    <x v="0"/>
    <x v="0"/>
    <x v="1"/>
    <x v="0"/>
    <x v="0"/>
    <x v="0"/>
    <x v="1"/>
    <x v="0"/>
    <n v="11"/>
    <n v="-0.3125"/>
    <n v="2606"/>
    <n v="9.7725358045492872E-2"/>
    <n v="343992"/>
    <n v="-0.24531381634372362"/>
    <n v="8162394"/>
    <n v="-3.8618192842562293E-2"/>
    <n v="7461373"/>
    <n v="-2.4569654219973147E-2"/>
    <n v="357029"/>
    <n v="-7.3015518588813166E-2"/>
    <n v="147916.56"/>
    <n v="848937.56"/>
  </r>
  <r>
    <x v="7"/>
    <x v="7"/>
    <x v="2"/>
    <x v="0"/>
    <x v="0"/>
    <x v="0"/>
    <x v="1"/>
    <x v="0"/>
    <x v="0"/>
    <x v="0"/>
    <x v="1"/>
    <x v="0"/>
    <n v="12"/>
    <n v="9.0909090909090828E-2"/>
    <n v="3065"/>
    <n v="0.17613200306983881"/>
    <n v="441360"/>
    <n v="0.28305309425800607"/>
    <n v="13416624"/>
    <n v="0.64371188158768122"/>
    <n v="12623728"/>
    <n v="0.6918773528678972"/>
    <n v="351536"/>
    <n v="-1.5385304835181411E-2"/>
    <n v="189784.8"/>
    <n v="982680.8"/>
  </r>
  <r>
    <x v="7"/>
    <x v="7"/>
    <x v="3"/>
    <x v="0"/>
    <x v="0"/>
    <x v="0"/>
    <x v="1"/>
    <x v="0"/>
    <x v="0"/>
    <x v="0"/>
    <x v="1"/>
    <x v="0"/>
    <n v="13"/>
    <n v="8.3333333333333259E-2"/>
    <n v="3304"/>
    <n v="7.7977161500815573E-2"/>
    <n v="515424"/>
    <n v="0.16780859162588357"/>
    <n v="14637212"/>
    <n v="9.0975792419911272E-2"/>
    <n v="13641718"/>
    <n v="0"/>
    <n v="480070"/>
    <n v="0.36563538300486997"/>
    <n v="221632.32"/>
    <n v="1217126.32"/>
  </r>
  <r>
    <x v="7"/>
    <x v="7"/>
    <x v="4"/>
    <x v="0"/>
    <x v="0"/>
    <x v="0"/>
    <x v="1"/>
    <x v="0"/>
    <x v="0"/>
    <x v="0"/>
    <x v="1"/>
    <x v="0"/>
    <n v="14"/>
    <n v="7.6923076923076872E-2"/>
    <n v="3252"/>
    <n v="-1.57384987893463E-2"/>
    <n v="546336"/>
    <n v="5.9973924380704036E-2"/>
    <n v="13076706"/>
    <n v="-0.10661224282329169"/>
    <n v="12153567"/>
    <n v="-0.10908823947247703"/>
    <n v="376803"/>
    <n v="-0.215108213385548"/>
    <n v="234924.48"/>
    <n v="1158063.48"/>
  </r>
  <r>
    <x v="7"/>
    <x v="7"/>
    <x v="5"/>
    <x v="0"/>
    <x v="0"/>
    <x v="0"/>
    <x v="1"/>
    <x v="0"/>
    <x v="0"/>
    <x v="0"/>
    <x v="1"/>
    <x v="0"/>
    <n v="14"/>
    <n v="0"/>
    <n v="3314"/>
    <n v="1.906519065190659E-2"/>
    <n v="556752"/>
    <n v="1.9065190651906594E-2"/>
    <n v="10772482"/>
    <n v="-0.17620828976349251"/>
    <n v="10137538"/>
    <n v="-0.16587961377923044"/>
    <n v="78192"/>
    <n v="-0.79248572861681033"/>
    <n v="239403.36"/>
    <n v="874347.36"/>
  </r>
  <r>
    <x v="8"/>
    <x v="8"/>
    <x v="0"/>
    <x v="0"/>
    <x v="0"/>
    <x v="0"/>
    <x v="0"/>
    <x v="0"/>
    <x v="1"/>
    <x v="0"/>
    <x v="1"/>
    <x v="0"/>
    <n v="31"/>
    <n v="0"/>
    <n v="2507"/>
    <n v="0"/>
    <n v="932604"/>
    <n v="0"/>
    <n v="3492270"/>
    <n v="0"/>
    <n v="2377766"/>
    <n v="0"/>
    <n v="181900"/>
    <n v="0"/>
    <n v="401019.72"/>
    <n v="1515523.72"/>
  </r>
  <r>
    <x v="8"/>
    <x v="8"/>
    <x v="1"/>
    <x v="0"/>
    <x v="0"/>
    <x v="0"/>
    <x v="0"/>
    <x v="0"/>
    <x v="1"/>
    <x v="0"/>
    <x v="1"/>
    <x v="0"/>
    <n v="27"/>
    <n v="-0.12903225806451613"/>
    <n v="2557"/>
    <n v="1.9944156362185831E-2"/>
    <n v="828468"/>
    <n v="-0.11166154123293492"/>
    <n v="2865990"/>
    <n v="-0.1793332130677181"/>
    <n v="1822260"/>
    <n v="-0.23362517590040399"/>
    <n v="215262"/>
    <n v="0.18340846619021439"/>
    <n v="356241.24"/>
    <n v="1399971.24"/>
  </r>
  <r>
    <x v="8"/>
    <x v="8"/>
    <x v="2"/>
    <x v="0"/>
    <x v="0"/>
    <x v="0"/>
    <x v="0"/>
    <x v="0"/>
    <x v="1"/>
    <x v="0"/>
    <x v="1"/>
    <x v="0"/>
    <n v="27"/>
    <n v="0"/>
    <n v="2648"/>
    <n v="3.5588580367618361E-2"/>
    <n v="857952"/>
    <n v="3.5588580367618361E-2"/>
    <n v="2310000"/>
    <n v="-0.19399579202997921"/>
    <n v="1407477"/>
    <n v="-0.22762009811991701"/>
    <n v="44571"/>
    <n v="-0.79294534102628422"/>
    <n v="368919.36"/>
    <n v="1271442.3599999999"/>
  </r>
  <r>
    <x v="8"/>
    <x v="8"/>
    <x v="3"/>
    <x v="0"/>
    <x v="0"/>
    <x v="0"/>
    <x v="0"/>
    <x v="0"/>
    <x v="1"/>
    <x v="0"/>
    <x v="1"/>
    <x v="0"/>
    <n v="26"/>
    <n v="-3.703703703703709E-2"/>
    <n v="2759"/>
    <n v="4.1918429003021229E-2"/>
    <n v="860808"/>
    <n v="3.3288575584649038E-3"/>
    <n v="2365263"/>
    <n v="2.3923376623376621E-2"/>
    <n v="1512636"/>
    <n v="7.4714542404600515E-2"/>
    <n v="-8181"/>
    <n v="-1.183549841825402"/>
    <n v="370147.44"/>
    <n v="1222774.44"/>
  </r>
  <r>
    <x v="8"/>
    <x v="8"/>
    <x v="4"/>
    <x v="0"/>
    <x v="0"/>
    <x v="0"/>
    <x v="0"/>
    <x v="0"/>
    <x v="1"/>
    <x v="0"/>
    <x v="1"/>
    <x v="0"/>
    <n v="25"/>
    <n v="-3.8461538461538436E-2"/>
    <n v="3002"/>
    <n v="8.807538963392525E-2"/>
    <n v="900600"/>
    <n v="4.6226336186466765E-2"/>
    <n v="3544704"/>
    <n v="0.49865110137857821"/>
    <n v="2382018"/>
    <n v="0"/>
    <n v="262086"/>
    <n v="-33.035936927026043"/>
    <n v="387258"/>
    <n v="1549944"/>
  </r>
  <r>
    <x v="8"/>
    <x v="8"/>
    <x v="5"/>
    <x v="0"/>
    <x v="0"/>
    <x v="0"/>
    <x v="0"/>
    <x v="0"/>
    <x v="1"/>
    <x v="0"/>
    <x v="1"/>
    <x v="0"/>
    <n v="27"/>
    <n v="8.0000000000000071E-2"/>
    <n v="3258"/>
    <n v="8.5276482345103322E-2"/>
    <n v="1055592"/>
    <n v="0.17209860093271145"/>
    <n v="2697617"/>
    <n v="-0.23897256301231359"/>
    <n v="1635706"/>
    <n v="-0.31331081461181232"/>
    <n v="6319"/>
    <n v="-0.97588959349221249"/>
    <n v="453904.56"/>
    <n v="1515815.56"/>
  </r>
  <r>
    <x v="9"/>
    <x v="9"/>
    <x v="0"/>
    <x v="0"/>
    <x v="0"/>
    <x v="0"/>
    <x v="0"/>
    <x v="0"/>
    <x v="0"/>
    <x v="0"/>
    <x v="0"/>
    <x v="0"/>
    <n v="0"/>
    <n v="0"/>
    <n v="0"/>
    <n v="0"/>
    <n v="0"/>
    <n v="0"/>
    <n v="38589"/>
    <n v="0"/>
    <n v="0"/>
    <n v="0"/>
    <n v="2266"/>
    <n v="0"/>
    <n v="0"/>
    <n v="38589"/>
  </r>
  <r>
    <x v="9"/>
    <x v="9"/>
    <x v="1"/>
    <x v="0"/>
    <x v="0"/>
    <x v="0"/>
    <x v="0"/>
    <x v="0"/>
    <x v="0"/>
    <x v="0"/>
    <x v="0"/>
    <x v="0"/>
    <n v="0"/>
    <n v="0"/>
    <n v="0"/>
    <n v="0"/>
    <n v="0"/>
    <n v="0"/>
    <n v="23608"/>
    <n v="-0.38821944077327741"/>
    <n v="0"/>
    <n v="0"/>
    <n v="-31"/>
    <n v="-1.013680494263018"/>
    <n v="0"/>
    <n v="23608"/>
  </r>
  <r>
    <x v="9"/>
    <x v="9"/>
    <x v="2"/>
    <x v="0"/>
    <x v="0"/>
    <x v="0"/>
    <x v="0"/>
    <x v="0"/>
    <x v="0"/>
    <x v="0"/>
    <x v="0"/>
    <x v="0"/>
    <n v="0"/>
    <n v="0"/>
    <n v="0"/>
    <n v="0"/>
    <n v="0"/>
    <n v="0"/>
    <n v="42347"/>
    <n v="0.79375635377838027"/>
    <n v="0"/>
    <n v="0"/>
    <n v="1180"/>
    <n v="-39.064516129032263"/>
    <n v="0"/>
    <n v="42347"/>
  </r>
  <r>
    <x v="9"/>
    <x v="9"/>
    <x v="3"/>
    <x v="0"/>
    <x v="0"/>
    <x v="0"/>
    <x v="0"/>
    <x v="0"/>
    <x v="0"/>
    <x v="0"/>
    <x v="0"/>
    <x v="0"/>
    <n v="0"/>
    <n v="0"/>
    <n v="0"/>
    <n v="0"/>
    <n v="0"/>
    <n v="0"/>
    <n v="56054"/>
    <n v="0.32368290551869072"/>
    <n v="0"/>
    <n v="0"/>
    <n v="2003"/>
    <n v="0.69745762711864412"/>
    <n v="0"/>
    <n v="56054"/>
  </r>
  <r>
    <x v="9"/>
    <x v="9"/>
    <x v="4"/>
    <x v="0"/>
    <x v="0"/>
    <x v="0"/>
    <x v="0"/>
    <x v="0"/>
    <x v="0"/>
    <x v="0"/>
    <x v="0"/>
    <x v="0"/>
    <n v="0"/>
    <n v="0"/>
    <n v="0"/>
    <n v="0"/>
    <n v="0"/>
    <n v="0"/>
    <n v="77893"/>
    <n v="0.38960645092232488"/>
    <n v="0"/>
    <n v="0"/>
    <n v="-812"/>
    <n v="-1.4053919121318019"/>
    <n v="0"/>
    <n v="77893"/>
  </r>
  <r>
    <x v="9"/>
    <x v="9"/>
    <x v="5"/>
    <x v="0"/>
    <x v="0"/>
    <x v="0"/>
    <x v="0"/>
    <x v="0"/>
    <x v="0"/>
    <x v="0"/>
    <x v="0"/>
    <x v="0"/>
    <n v="0"/>
    <n v="0"/>
    <n v="0"/>
    <n v="0"/>
    <n v="0"/>
    <n v="0"/>
    <n v="86746"/>
    <n v="0.1136559125980512"/>
    <n v="0"/>
    <n v="0"/>
    <n v="7310"/>
    <n v="-10.002463054187199"/>
    <n v="0"/>
    <n v="86746"/>
  </r>
  <r>
    <x v="10"/>
    <x v="10"/>
    <x v="0"/>
    <x v="0"/>
    <x v="0"/>
    <x v="0"/>
    <x v="0"/>
    <x v="0"/>
    <x v="0"/>
    <x v="0"/>
    <x v="0"/>
    <x v="0"/>
    <n v="2"/>
    <n v="0"/>
    <n v="0"/>
    <n v="0"/>
    <n v="0"/>
    <n v="0"/>
    <n v="52181"/>
    <n v="0"/>
    <n v="0"/>
    <n v="0"/>
    <n v="-6006"/>
    <n v="0"/>
    <n v="0"/>
    <n v="52181"/>
  </r>
  <r>
    <x v="10"/>
    <x v="10"/>
    <x v="1"/>
    <x v="0"/>
    <x v="0"/>
    <x v="0"/>
    <x v="0"/>
    <x v="0"/>
    <x v="0"/>
    <x v="0"/>
    <x v="0"/>
    <x v="0"/>
    <n v="2"/>
    <n v="0"/>
    <n v="0"/>
    <n v="0"/>
    <n v="0"/>
    <n v="0"/>
    <n v="120421"/>
    <n v="1.30775569651789"/>
    <n v="0"/>
    <n v="0"/>
    <n v="44975"/>
    <n v="-8.4883449883449877"/>
    <n v="0"/>
    <n v="120421"/>
  </r>
  <r>
    <x v="10"/>
    <x v="10"/>
    <x v="2"/>
    <x v="0"/>
    <x v="0"/>
    <x v="0"/>
    <x v="0"/>
    <x v="0"/>
    <x v="0"/>
    <x v="0"/>
    <x v="0"/>
    <x v="0"/>
    <n v="8"/>
    <n v="3"/>
    <n v="1201"/>
    <n v="0"/>
    <n v="115296"/>
    <n v="0"/>
    <n v="470300"/>
    <n v="2.9054649936472869"/>
    <n v="307111"/>
    <n v="0"/>
    <n v="47893"/>
    <n v="6.4880489160644705E-2"/>
    <n v="49577.279999999999"/>
    <n v="212766.28"/>
  </r>
  <r>
    <x v="10"/>
    <x v="10"/>
    <x v="3"/>
    <x v="0"/>
    <x v="0"/>
    <x v="0"/>
    <x v="0"/>
    <x v="0"/>
    <x v="0"/>
    <x v="0"/>
    <x v="0"/>
    <x v="0"/>
    <n v="15"/>
    <n v="0.875"/>
    <n v="1353"/>
    <n v="0.1265611990008326"/>
    <n v="243540"/>
    <n v="1.1123022481265612"/>
    <n v="733653"/>
    <n v="0.55996810546459708"/>
    <n v="462467"/>
    <n v="0.50586270110806852"/>
    <n v="27646"/>
    <n v="-0.42275489111143588"/>
    <n v="104722.2"/>
    <n v="375908.2"/>
  </r>
  <r>
    <x v="10"/>
    <x v="10"/>
    <x v="4"/>
    <x v="0"/>
    <x v="0"/>
    <x v="0"/>
    <x v="0"/>
    <x v="0"/>
    <x v="0"/>
    <x v="0"/>
    <x v="0"/>
    <x v="0"/>
    <n v="15"/>
    <n v="0"/>
    <n v="1957"/>
    <n v="0.44641537324464159"/>
    <n v="352260"/>
    <n v="0.44641537324464164"/>
    <n v="999514"/>
    <n v="0.36237976263983113"/>
    <n v="665696"/>
    <n v="0"/>
    <n v="-18442"/>
    <n v="-1.667076611444694"/>
    <n v="151471.79999999999"/>
    <n v="485289.8"/>
  </r>
  <r>
    <x v="10"/>
    <x v="10"/>
    <x v="5"/>
    <x v="0"/>
    <x v="0"/>
    <x v="0"/>
    <x v="0"/>
    <x v="0"/>
    <x v="0"/>
    <x v="0"/>
    <x v="0"/>
    <x v="0"/>
    <n v="18"/>
    <n v="0.19999999999999996"/>
    <n v="2075"/>
    <n v="6.0296371997956122E-2"/>
    <n v="448200"/>
    <n v="0.27235564639754717"/>
    <n v="853822"/>
    <n v="-0.1457628407406"/>
    <n v="500089"/>
    <n v="-0.2487727130702303"/>
    <n v="-94467"/>
    <n v="4.1223836894046197"/>
    <n v="192726"/>
    <n v="546459"/>
  </r>
  <r>
    <x v="11"/>
    <x v="11"/>
    <x v="0"/>
    <x v="0"/>
    <x v="0"/>
    <x v="0"/>
    <x v="0"/>
    <x v="0"/>
    <x v="0"/>
    <x v="0"/>
    <x v="0"/>
    <x v="0"/>
    <n v="6"/>
    <n v="0"/>
    <n v="1039"/>
    <n v="0"/>
    <n v="74808"/>
    <n v="0"/>
    <n v="134293"/>
    <n v="0"/>
    <n v="74589"/>
    <n v="0"/>
    <n v="-15104"/>
    <n v="0"/>
    <n v="32167.439999999999"/>
    <n v="91871.44"/>
  </r>
  <r>
    <x v="11"/>
    <x v="11"/>
    <x v="1"/>
    <x v="0"/>
    <x v="0"/>
    <x v="0"/>
    <x v="0"/>
    <x v="0"/>
    <x v="0"/>
    <x v="0"/>
    <x v="0"/>
    <x v="0"/>
    <n v="3"/>
    <n v="-0.5"/>
    <n v="1263"/>
    <n v="0.2155919153031762"/>
    <n v="45468"/>
    <n v="-0.39220404234841189"/>
    <n v="297045"/>
    <n v="1.2119172257675379"/>
    <n v="227606"/>
    <n v="2.0514687152261057"/>
    <n v="23971"/>
    <n v="-2.5870630296610169"/>
    <n v="19551.239999999998"/>
    <n v="88990.239999999991"/>
  </r>
  <r>
    <x v="11"/>
    <x v="11"/>
    <x v="2"/>
    <x v="0"/>
    <x v="0"/>
    <x v="0"/>
    <x v="0"/>
    <x v="0"/>
    <x v="0"/>
    <x v="0"/>
    <x v="0"/>
    <x v="0"/>
    <n v="1"/>
    <n v="-0.66666666666666674"/>
    <n v="0"/>
    <n v="0"/>
    <n v="0"/>
    <n v="-1"/>
    <n v="924135"/>
    <n v="2.11109427864465"/>
    <n v="0"/>
    <n v="0"/>
    <n v="176024"/>
    <n v="6.3432063743690286"/>
    <n v="0"/>
    <n v="924135"/>
  </r>
  <r>
    <x v="11"/>
    <x v="11"/>
    <x v="3"/>
    <x v="0"/>
    <x v="0"/>
    <x v="0"/>
    <x v="0"/>
    <x v="0"/>
    <x v="0"/>
    <x v="0"/>
    <x v="0"/>
    <x v="0"/>
    <n v="1"/>
    <n v="0"/>
    <n v="0"/>
    <n v="0"/>
    <n v="0"/>
    <n v="0"/>
    <n v="702426"/>
    <n v="-0.23990975344511359"/>
    <n v="0"/>
    <n v="0"/>
    <n v="75777"/>
    <n v="-0.56950756714993411"/>
    <n v="0"/>
    <n v="702426"/>
  </r>
  <r>
    <x v="11"/>
    <x v="11"/>
    <x v="4"/>
    <x v="0"/>
    <x v="0"/>
    <x v="0"/>
    <x v="0"/>
    <x v="0"/>
    <x v="0"/>
    <x v="0"/>
    <x v="0"/>
    <x v="0"/>
    <n v="1"/>
    <n v="0"/>
    <n v="0"/>
    <n v="0"/>
    <n v="0"/>
    <n v="0"/>
    <n v="682575"/>
    <n v="-2.8260628165813869E-2"/>
    <n v="0"/>
    <n v="0"/>
    <n v="66010"/>
    <n v="-0.12889135225728121"/>
    <n v="0"/>
    <n v="682575"/>
  </r>
  <r>
    <x v="11"/>
    <x v="11"/>
    <x v="5"/>
    <x v="0"/>
    <x v="0"/>
    <x v="0"/>
    <x v="0"/>
    <x v="0"/>
    <x v="0"/>
    <x v="0"/>
    <x v="0"/>
    <x v="0"/>
    <n v="1"/>
    <n v="0"/>
    <n v="0"/>
    <n v="0"/>
    <n v="0"/>
    <n v="0"/>
    <n v="0"/>
    <n v="0"/>
    <n v="0"/>
    <n v="0"/>
    <n v="0"/>
    <n v="0"/>
    <n v="0"/>
    <n v="0"/>
  </r>
  <r>
    <x v="12"/>
    <x v="12"/>
    <x v="0"/>
    <x v="0"/>
    <x v="0"/>
    <x v="0"/>
    <x v="0"/>
    <x v="0"/>
    <x v="0"/>
    <x v="1"/>
    <x v="1"/>
    <x v="0"/>
    <n v="33"/>
    <n v="0"/>
    <n v="1914"/>
    <n v="0"/>
    <n v="757944"/>
    <n v="0"/>
    <n v="3084434"/>
    <n v="0"/>
    <n v="2276594"/>
    <n v="0"/>
    <n v="49896"/>
    <n v="0"/>
    <n v="325915.92"/>
    <n v="1133755.92"/>
  </r>
  <r>
    <x v="12"/>
    <x v="12"/>
    <x v="1"/>
    <x v="0"/>
    <x v="0"/>
    <x v="0"/>
    <x v="0"/>
    <x v="0"/>
    <x v="0"/>
    <x v="1"/>
    <x v="1"/>
    <x v="0"/>
    <n v="21"/>
    <n v="-0.36363636363636365"/>
    <n v="2264"/>
    <n v="0.18"/>
    <n v="570528"/>
    <n v="-0.24726892751971119"/>
    <n v="1249050"/>
    <n v="-0.6"/>
    <n v="747784"/>
    <n v="-0.67153387911942142"/>
    <n v="-69262"/>
    <n v="-2.39"/>
    <n v="245327.04"/>
    <n v="746593.04"/>
  </r>
  <r>
    <x v="12"/>
    <x v="12"/>
    <x v="2"/>
    <x v="0"/>
    <x v="0"/>
    <x v="0"/>
    <x v="0"/>
    <x v="0"/>
    <x v="0"/>
    <x v="1"/>
    <x v="1"/>
    <x v="0"/>
    <n v="22"/>
    <n v="4.7619047619047672E-2"/>
    <n v="2355"/>
    <n v="0.04"/>
    <n v="621720"/>
    <n v="8.9727410398788399E-2"/>
    <n v="1374583"/>
    <n v="0.1"/>
    <n v="749439"/>
    <n v="2.2132059525210579E-3"/>
    <n v="3424"/>
    <n v="1.05"/>
    <n v="267339.59999999998"/>
    <n v="892483.6"/>
  </r>
  <r>
    <x v="12"/>
    <x v="12"/>
    <x v="3"/>
    <x v="0"/>
    <x v="0"/>
    <x v="0"/>
    <x v="0"/>
    <x v="0"/>
    <x v="0"/>
    <x v="1"/>
    <x v="1"/>
    <x v="0"/>
    <n v="23"/>
    <n v="4.5454545454545414E-2"/>
    <n v="2689"/>
    <n v="0.14000000000000001"/>
    <n v="742164"/>
    <n v="0.19372707971434089"/>
    <n v="1467780"/>
    <n v="7.0000000000000007E-2"/>
    <n v="725193"/>
    <n v="-3.235219944518497E-2"/>
    <n v="423"/>
    <n v="-0.88"/>
    <n v="319130.52"/>
    <n v="1061717.52"/>
  </r>
  <r>
    <x v="12"/>
    <x v="12"/>
    <x v="4"/>
    <x v="0"/>
    <x v="0"/>
    <x v="0"/>
    <x v="0"/>
    <x v="0"/>
    <x v="0"/>
    <x v="1"/>
    <x v="1"/>
    <x v="0"/>
    <n v="18"/>
    <n v="-0.21739130434782605"/>
    <n v="2843"/>
    <n v="0.06"/>
    <n v="614088"/>
    <n v="-0.17257102203825569"/>
    <n v="1658335"/>
    <n v="0.13"/>
    <n v="1042758"/>
    <n v="0.43790411655931583"/>
    <n v="1489"/>
    <n v="2.52"/>
    <n v="264057.83999999997"/>
    <n v="879634.84"/>
  </r>
  <r>
    <x v="12"/>
    <x v="12"/>
    <x v="5"/>
    <x v="0"/>
    <x v="0"/>
    <x v="0"/>
    <x v="0"/>
    <x v="0"/>
    <x v="0"/>
    <x v="1"/>
    <x v="1"/>
    <x v="0"/>
    <n v="19"/>
    <n v="5.555555555555558E-2"/>
    <n v="2886"/>
    <n v="0.02"/>
    <n v="658008"/>
    <n v="7.152069410247397E-2"/>
    <n v="1526769"/>
    <n v="-0.08"/>
    <n v="916541"/>
    <n v="-0.12104150723370144"/>
    <n v="-47780"/>
    <n v="-33.090000000000003"/>
    <n v="282943.44"/>
    <n v="893171.44"/>
  </r>
  <r>
    <x v="13"/>
    <x v="13"/>
    <x v="0"/>
    <x v="0"/>
    <x v="0"/>
    <x v="0"/>
    <x v="0"/>
    <x v="0"/>
    <x v="0"/>
    <x v="1"/>
    <x v="1"/>
    <x v="0"/>
    <n v="7"/>
    <n v="0"/>
    <n v="1744"/>
    <n v="0"/>
    <n v="146496"/>
    <n v="0"/>
    <n v="231606"/>
    <n v="0"/>
    <n v="142244"/>
    <n v="0"/>
    <n v="-57134"/>
    <n v="0"/>
    <n v="62993.279999999999"/>
    <n v="152355.28"/>
  </r>
  <r>
    <x v="13"/>
    <x v="13"/>
    <x v="1"/>
    <x v="0"/>
    <x v="0"/>
    <x v="0"/>
    <x v="0"/>
    <x v="0"/>
    <x v="0"/>
    <x v="1"/>
    <x v="1"/>
    <x v="0"/>
    <n v="6"/>
    <n v="-0.1428571428571429"/>
    <n v="1741"/>
    <n v="0"/>
    <n v="125352"/>
    <n v="-0.14433158584534733"/>
    <n v="429939"/>
    <n v="0.86"/>
    <n v="200151"/>
    <n v="0.40709625713562603"/>
    <n v="104436"/>
    <n v="2.83"/>
    <n v="53901.36"/>
    <n v="283689.36"/>
  </r>
  <r>
    <x v="13"/>
    <x v="13"/>
    <x v="2"/>
    <x v="0"/>
    <x v="0"/>
    <x v="0"/>
    <x v="0"/>
    <x v="0"/>
    <x v="0"/>
    <x v="1"/>
    <x v="1"/>
    <x v="0"/>
    <n v="8"/>
    <n v="0.33333333333333326"/>
    <n v="2459"/>
    <n v="0.41"/>
    <n v="236064"/>
    <n v="0.88320888378326634"/>
    <n v="620813"/>
    <n v="0.44"/>
    <n v="287487"/>
    <n v="0.4363505553307252"/>
    <n v="97262"/>
    <n v="-7.0000000000000007E-2"/>
    <n v="101507.52"/>
    <n v="434833.52"/>
  </r>
  <r>
    <x v="13"/>
    <x v="13"/>
    <x v="3"/>
    <x v="0"/>
    <x v="0"/>
    <x v="0"/>
    <x v="0"/>
    <x v="0"/>
    <x v="0"/>
    <x v="1"/>
    <x v="1"/>
    <x v="0"/>
    <n v="9"/>
    <n v="0.125"/>
    <n v="2996"/>
    <n v="0.22"/>
    <n v="323568"/>
    <n v="0.37067913786091911"/>
    <n v="922751"/>
    <n v="0.49"/>
    <n v="621784"/>
    <n v="1.162824753814955"/>
    <n v="-22601"/>
    <n v="-1.23"/>
    <n v="139134.24"/>
    <n v="440101.24"/>
  </r>
  <r>
    <x v="13"/>
    <x v="13"/>
    <x v="4"/>
    <x v="0"/>
    <x v="0"/>
    <x v="0"/>
    <x v="0"/>
    <x v="0"/>
    <x v="0"/>
    <x v="1"/>
    <x v="1"/>
    <x v="0"/>
    <n v="11"/>
    <n v="0.22222222222222232"/>
    <n v="3036"/>
    <n v="0.01"/>
    <n v="400752"/>
    <n v="0.23854027592345339"/>
    <n v="1018276"/>
    <n v="0.1"/>
    <n v="554131"/>
    <n v="-0.1088046652856941"/>
    <n v="63393"/>
    <n v="3.8"/>
    <n v="172323.36"/>
    <n v="636468.36"/>
  </r>
  <r>
    <x v="13"/>
    <x v="13"/>
    <x v="5"/>
    <x v="0"/>
    <x v="0"/>
    <x v="0"/>
    <x v="0"/>
    <x v="0"/>
    <x v="0"/>
    <x v="1"/>
    <x v="1"/>
    <x v="0"/>
    <n v="11"/>
    <n v="0"/>
    <n v="3512"/>
    <n v="0.16"/>
    <n v="463584"/>
    <n v="0.15678524374176539"/>
    <n v="1566507"/>
    <n v="0.54"/>
    <n v="999078"/>
    <n v="0.8029635591583939"/>
    <n v="103845"/>
    <n v="0.64"/>
    <n v="199341.12"/>
    <n v="766770.12"/>
  </r>
  <r>
    <x v="14"/>
    <x v="14"/>
    <x v="0"/>
    <x v="0"/>
    <x v="0"/>
    <x v="0"/>
    <x v="1"/>
    <x v="0"/>
    <x v="0"/>
    <x v="0"/>
    <x v="1"/>
    <x v="0"/>
    <n v="28"/>
    <n v="0"/>
    <n v="2172"/>
    <n v="0"/>
    <n v="729792"/>
    <n v="0"/>
    <n v="12323796"/>
    <n v="0"/>
    <n v="11322500"/>
    <n v="0"/>
    <n v="271504"/>
    <n v="0"/>
    <n v="313810.56"/>
    <n v="1315106.56"/>
  </r>
  <r>
    <x v="14"/>
    <x v="14"/>
    <x v="1"/>
    <x v="0"/>
    <x v="0"/>
    <x v="0"/>
    <x v="1"/>
    <x v="0"/>
    <x v="0"/>
    <x v="0"/>
    <x v="1"/>
    <x v="0"/>
    <n v="27"/>
    <n v="-3.5714285714285698E-2"/>
    <n v="2392"/>
    <n v="0.1012891344383058"/>
    <n v="775008"/>
    <n v="6.1957379636937704E-2"/>
    <n v="12436858"/>
    <n v="9.1742836379309356E-3"/>
    <n v="11411693"/>
    <n v="7.8775005519982066E-3"/>
    <n v="250157"/>
    <n v="-7.862499263362599E-2"/>
    <n v="333253.44"/>
    <n v="1358418.44"/>
  </r>
  <r>
    <x v="14"/>
    <x v="14"/>
    <x v="2"/>
    <x v="0"/>
    <x v="0"/>
    <x v="0"/>
    <x v="1"/>
    <x v="0"/>
    <x v="0"/>
    <x v="0"/>
    <x v="1"/>
    <x v="0"/>
    <n v="32"/>
    <n v="0.18518518518518512"/>
    <n v="2540"/>
    <n v="6.1872909698996732E-2"/>
    <n v="975360"/>
    <n v="0.2585160411247367"/>
    <n v="16776261"/>
    <n v="0.34891473393038658"/>
    <n v="15384080"/>
    <n v="0.34809795531653376"/>
    <n v="416821"/>
    <n v="0.66623760278545063"/>
    <n v="419404.79999999999"/>
    <n v="1811585.8"/>
  </r>
  <r>
    <x v="14"/>
    <x v="14"/>
    <x v="3"/>
    <x v="0"/>
    <x v="0"/>
    <x v="0"/>
    <x v="1"/>
    <x v="0"/>
    <x v="0"/>
    <x v="0"/>
    <x v="1"/>
    <x v="0"/>
    <n v="37"/>
    <n v="0.15625"/>
    <n v="2999"/>
    <n v="0.18070866141732281"/>
    <n v="1331556"/>
    <n v="0.36519438976377949"/>
    <n v="21224833"/>
    <n v="0.26517064797692402"/>
    <n v="19467482"/>
    <n v="0.2654303669767708"/>
    <n v="425795"/>
    <n v="2.1529625426741861E-2"/>
    <n v="572569.07999999996"/>
    <n v="2329920.08"/>
  </r>
  <r>
    <x v="14"/>
    <x v="14"/>
    <x v="4"/>
    <x v="0"/>
    <x v="0"/>
    <x v="0"/>
    <x v="1"/>
    <x v="0"/>
    <x v="0"/>
    <x v="0"/>
    <x v="1"/>
    <x v="0"/>
    <n v="38"/>
    <n v="2.7027027027026973E-2"/>
    <n v="3216"/>
    <n v="7.2357452484161477E-2"/>
    <n v="1466496"/>
    <n v="0.10134008633508462"/>
    <n v="25811839"/>
    <n v="0.21611505730103969"/>
    <n v="23939519"/>
    <n v="0.22971830666133397"/>
    <n v="405824"/>
    <n v="-4.690285231155833E-2"/>
    <n v="630593.28000000003"/>
    <n v="2502913.2800000003"/>
  </r>
  <r>
    <x v="14"/>
    <x v="14"/>
    <x v="5"/>
    <x v="0"/>
    <x v="0"/>
    <x v="0"/>
    <x v="1"/>
    <x v="0"/>
    <x v="0"/>
    <x v="0"/>
    <x v="1"/>
    <x v="0"/>
    <n v="46"/>
    <n v="0.21052631578947367"/>
    <n v="3398"/>
    <n v="5.659203980099492E-2"/>
    <n v="1875696"/>
    <n v="0.27903246923278346"/>
    <n v="36438837"/>
    <n v="0.41171022335913388"/>
    <n v="34043820"/>
    <n v="0.42207619125513762"/>
    <n v="519321"/>
    <n v="0.27967049755559059"/>
    <n v="806549.28"/>
    <n v="3201566.2800000003"/>
  </r>
  <r>
    <x v="15"/>
    <x v="15"/>
    <x v="0"/>
    <x v="0"/>
    <x v="0"/>
    <x v="0"/>
    <x v="0"/>
    <x v="0"/>
    <x v="0"/>
    <x v="0"/>
    <x v="0"/>
    <x v="0"/>
    <n v="7"/>
    <n v="0"/>
    <n v="1237"/>
    <n v="0"/>
    <n v="103908"/>
    <n v="0"/>
    <n v="316051"/>
    <n v="0"/>
    <n v="153556"/>
    <n v="0"/>
    <n v="58587"/>
    <n v="0"/>
    <n v="44680.44"/>
    <n v="207175.44"/>
  </r>
  <r>
    <x v="15"/>
    <x v="15"/>
    <x v="1"/>
    <x v="0"/>
    <x v="0"/>
    <x v="0"/>
    <x v="0"/>
    <x v="0"/>
    <x v="0"/>
    <x v="0"/>
    <x v="0"/>
    <x v="0"/>
    <n v="9"/>
    <n v="0.28571428571428581"/>
    <n v="1252"/>
    <n v="0.01"/>
    <n v="135216"/>
    <n v="0.30130500057743381"/>
    <n v="516299"/>
    <n v="0.63"/>
    <n v="236260"/>
    <n v="0.53859178410482178"/>
    <n v="144823"/>
    <n v="1.47"/>
    <n v="58142.879999999997"/>
    <n v="338181.88"/>
  </r>
  <r>
    <x v="15"/>
    <x v="15"/>
    <x v="2"/>
    <x v="0"/>
    <x v="0"/>
    <x v="0"/>
    <x v="0"/>
    <x v="0"/>
    <x v="0"/>
    <x v="0"/>
    <x v="0"/>
    <x v="0"/>
    <n v="20"/>
    <n v="1.2222222222222223"/>
    <n v="1343"/>
    <n v="7.0000000000000007E-2"/>
    <n v="322320"/>
    <n v="1.3837415690450836"/>
    <n v="716566"/>
    <n v="0.39"/>
    <n v="319916"/>
    <n v="0.35408448319647845"/>
    <n v="74330"/>
    <n v="-0.49"/>
    <n v="138597.6"/>
    <n v="535247.6"/>
  </r>
  <r>
    <x v="15"/>
    <x v="15"/>
    <x v="3"/>
    <x v="0"/>
    <x v="0"/>
    <x v="0"/>
    <x v="0"/>
    <x v="0"/>
    <x v="0"/>
    <x v="0"/>
    <x v="0"/>
    <x v="0"/>
    <n v="24"/>
    <n v="0.19999999999999996"/>
    <n v="1618"/>
    <n v="0.2"/>
    <n v="465984"/>
    <n v="0.4457185405807893"/>
    <n v="716566"/>
    <n v="0.39"/>
    <n v="47327"/>
    <n v="-0.85206429187661759"/>
    <n v="203255"/>
    <n v="1.73"/>
    <n v="200373.12"/>
    <n v="869612.12"/>
  </r>
  <r>
    <x v="15"/>
    <x v="15"/>
    <x v="4"/>
    <x v="0"/>
    <x v="0"/>
    <x v="0"/>
    <x v="0"/>
    <x v="0"/>
    <x v="0"/>
    <x v="0"/>
    <x v="0"/>
    <x v="0"/>
    <n v="30"/>
    <n v="0.25"/>
    <n v="1764"/>
    <n v="0.09"/>
    <n v="635040"/>
    <n v="0.36279357231149567"/>
    <n v="1278169"/>
    <n v="0.2"/>
    <n v="487348"/>
    <n v="9.297462336509815"/>
    <n v="155781"/>
    <n v="-0.23"/>
    <n v="273067.2"/>
    <n v="1063888.2"/>
  </r>
  <r>
    <x v="15"/>
    <x v="15"/>
    <x v="5"/>
    <x v="0"/>
    <x v="0"/>
    <x v="0"/>
    <x v="0"/>
    <x v="0"/>
    <x v="0"/>
    <x v="0"/>
    <x v="0"/>
    <x v="0"/>
    <n v="30"/>
    <n v="0"/>
    <n v="2000"/>
    <n v="0.13"/>
    <n v="720000"/>
    <n v="0.13378684807256236"/>
    <n v="1258533"/>
    <n v="-0.02"/>
    <n v="533550"/>
    <n v="9.4802892389011628E-2"/>
    <n v="4983"/>
    <n v="-0.97"/>
    <n v="309600"/>
    <n v="1034583"/>
  </r>
  <r>
    <x v="16"/>
    <x v="16"/>
    <x v="0"/>
    <x v="0"/>
    <x v="0"/>
    <x v="0"/>
    <x v="0"/>
    <x v="1"/>
    <x v="0"/>
    <x v="0"/>
    <x v="1"/>
    <x v="0"/>
    <n v="6"/>
    <n v="0"/>
    <n v="1347"/>
    <n v="0"/>
    <n v="96984"/>
    <n v="0"/>
    <n v="919681"/>
    <n v="0"/>
    <n v="787872"/>
    <n v="0"/>
    <n v="34825"/>
    <n v="0"/>
    <n v="41703.120000000003"/>
    <n v="173512.12"/>
  </r>
  <r>
    <x v="16"/>
    <x v="16"/>
    <x v="1"/>
    <x v="0"/>
    <x v="0"/>
    <x v="0"/>
    <x v="0"/>
    <x v="1"/>
    <x v="0"/>
    <x v="0"/>
    <x v="1"/>
    <x v="0"/>
    <n v="6"/>
    <n v="0"/>
    <n v="1849"/>
    <n v="0.37"/>
    <n v="133128"/>
    <n v="0.37268002969561986"/>
    <n v="957226"/>
    <n v="0.04"/>
    <n v="786325"/>
    <n v="-1.9635169164534672E-3"/>
    <n v="37773"/>
    <n v="0.08"/>
    <n v="57245.04"/>
    <n v="228146.04"/>
  </r>
  <r>
    <x v="16"/>
    <x v="16"/>
    <x v="2"/>
    <x v="0"/>
    <x v="0"/>
    <x v="0"/>
    <x v="0"/>
    <x v="1"/>
    <x v="0"/>
    <x v="0"/>
    <x v="1"/>
    <x v="0"/>
    <n v="7"/>
    <n v="0.16666666666666674"/>
    <n v="1704"/>
    <n v="-0.08"/>
    <n v="143136"/>
    <n v="7.5175770686857657E-2"/>
    <n v="1539976"/>
    <n v="0.61"/>
    <n v="1350432"/>
    <n v="0.71739675070740461"/>
    <n v="46408"/>
    <n v="0.23"/>
    <n v="61548.479999999996"/>
    <n v="251092.47999999998"/>
  </r>
  <r>
    <x v="16"/>
    <x v="16"/>
    <x v="3"/>
    <x v="0"/>
    <x v="0"/>
    <x v="0"/>
    <x v="0"/>
    <x v="1"/>
    <x v="0"/>
    <x v="0"/>
    <x v="1"/>
    <x v="0"/>
    <n v="7"/>
    <n v="0"/>
    <n v="1886"/>
    <n v="0.11"/>
    <n v="158424"/>
    <n v="0.10680751173708924"/>
    <n v="1186957"/>
    <n v="-0.23"/>
    <n v="980127"/>
    <n v="-0.27421225207933464"/>
    <n v="48406"/>
    <n v="0.04"/>
    <n v="68122.319999999992"/>
    <n v="274952.32000000001"/>
  </r>
  <r>
    <x v="16"/>
    <x v="16"/>
    <x v="4"/>
    <x v="0"/>
    <x v="0"/>
    <x v="0"/>
    <x v="0"/>
    <x v="1"/>
    <x v="0"/>
    <x v="0"/>
    <x v="1"/>
    <x v="0"/>
    <n v="7"/>
    <n v="0"/>
    <n v="2051"/>
    <n v="0.09"/>
    <n v="172284"/>
    <n v="8.7486744432661689E-2"/>
    <n v="1069493"/>
    <n v="-0.1"/>
    <n v="836255"/>
    <n v="-0.14678914059096426"/>
    <n v="60954"/>
    <n v="0.26"/>
    <n v="74082.12"/>
    <n v="307320.12"/>
  </r>
  <r>
    <x v="16"/>
    <x v="16"/>
    <x v="5"/>
    <x v="0"/>
    <x v="0"/>
    <x v="0"/>
    <x v="0"/>
    <x v="1"/>
    <x v="0"/>
    <x v="0"/>
    <x v="1"/>
    <x v="0"/>
    <n v="7"/>
    <n v="0"/>
    <n v="2167"/>
    <n v="0.06"/>
    <n v="182028"/>
    <n v="5.6557776694295514E-2"/>
    <n v="848557"/>
    <n v="-0.21"/>
    <n v="626323"/>
    <n v="-0.25103825986092754"/>
    <n v="40206"/>
    <n v="-0.34"/>
    <n v="78272.039999999994"/>
    <n v="300506.03999999998"/>
  </r>
  <r>
    <x v="17"/>
    <x v="17"/>
    <x v="0"/>
    <x v="0"/>
    <x v="0"/>
    <x v="0"/>
    <x v="0"/>
    <x v="0"/>
    <x v="0"/>
    <x v="1"/>
    <x v="1"/>
    <x v="0"/>
    <n v="21"/>
    <n v="0"/>
    <n v="1975"/>
    <n v="0"/>
    <n v="497700"/>
    <n v="0"/>
    <n v="2883332"/>
    <n v="0"/>
    <n v="2291007"/>
    <n v="0"/>
    <n v="94625"/>
    <n v="0"/>
    <n v="214011"/>
    <n v="806336"/>
  </r>
  <r>
    <x v="17"/>
    <x v="17"/>
    <x v="1"/>
    <x v="0"/>
    <x v="0"/>
    <x v="0"/>
    <x v="0"/>
    <x v="0"/>
    <x v="0"/>
    <x v="1"/>
    <x v="1"/>
    <x v="0"/>
    <n v="21"/>
    <n v="0"/>
    <n v="1912"/>
    <n v="-3.1898734177215227E-2"/>
    <n v="481824"/>
    <n v="-3.1898734177215227E-2"/>
    <n v="2684538"/>
    <n v="-6.8945927836267185E-2"/>
    <n v="1997675"/>
    <n v="-0.12803627400527362"/>
    <n v="205039"/>
    <n v="1.1668586525759581"/>
    <n v="207184.32"/>
    <n v="894047.32000000007"/>
  </r>
  <r>
    <x v="17"/>
    <x v="17"/>
    <x v="2"/>
    <x v="0"/>
    <x v="0"/>
    <x v="0"/>
    <x v="0"/>
    <x v="0"/>
    <x v="0"/>
    <x v="1"/>
    <x v="1"/>
    <x v="0"/>
    <n v="26"/>
    <n v="0.23809523809523814"/>
    <n v="2050"/>
    <n v="7.2175732217573119E-2"/>
    <n v="639600"/>
    <n v="0.32745566845985263"/>
    <n v="3293875"/>
    <n v="0.22698021037511859"/>
    <n v="2434812"/>
    <n v="0.21882288159985985"/>
    <n v="219463"/>
    <n v="7.0347592409248927E-2"/>
    <n v="275028"/>
    <n v="1134091"/>
  </r>
  <r>
    <x v="17"/>
    <x v="17"/>
    <x v="3"/>
    <x v="0"/>
    <x v="0"/>
    <x v="0"/>
    <x v="0"/>
    <x v="0"/>
    <x v="0"/>
    <x v="1"/>
    <x v="1"/>
    <x v="0"/>
    <n v="27"/>
    <n v="3.8461538461538547E-2"/>
    <n v="2306"/>
    <n v="0.1248780487804879"/>
    <n v="747144"/>
    <n v="0.1681425891181989"/>
    <n v="3529291"/>
    <n v="7.1470836021403361E-2"/>
    <n v="2500174"/>
    <n v="2.6844783087975665E-2"/>
    <n v="281973"/>
    <n v="0.28483161170675692"/>
    <n v="321271.92"/>
    <n v="1350388.92"/>
  </r>
  <r>
    <x v="17"/>
    <x v="17"/>
    <x v="4"/>
    <x v="0"/>
    <x v="0"/>
    <x v="0"/>
    <x v="0"/>
    <x v="0"/>
    <x v="0"/>
    <x v="1"/>
    <x v="1"/>
    <x v="0"/>
    <n v="26"/>
    <n v="-3.703703703703709E-2"/>
    <n v="2557"/>
    <n v="0.1088464874241111"/>
    <n v="797784"/>
    <n v="6.777809900099574E-2"/>
    <n v="4148973"/>
    <n v="0.17558257451709139"/>
    <n v="3130484"/>
    <n v="0.25210645339084392"/>
    <n v="220705"/>
    <n v="-0.21728321505959791"/>
    <n v="343047.12"/>
    <n v="1361536.12"/>
  </r>
  <r>
    <x v="17"/>
    <x v="17"/>
    <x v="5"/>
    <x v="0"/>
    <x v="0"/>
    <x v="0"/>
    <x v="0"/>
    <x v="0"/>
    <x v="0"/>
    <x v="1"/>
    <x v="1"/>
    <x v="0"/>
    <n v="24"/>
    <n v="-7.6923076923076872E-2"/>
    <n v="2745"/>
    <n v="7.3523660539694946E-2"/>
    <n v="790560"/>
    <n v="-9.0550825787431011E-3"/>
    <n v="3374832"/>
    <n v="-0.1865861744581129"/>
    <n v="2302493"/>
    <n v="-0.26449296658280319"/>
    <n v="281779"/>
    <n v="0.2767223216510728"/>
    <n v="339940.8"/>
    <n v="1412279.8"/>
  </r>
  <r>
    <x v="18"/>
    <x v="18"/>
    <x v="0"/>
    <x v="0"/>
    <x v="0"/>
    <x v="0"/>
    <x v="0"/>
    <x v="0"/>
    <x v="0"/>
    <x v="0"/>
    <x v="0"/>
    <x v="0"/>
    <n v="4"/>
    <n v="0"/>
    <n v="825"/>
    <n v="0"/>
    <n v="39600"/>
    <n v="0"/>
    <n v="76508"/>
    <n v="0"/>
    <n v="39617"/>
    <n v="0"/>
    <n v="-2709"/>
    <n v="0"/>
    <n v="17028"/>
    <n v="53919"/>
  </r>
  <r>
    <x v="18"/>
    <x v="18"/>
    <x v="1"/>
    <x v="0"/>
    <x v="0"/>
    <x v="0"/>
    <x v="0"/>
    <x v="0"/>
    <x v="0"/>
    <x v="0"/>
    <x v="0"/>
    <x v="0"/>
    <n v="6"/>
    <n v="0.5"/>
    <n v="915"/>
    <n v="0.1090909090909091"/>
    <n v="65880"/>
    <n v="0.66363636363636358"/>
    <n v="111249"/>
    <n v="0.45408323312594773"/>
    <n v="45369"/>
    <n v="0.14519019612792494"/>
    <n v="0"/>
    <n v="-1"/>
    <n v="28328.399999999998"/>
    <n v="94208.4"/>
  </r>
  <r>
    <x v="18"/>
    <x v="18"/>
    <x v="2"/>
    <x v="0"/>
    <x v="0"/>
    <x v="0"/>
    <x v="0"/>
    <x v="0"/>
    <x v="0"/>
    <x v="0"/>
    <x v="0"/>
    <x v="0"/>
    <n v="8"/>
    <n v="0.33333333333333326"/>
    <n v="1144"/>
    <n v="0.25027322404371583"/>
    <n v="109824"/>
    <n v="0.6670309653916211"/>
    <n v="205766"/>
    <n v="0.84959864807773555"/>
    <n v="93280"/>
    <n v="1.0560294474200447"/>
    <n v="2662"/>
    <n v="0"/>
    <n v="47224.32"/>
    <n v="159710.32"/>
  </r>
  <r>
    <x v="18"/>
    <x v="18"/>
    <x v="3"/>
    <x v="0"/>
    <x v="0"/>
    <x v="0"/>
    <x v="0"/>
    <x v="0"/>
    <x v="0"/>
    <x v="0"/>
    <x v="0"/>
    <x v="0"/>
    <n v="10"/>
    <n v="0.25"/>
    <n v="1415"/>
    <n v="0.2368881118881119"/>
    <n v="169800"/>
    <n v="0.54611013986013979"/>
    <n v="370276"/>
    <n v="0.79950040337081929"/>
    <n v="187120"/>
    <n v="1.0060034305317322"/>
    <n v="13356"/>
    <n v="4.0172802404207362"/>
    <n v="73014"/>
    <n v="256170"/>
  </r>
  <r>
    <x v="18"/>
    <x v="18"/>
    <x v="4"/>
    <x v="0"/>
    <x v="0"/>
    <x v="0"/>
    <x v="0"/>
    <x v="0"/>
    <x v="0"/>
    <x v="0"/>
    <x v="0"/>
    <x v="0"/>
    <n v="12"/>
    <n v="0.19999999999999996"/>
    <n v="1933"/>
    <n v="0.36607773851590109"/>
    <n v="278352"/>
    <n v="0.63929328621908121"/>
    <n v="534736"/>
    <n v="0.44415517073750399"/>
    <n v="205067"/>
    <n v="9.59117144078665E-2"/>
    <n v="51317"/>
    <n v="2.8422431865828091"/>
    <n v="119691.36"/>
    <n v="449360.36"/>
  </r>
  <r>
    <x v="18"/>
    <x v="18"/>
    <x v="5"/>
    <x v="0"/>
    <x v="0"/>
    <x v="0"/>
    <x v="0"/>
    <x v="0"/>
    <x v="0"/>
    <x v="0"/>
    <x v="0"/>
    <x v="0"/>
    <n v="12"/>
    <n v="0"/>
    <n v="2028"/>
    <n v="4.914640455250896E-2"/>
    <n v="292032"/>
    <n v="4.914640455250896E-2"/>
    <n v="514040"/>
    <n v="-3.8703210556237037E-2"/>
    <n v="204686"/>
    <n v="-1.8579293596726609E-3"/>
    <n v="17322"/>
    <n v="-0.66245103961650131"/>
    <n v="125573.75999999999"/>
    <n v="434927.76"/>
  </r>
  <r>
    <x v="19"/>
    <x v="19"/>
    <x v="0"/>
    <x v="0"/>
    <x v="0"/>
    <x v="0"/>
    <x v="0"/>
    <x v="1"/>
    <x v="0"/>
    <x v="0"/>
    <x v="1"/>
    <x v="0"/>
    <n v="6"/>
    <n v="0"/>
    <n v="1883"/>
    <n v="0"/>
    <n v="135576"/>
    <n v="0"/>
    <n v="4843320"/>
    <n v="0"/>
    <n v="4256072"/>
    <n v="0"/>
    <n v="451672"/>
    <n v="0"/>
    <n v="58297.68"/>
    <n v="645545.68000000005"/>
  </r>
  <r>
    <x v="19"/>
    <x v="19"/>
    <x v="1"/>
    <x v="0"/>
    <x v="0"/>
    <x v="0"/>
    <x v="0"/>
    <x v="1"/>
    <x v="0"/>
    <x v="0"/>
    <x v="1"/>
    <x v="0"/>
    <n v="5"/>
    <n v="-0.16666666666666663"/>
    <n v="1962"/>
    <n v="0.04"/>
    <n v="117720"/>
    <n v="-0.13170472650026555"/>
    <n v="4939175"/>
    <n v="0.02"/>
    <n v="4609031"/>
    <n v="8.2930692901811875E-2"/>
    <n v="212424"/>
    <n v="-0.53"/>
    <n v="50619.6"/>
    <n v="380763.6"/>
  </r>
  <r>
    <x v="19"/>
    <x v="19"/>
    <x v="2"/>
    <x v="0"/>
    <x v="0"/>
    <x v="0"/>
    <x v="0"/>
    <x v="1"/>
    <x v="0"/>
    <x v="0"/>
    <x v="1"/>
    <x v="0"/>
    <n v="5"/>
    <n v="0"/>
    <n v="1999"/>
    <n v="0.02"/>
    <n v="119940"/>
    <n v="1.885830784913356E-2"/>
    <n v="4099596"/>
    <n v="-0.17"/>
    <n v="3799927"/>
    <n v="-0.17554752831994402"/>
    <n v="179729"/>
    <n v="-0.15"/>
    <n v="51574.2"/>
    <n v="351243.2"/>
  </r>
  <r>
    <x v="19"/>
    <x v="19"/>
    <x v="3"/>
    <x v="0"/>
    <x v="0"/>
    <x v="0"/>
    <x v="0"/>
    <x v="1"/>
    <x v="0"/>
    <x v="0"/>
    <x v="1"/>
    <x v="0"/>
    <n v="5"/>
    <n v="0"/>
    <n v="2050"/>
    <n v="0.03"/>
    <n v="123000"/>
    <n v="2.5512756378189172E-2"/>
    <n v="3344864"/>
    <n v="-0.18"/>
    <n v="3176114"/>
    <n v="-0.1641644694753347"/>
    <n v="45750"/>
    <n v="-0.75"/>
    <n v="52890"/>
    <n v="221640"/>
  </r>
  <r>
    <x v="19"/>
    <x v="19"/>
    <x v="4"/>
    <x v="0"/>
    <x v="0"/>
    <x v="0"/>
    <x v="0"/>
    <x v="1"/>
    <x v="0"/>
    <x v="0"/>
    <x v="1"/>
    <x v="0"/>
    <n v="5"/>
    <n v="0"/>
    <n v="2129"/>
    <n v="0.04"/>
    <n v="127740"/>
    <n v="3.8536585365853693E-2"/>
    <n v="1037356"/>
    <n v="-0.69"/>
    <n v="1077110"/>
    <n v="-0.66087174452806163"/>
    <n v="-167494"/>
    <n v="-4.66"/>
    <n v="54928.2"/>
    <n v="15174.199999999997"/>
  </r>
  <r>
    <x v="19"/>
    <x v="19"/>
    <x v="5"/>
    <x v="0"/>
    <x v="0"/>
    <x v="0"/>
    <x v="0"/>
    <x v="1"/>
    <x v="0"/>
    <x v="0"/>
    <x v="1"/>
    <x v="0"/>
    <n v="5"/>
    <n v="0"/>
    <n v="2183"/>
    <n v="0.03"/>
    <n v="130980"/>
    <n v="2.5364020666979847E-2"/>
    <n v="6566337"/>
    <n v="5.33"/>
    <n v="6070503"/>
    <n v="4.6359174086212178"/>
    <n v="364854"/>
    <n v="3.18"/>
    <n v="56321.4"/>
    <n v="552155.4"/>
  </r>
  <r>
    <x v="20"/>
    <x v="20"/>
    <x v="0"/>
    <x v="0"/>
    <x v="0"/>
    <x v="0"/>
    <x v="0"/>
    <x v="0"/>
    <x v="1"/>
    <x v="0"/>
    <x v="1"/>
    <x v="0"/>
    <n v="8"/>
    <n v="0"/>
    <n v="1232"/>
    <n v="0"/>
    <n v="118272"/>
    <n v="0"/>
    <n v="289074"/>
    <n v="0"/>
    <n v="121930"/>
    <n v="0"/>
    <n v="48872"/>
    <n v="0"/>
    <n v="50856.959999999999"/>
    <n v="218000.96"/>
  </r>
  <r>
    <x v="20"/>
    <x v="20"/>
    <x v="1"/>
    <x v="0"/>
    <x v="0"/>
    <x v="0"/>
    <x v="0"/>
    <x v="0"/>
    <x v="1"/>
    <x v="0"/>
    <x v="1"/>
    <x v="0"/>
    <n v="10"/>
    <n v="0.25"/>
    <n v="1483"/>
    <n v="0.2"/>
    <n v="177960"/>
    <n v="0.50466720779220786"/>
    <n v="326922"/>
    <n v="0.13"/>
    <n v="98706"/>
    <n v="-0.19046994176986798"/>
    <n v="50256"/>
    <n v="0.03"/>
    <n v="76522.8"/>
    <n v="304738.8"/>
  </r>
  <r>
    <x v="20"/>
    <x v="20"/>
    <x v="2"/>
    <x v="0"/>
    <x v="0"/>
    <x v="0"/>
    <x v="0"/>
    <x v="0"/>
    <x v="1"/>
    <x v="0"/>
    <x v="1"/>
    <x v="0"/>
    <n v="10"/>
    <n v="0"/>
    <n v="1725"/>
    <n v="0.16"/>
    <n v="207000"/>
    <n v="0.16318273769386371"/>
    <n v="422449"/>
    <n v="0.28999999999999998"/>
    <n v="149331"/>
    <n v="0.51288675460458322"/>
    <n v="66118"/>
    <n v="0.32"/>
    <n v="89010"/>
    <n v="362128"/>
  </r>
  <r>
    <x v="20"/>
    <x v="20"/>
    <x v="3"/>
    <x v="0"/>
    <x v="0"/>
    <x v="0"/>
    <x v="0"/>
    <x v="0"/>
    <x v="1"/>
    <x v="0"/>
    <x v="1"/>
    <x v="0"/>
    <n v="10"/>
    <n v="0"/>
    <n v="1968"/>
    <n v="0.14000000000000001"/>
    <n v="236160"/>
    <n v="0.14086956521739125"/>
    <n v="569288"/>
    <n v="0.35"/>
    <n v="329047"/>
    <n v="1.2034741614266293"/>
    <n v="4081"/>
    <n v="-0.94"/>
    <n v="101548.8"/>
    <n v="341789.8"/>
  </r>
  <r>
    <x v="20"/>
    <x v="20"/>
    <x v="4"/>
    <x v="0"/>
    <x v="0"/>
    <x v="0"/>
    <x v="0"/>
    <x v="0"/>
    <x v="1"/>
    <x v="0"/>
    <x v="1"/>
    <x v="0"/>
    <n v="9"/>
    <n v="-9.9999999999999978E-2"/>
    <n v="2187"/>
    <n v="0.11"/>
    <n v="236196"/>
    <n v="1.524390243903273E-4"/>
    <n v="546169"/>
    <n v="-0.04"/>
    <n v="279491"/>
    <n v="-0.15060462487121895"/>
    <n v="30482"/>
    <n v="6.47"/>
    <n v="101564.28"/>
    <n v="368242.28"/>
  </r>
  <r>
    <x v="20"/>
    <x v="20"/>
    <x v="5"/>
    <x v="0"/>
    <x v="0"/>
    <x v="0"/>
    <x v="0"/>
    <x v="0"/>
    <x v="1"/>
    <x v="0"/>
    <x v="1"/>
    <x v="0"/>
    <n v="9"/>
    <n v="0"/>
    <n v="2149"/>
    <n v="-0.02"/>
    <n v="232092"/>
    <n v="-1.7375400091449444E-2"/>
    <n v="532524"/>
    <n v="-0.02"/>
    <n v="280580"/>
    <n v="3.8963687560600313E-3"/>
    <n v="19852"/>
    <n v="-0.35"/>
    <n v="99799.56"/>
    <n v="351743.56"/>
  </r>
  <r>
    <x v="21"/>
    <x v="21"/>
    <x v="0"/>
    <x v="0"/>
    <x v="0"/>
    <x v="0"/>
    <x v="1"/>
    <x v="0"/>
    <x v="0"/>
    <x v="0"/>
    <x v="1"/>
    <x v="0"/>
    <n v="18"/>
    <n v="0"/>
    <n v="3220"/>
    <n v="0"/>
    <n v="695520"/>
    <n v="0"/>
    <n v="8897302"/>
    <n v="0"/>
    <n v="8041136"/>
    <n v="0"/>
    <n v="160646"/>
    <n v="0"/>
    <n v="299073.59999999998"/>
    <n v="1155239.6000000001"/>
  </r>
  <r>
    <x v="21"/>
    <x v="21"/>
    <x v="1"/>
    <x v="0"/>
    <x v="0"/>
    <x v="0"/>
    <x v="1"/>
    <x v="0"/>
    <x v="0"/>
    <x v="0"/>
    <x v="1"/>
    <x v="0"/>
    <n v="18"/>
    <n v="0"/>
    <n v="3348"/>
    <n v="3.9751552795030953E-2"/>
    <n v="723168"/>
    <n v="3.9751552795030953E-2"/>
    <n v="8847434"/>
    <n v="-5.6048451541826916E-3"/>
    <n v="7877994"/>
    <n v="-2.0288426908834811E-2"/>
    <n v="246272"/>
    <n v="0.53301047022646064"/>
    <n v="310962.24"/>
    <n v="1280402.24"/>
  </r>
  <r>
    <x v="21"/>
    <x v="21"/>
    <x v="2"/>
    <x v="0"/>
    <x v="0"/>
    <x v="0"/>
    <x v="1"/>
    <x v="0"/>
    <x v="0"/>
    <x v="0"/>
    <x v="1"/>
    <x v="0"/>
    <n v="19"/>
    <n v="5.555555555555558E-2"/>
    <n v="3357"/>
    <n v="2.6881720430107499E-3"/>
    <n v="765396"/>
    <n v="5.8393070489844767E-2"/>
    <n v="8730690"/>
    <n v="-1.319523830299274E-2"/>
    <n v="7853907"/>
    <n v="-3.0575042326764779E-3"/>
    <n v="111387"/>
    <n v="-0.54770741294178793"/>
    <n v="329120.27999999997"/>
    <n v="1205903.28"/>
  </r>
  <r>
    <x v="21"/>
    <x v="21"/>
    <x v="3"/>
    <x v="0"/>
    <x v="0"/>
    <x v="0"/>
    <x v="1"/>
    <x v="0"/>
    <x v="0"/>
    <x v="0"/>
    <x v="1"/>
    <x v="0"/>
    <n v="63"/>
    <n v="2.3157894736842106"/>
    <n v="3112"/>
    <n v="-7.2981829014000632E-2"/>
    <n v="2352672"/>
    <n v="2.0737970932693663"/>
    <n v="29179075"/>
    <n v="2.3421270254699231"/>
    <n v="26430813"/>
    <n v="2.3653076105943196"/>
    <n v="395590"/>
    <n v="2.55149164624238"/>
    <n v="1011648.96"/>
    <n v="3759910.96"/>
  </r>
  <r>
    <x v="21"/>
    <x v="21"/>
    <x v="4"/>
    <x v="0"/>
    <x v="0"/>
    <x v="0"/>
    <x v="1"/>
    <x v="0"/>
    <x v="0"/>
    <x v="0"/>
    <x v="1"/>
    <x v="0"/>
    <n v="68"/>
    <n v="7.9365079365079305E-2"/>
    <n v="3397"/>
    <n v="9.1580976863753216E-2"/>
    <n v="2771952"/>
    <n v="0.17821438772595588"/>
    <n v="31485566"/>
    <n v="7.9046062974923004E-2"/>
    <n v="28209333"/>
    <n v="6.7289644098348367E-2"/>
    <n v="504281"/>
    <n v="0.27475669253520052"/>
    <n v="1191939.3599999999"/>
    <n v="4468172.3599999994"/>
  </r>
  <r>
    <x v="21"/>
    <x v="21"/>
    <x v="5"/>
    <x v="0"/>
    <x v="0"/>
    <x v="0"/>
    <x v="1"/>
    <x v="0"/>
    <x v="0"/>
    <x v="0"/>
    <x v="1"/>
    <x v="0"/>
    <n v="63"/>
    <n v="-7.3529411764705843E-2"/>
    <n v="3711"/>
    <n v="9.2434501030320915E-2"/>
    <n v="2805516"/>
    <n v="1.2108434778091315E-2"/>
    <n v="36638811"/>
    <n v="0.16367007663130459"/>
    <n v="31943676"/>
    <n v="0.13237969859124288"/>
    <n v="1889619"/>
    <n v="2.7471548600879272"/>
    <n v="1206371.8799999999"/>
    <n v="5901506.8799999999"/>
  </r>
  <r>
    <x v="22"/>
    <x v="22"/>
    <x v="0"/>
    <x v="0"/>
    <x v="0"/>
    <x v="0"/>
    <x v="1"/>
    <x v="0"/>
    <x v="0"/>
    <x v="0"/>
    <x v="0"/>
    <x v="0"/>
    <n v="14"/>
    <n v="0"/>
    <n v="1748"/>
    <n v="0"/>
    <n v="293664"/>
    <n v="0"/>
    <n v="4126272"/>
    <n v="0"/>
    <n v="3605318"/>
    <n v="0"/>
    <n v="227290"/>
    <n v="0"/>
    <n v="126275.52"/>
    <n v="647229.52"/>
  </r>
  <r>
    <x v="22"/>
    <x v="22"/>
    <x v="1"/>
    <x v="0"/>
    <x v="0"/>
    <x v="0"/>
    <x v="1"/>
    <x v="0"/>
    <x v="0"/>
    <x v="0"/>
    <x v="0"/>
    <x v="0"/>
    <n v="14"/>
    <n v="0"/>
    <n v="2064"/>
    <n v="0.18"/>
    <n v="346752"/>
    <n v="0.18077803203661325"/>
    <n v="4392485"/>
    <n v="0.06"/>
    <n v="3906636"/>
    <n v="8.3575984143423598E-2"/>
    <n v="139097"/>
    <n v="-0.39"/>
    <n v="149103.35999999999"/>
    <n v="634952.36"/>
  </r>
  <r>
    <x v="22"/>
    <x v="22"/>
    <x v="2"/>
    <x v="0"/>
    <x v="0"/>
    <x v="0"/>
    <x v="1"/>
    <x v="0"/>
    <x v="0"/>
    <x v="0"/>
    <x v="0"/>
    <x v="0"/>
    <n v="15"/>
    <n v="7.1428571428571397E-2"/>
    <n v="2302"/>
    <n v="0.12"/>
    <n v="414360"/>
    <n v="0.19497508305647848"/>
    <n v="4915295"/>
    <n v="0.12"/>
    <n v="4327839"/>
    <n v="0.10781731392430727"/>
    <n v="173096"/>
    <n v="0.24"/>
    <n v="178174.8"/>
    <n v="765630.8"/>
  </r>
  <r>
    <x v="22"/>
    <x v="22"/>
    <x v="3"/>
    <x v="0"/>
    <x v="0"/>
    <x v="0"/>
    <x v="1"/>
    <x v="0"/>
    <x v="0"/>
    <x v="0"/>
    <x v="0"/>
    <x v="0"/>
    <n v="21"/>
    <n v="0.39999999999999991"/>
    <n v="2523"/>
    <n v="0.1"/>
    <n v="635796"/>
    <n v="0.53440486533449172"/>
    <n v="7618331"/>
    <n v="0.55000000000000004"/>
    <n v="6724591"/>
    <n v="0.55379878964998475"/>
    <n v="257944"/>
    <n v="0.49"/>
    <n v="273392.27999999997"/>
    <n v="1167132.28"/>
  </r>
  <r>
    <x v="22"/>
    <x v="22"/>
    <x v="4"/>
    <x v="0"/>
    <x v="0"/>
    <x v="0"/>
    <x v="1"/>
    <x v="0"/>
    <x v="0"/>
    <x v="0"/>
    <x v="0"/>
    <x v="0"/>
    <n v="25"/>
    <n v="0.19047619047619047"/>
    <n v="2684"/>
    <n v="0.06"/>
    <n v="805200"/>
    <n v="0.26644395372100482"/>
    <n v="5004244"/>
    <n v="-0.34"/>
    <n v="4125374"/>
    <n v="-0.38652417671201122"/>
    <n v="73670"/>
    <n v="-0.71"/>
    <n v="346236"/>
    <n v="1225106"/>
  </r>
  <r>
    <x v="22"/>
    <x v="22"/>
    <x v="5"/>
    <x v="0"/>
    <x v="0"/>
    <x v="0"/>
    <x v="1"/>
    <x v="0"/>
    <x v="0"/>
    <x v="0"/>
    <x v="0"/>
    <x v="0"/>
    <n v="23"/>
    <n v="-7.999999999999996E-2"/>
    <n v="3002"/>
    <n v="0.12"/>
    <n v="828552"/>
    <n v="2.9001490312965617E-2"/>
    <n v="3893452"/>
    <n v="-0.22"/>
    <n v="3280462"/>
    <n v="-0.20480858220369835"/>
    <n v="-215562"/>
    <n v="-3.93"/>
    <n v="356277.36"/>
    <n v="969267.36"/>
  </r>
  <r>
    <x v="23"/>
    <x v="23"/>
    <x v="0"/>
    <x v="0"/>
    <x v="0"/>
    <x v="0"/>
    <x v="0"/>
    <x v="0"/>
    <x v="0"/>
    <x v="0"/>
    <x v="0"/>
    <x v="0"/>
    <n v="0"/>
    <n v="0"/>
    <n v="0"/>
    <n v="0"/>
    <n v="0"/>
    <n v="0"/>
    <n v="0"/>
    <n v="0"/>
    <n v="0"/>
    <n v="0"/>
    <n v="0"/>
    <n v="0"/>
    <n v="0"/>
    <n v="0"/>
  </r>
  <r>
    <x v="23"/>
    <x v="23"/>
    <x v="1"/>
    <x v="0"/>
    <x v="0"/>
    <x v="0"/>
    <x v="0"/>
    <x v="0"/>
    <x v="0"/>
    <x v="0"/>
    <x v="0"/>
    <x v="0"/>
    <n v="0"/>
    <n v="0"/>
    <n v="0"/>
    <n v="0"/>
    <n v="0"/>
    <n v="0"/>
    <n v="0"/>
    <n v="0"/>
    <n v="0"/>
    <n v="0"/>
    <n v="0"/>
    <n v="0"/>
    <n v="0"/>
    <n v="0"/>
  </r>
  <r>
    <x v="23"/>
    <x v="23"/>
    <x v="2"/>
    <x v="0"/>
    <x v="0"/>
    <x v="0"/>
    <x v="0"/>
    <x v="0"/>
    <x v="0"/>
    <x v="0"/>
    <x v="0"/>
    <x v="0"/>
    <n v="0"/>
    <n v="0"/>
    <n v="0"/>
    <n v="0"/>
    <n v="0"/>
    <n v="0"/>
    <n v="0"/>
    <n v="0"/>
    <n v="0"/>
    <n v="0"/>
    <n v="0"/>
    <n v="0"/>
    <n v="0"/>
    <n v="0"/>
  </r>
  <r>
    <x v="23"/>
    <x v="23"/>
    <x v="3"/>
    <x v="0"/>
    <x v="0"/>
    <x v="0"/>
    <x v="0"/>
    <x v="0"/>
    <x v="0"/>
    <x v="0"/>
    <x v="0"/>
    <x v="0"/>
    <n v="0"/>
    <n v="0"/>
    <n v="0"/>
    <n v="0"/>
    <n v="0"/>
    <n v="0"/>
    <n v="0"/>
    <n v="0"/>
    <n v="0"/>
    <n v="0"/>
    <n v="0"/>
    <n v="0"/>
    <n v="0"/>
    <n v="0"/>
  </r>
  <r>
    <x v="23"/>
    <x v="23"/>
    <x v="4"/>
    <x v="0"/>
    <x v="0"/>
    <x v="0"/>
    <x v="0"/>
    <x v="0"/>
    <x v="0"/>
    <x v="0"/>
    <x v="0"/>
    <x v="0"/>
    <n v="0"/>
    <n v="0"/>
    <n v="0"/>
    <n v="0"/>
    <n v="0"/>
    <n v="0"/>
    <n v="9309"/>
    <n v="0"/>
    <n v="0"/>
    <n v="0"/>
    <n v="2289"/>
    <n v="0"/>
    <n v="0"/>
    <n v="9309"/>
  </r>
  <r>
    <x v="23"/>
    <x v="23"/>
    <x v="5"/>
    <x v="0"/>
    <x v="0"/>
    <x v="0"/>
    <x v="0"/>
    <x v="0"/>
    <x v="0"/>
    <x v="0"/>
    <x v="0"/>
    <x v="0"/>
    <n v="0"/>
    <n v="0"/>
    <n v="0"/>
    <n v="0"/>
    <n v="0"/>
    <n v="0"/>
    <n v="10169"/>
    <n v="9.2383714684713736E-2"/>
    <n v="0"/>
    <n v="0"/>
    <n v="-14089"/>
    <n v="-7.1550895587592844"/>
    <n v="0"/>
    <n v="10169"/>
  </r>
  <r>
    <x v="24"/>
    <x v="24"/>
    <x v="0"/>
    <x v="0"/>
    <x v="0"/>
    <x v="0"/>
    <x v="0"/>
    <x v="0"/>
    <x v="1"/>
    <x v="0"/>
    <x v="1"/>
    <x v="0"/>
    <n v="20"/>
    <n v="0"/>
    <n v="2654"/>
    <n v="0"/>
    <n v="636960"/>
    <n v="0"/>
    <n v="1758089"/>
    <n v="0"/>
    <n v="1118561"/>
    <n v="0"/>
    <n v="2568"/>
    <n v="0"/>
    <n v="273892.8"/>
    <n v="913420.80000000005"/>
  </r>
  <r>
    <x v="24"/>
    <x v="24"/>
    <x v="1"/>
    <x v="0"/>
    <x v="0"/>
    <x v="0"/>
    <x v="0"/>
    <x v="0"/>
    <x v="1"/>
    <x v="0"/>
    <x v="1"/>
    <x v="0"/>
    <n v="18"/>
    <n v="-9.9999999999999978E-2"/>
    <n v="2194"/>
    <n v="-0.17332328560663149"/>
    <n v="473904"/>
    <n v="-0.2559909570459683"/>
    <n v="981515"/>
    <n v="-0.44171483923737648"/>
    <n v="568325"/>
    <n v="-0.49191416471698901"/>
    <n v="-60714"/>
    <n v="-24.642523364485982"/>
    <n v="203778.72"/>
    <n v="616968.72"/>
  </r>
  <r>
    <x v="24"/>
    <x v="24"/>
    <x v="2"/>
    <x v="0"/>
    <x v="0"/>
    <x v="0"/>
    <x v="0"/>
    <x v="0"/>
    <x v="1"/>
    <x v="0"/>
    <x v="1"/>
    <x v="0"/>
    <n v="19"/>
    <n v="5.555555555555558E-2"/>
    <n v="2888"/>
    <n v="0.31631722880583402"/>
    <n v="658464"/>
    <n v="0.38944596373949159"/>
    <n v="1573797"/>
    <n v="0.60343652414889237"/>
    <n v="826265"/>
    <n v="0.45386002727312724"/>
    <n v="89068"/>
    <n v="-2.467009256514149"/>
    <n v="283139.52"/>
    <n v="1030671.52"/>
  </r>
  <r>
    <x v="24"/>
    <x v="24"/>
    <x v="3"/>
    <x v="0"/>
    <x v="0"/>
    <x v="0"/>
    <x v="0"/>
    <x v="0"/>
    <x v="1"/>
    <x v="0"/>
    <x v="1"/>
    <x v="0"/>
    <n v="22"/>
    <n v="0.15789473684210531"/>
    <n v="2866"/>
    <n v="-7.6177285318559376E-3"/>
    <n v="756624"/>
    <n v="0.14907420906837721"/>
    <n v="1401240"/>
    <n v="-0.1096437469381375"/>
    <n v="599781"/>
    <n v="-0.27410576509957463"/>
    <n v="44835"/>
    <n v="-0.49662055957246148"/>
    <n v="325348.32"/>
    <n v="1126807.32"/>
  </r>
  <r>
    <x v="24"/>
    <x v="24"/>
    <x v="4"/>
    <x v="0"/>
    <x v="0"/>
    <x v="0"/>
    <x v="0"/>
    <x v="0"/>
    <x v="1"/>
    <x v="0"/>
    <x v="1"/>
    <x v="0"/>
    <n v="15"/>
    <n v="-0.31818181818181823"/>
    <n v="3251"/>
    <n v="0.13433356594556869"/>
    <n v="585180"/>
    <n v="-0.22659075049165767"/>
    <n v="1023984"/>
    <n v="-0.26923011047358059"/>
    <n v="676255"/>
    <n v="0.12750320533661452"/>
    <n v="-237451"/>
    <n v="-6.2961079513772722"/>
    <n v="251627.4"/>
    <n v="599356.4"/>
  </r>
  <r>
    <x v="24"/>
    <x v="24"/>
    <x v="5"/>
    <x v="0"/>
    <x v="0"/>
    <x v="0"/>
    <x v="0"/>
    <x v="0"/>
    <x v="1"/>
    <x v="0"/>
    <x v="1"/>
    <x v="0"/>
    <n v="10"/>
    <n v="-0.33333333333333337"/>
    <n v="3475"/>
    <n v="6.8901876345739854E-2"/>
    <n v="417000"/>
    <n v="-0.28739874910284013"/>
    <n v="970809"/>
    <n v="-5.192952233628656E-2"/>
    <n v="508399"/>
    <n v="-0.24821406126387235"/>
    <n v="45410"/>
    <n v="-1.1912394557192849"/>
    <n v="179310"/>
    <n v="641720"/>
  </r>
  <r>
    <x v="25"/>
    <x v="25"/>
    <x v="0"/>
    <x v="0"/>
    <x v="0"/>
    <x v="0"/>
    <x v="0"/>
    <x v="0"/>
    <x v="0"/>
    <x v="1"/>
    <x v="1"/>
    <x v="0"/>
    <n v="1"/>
    <n v="0"/>
    <n v="0"/>
    <n v="0"/>
    <n v="0"/>
    <n v="0"/>
    <n v="64811"/>
    <n v="0"/>
    <n v="0"/>
    <n v="0"/>
    <n v="5224"/>
    <n v="0"/>
    <n v="0"/>
    <n v="64811"/>
  </r>
  <r>
    <x v="25"/>
    <x v="25"/>
    <x v="1"/>
    <x v="0"/>
    <x v="0"/>
    <x v="0"/>
    <x v="0"/>
    <x v="0"/>
    <x v="0"/>
    <x v="1"/>
    <x v="1"/>
    <x v="0"/>
    <n v="2"/>
    <n v="1"/>
    <n v="0"/>
    <n v="0"/>
    <n v="0"/>
    <n v="0"/>
    <n v="17787"/>
    <n v="-0.72555584700128062"/>
    <n v="0"/>
    <n v="0"/>
    <n v="-4123"/>
    <n v="-1.789241960183767"/>
    <n v="0"/>
    <n v="17787"/>
  </r>
  <r>
    <x v="25"/>
    <x v="25"/>
    <x v="2"/>
    <x v="0"/>
    <x v="0"/>
    <x v="0"/>
    <x v="0"/>
    <x v="0"/>
    <x v="0"/>
    <x v="1"/>
    <x v="1"/>
    <x v="0"/>
    <n v="1"/>
    <n v="-0.5"/>
    <n v="0"/>
    <n v="0"/>
    <n v="0"/>
    <n v="0"/>
    <n v="31519"/>
    <n v="0.77202451228425262"/>
    <n v="0"/>
    <n v="0"/>
    <n v="11349"/>
    <n v="-3.7526073247635221"/>
    <n v="0"/>
    <n v="31519"/>
  </r>
  <r>
    <x v="25"/>
    <x v="25"/>
    <x v="3"/>
    <x v="0"/>
    <x v="0"/>
    <x v="0"/>
    <x v="0"/>
    <x v="0"/>
    <x v="0"/>
    <x v="1"/>
    <x v="1"/>
    <x v="0"/>
    <n v="1"/>
    <n v="0"/>
    <n v="0"/>
    <n v="0"/>
    <n v="0"/>
    <n v="0"/>
    <n v="36262"/>
    <n v="0.1504806624575652"/>
    <n v="0"/>
    <n v="0"/>
    <n v="-1098"/>
    <n v="-1.0967486122125301"/>
    <n v="0"/>
    <n v="36262"/>
  </r>
  <r>
    <x v="25"/>
    <x v="25"/>
    <x v="4"/>
    <x v="0"/>
    <x v="0"/>
    <x v="0"/>
    <x v="0"/>
    <x v="0"/>
    <x v="0"/>
    <x v="1"/>
    <x v="1"/>
    <x v="0"/>
    <n v="1"/>
    <n v="0"/>
    <n v="0"/>
    <n v="0"/>
    <n v="0"/>
    <n v="0"/>
    <n v="25807"/>
    <n v="-0.28831834978765652"/>
    <n v="0"/>
    <n v="0"/>
    <n v="1644"/>
    <n v="-2.4972677595628419"/>
    <n v="0"/>
    <n v="25807"/>
  </r>
  <r>
    <x v="25"/>
    <x v="25"/>
    <x v="5"/>
    <x v="0"/>
    <x v="0"/>
    <x v="0"/>
    <x v="0"/>
    <x v="0"/>
    <x v="0"/>
    <x v="1"/>
    <x v="1"/>
    <x v="0"/>
    <n v="1"/>
    <n v="0"/>
    <n v="0"/>
    <n v="0"/>
    <n v="0"/>
    <n v="0"/>
    <n v="16127"/>
    <n v="-0.37509202929437752"/>
    <n v="0"/>
    <n v="0"/>
    <n v="-1197"/>
    <n v="-1.728102189781022"/>
    <n v="0"/>
    <n v="16127"/>
  </r>
  <r>
    <x v="26"/>
    <x v="26"/>
    <x v="0"/>
    <x v="0"/>
    <x v="0"/>
    <x v="0"/>
    <x v="0"/>
    <x v="0"/>
    <x v="0"/>
    <x v="0"/>
    <x v="0"/>
    <x v="0"/>
    <n v="5"/>
    <n v="0"/>
    <n v="1415"/>
    <n v="0"/>
    <n v="84900"/>
    <n v="0"/>
    <n v="196226"/>
    <n v="0"/>
    <n v="110790"/>
    <n v="0"/>
    <n v="536"/>
    <n v="0"/>
    <n v="36507"/>
    <n v="121943"/>
  </r>
  <r>
    <x v="26"/>
    <x v="26"/>
    <x v="1"/>
    <x v="0"/>
    <x v="0"/>
    <x v="0"/>
    <x v="0"/>
    <x v="0"/>
    <x v="0"/>
    <x v="0"/>
    <x v="0"/>
    <x v="0"/>
    <n v="5"/>
    <n v="0"/>
    <n v="1096"/>
    <n v="-0.22544169611307421"/>
    <n v="65760"/>
    <n v="-0.22544169611307419"/>
    <n v="99713"/>
    <n v="-0.49184613659759668"/>
    <n v="55120"/>
    <n v="-0.50248217348136115"/>
    <n v="-21167"/>
    <n v="-40.490671641791053"/>
    <n v="28276.799999999999"/>
    <n v="72869.8"/>
  </r>
  <r>
    <x v="26"/>
    <x v="26"/>
    <x v="2"/>
    <x v="0"/>
    <x v="0"/>
    <x v="0"/>
    <x v="0"/>
    <x v="0"/>
    <x v="0"/>
    <x v="0"/>
    <x v="0"/>
    <x v="0"/>
    <n v="7"/>
    <n v="0.39999999999999991"/>
    <n v="1333"/>
    <n v="0.21624087591240879"/>
    <n v="111972"/>
    <n v="0.70273722627737234"/>
    <n v="416339"/>
    <n v="3.1753733214325108"/>
    <n v="296029"/>
    <n v="4.3706277213352687"/>
    <n v="8338"/>
    <n v="-1.393915056455804"/>
    <n v="48147.96"/>
    <n v="168457.96"/>
  </r>
  <r>
    <x v="26"/>
    <x v="26"/>
    <x v="3"/>
    <x v="0"/>
    <x v="0"/>
    <x v="0"/>
    <x v="0"/>
    <x v="0"/>
    <x v="0"/>
    <x v="0"/>
    <x v="0"/>
    <x v="0"/>
    <n v="6"/>
    <n v="-0.1428571428571429"/>
    <n v="1535"/>
    <n v="0.15153788447111771"/>
    <n v="110520"/>
    <n v="-1.2967527596184802E-2"/>
    <n v="265483"/>
    <n v="-0.3623393436598541"/>
    <n v="153489"/>
    <n v="-0.48150687939357295"/>
    <n v="1474"/>
    <n v="-0.82321899736147763"/>
    <n v="47523.6"/>
    <n v="159517.6"/>
  </r>
  <r>
    <x v="26"/>
    <x v="26"/>
    <x v="4"/>
    <x v="0"/>
    <x v="0"/>
    <x v="0"/>
    <x v="0"/>
    <x v="0"/>
    <x v="0"/>
    <x v="0"/>
    <x v="0"/>
    <x v="0"/>
    <n v="4"/>
    <n v="-0.33333333333333337"/>
    <n v="1735"/>
    <n v="0.13029315960912061"/>
    <n v="83280"/>
    <n v="-0.24647122692725298"/>
    <n v="197038"/>
    <n v="-0.25781311797742218"/>
    <n v="112280"/>
    <n v="-0.26848178045332238"/>
    <n v="1478"/>
    <n v="2.7137042062415069E-3"/>
    <n v="35810.400000000001"/>
    <n v="120568.4"/>
  </r>
  <r>
    <x v="26"/>
    <x v="26"/>
    <x v="5"/>
    <x v="0"/>
    <x v="0"/>
    <x v="0"/>
    <x v="0"/>
    <x v="0"/>
    <x v="0"/>
    <x v="0"/>
    <x v="0"/>
    <x v="0"/>
    <n v="2"/>
    <n v="-0.5"/>
    <n v="0"/>
    <n v="0"/>
    <n v="0"/>
    <n v="-1"/>
    <n v="46405"/>
    <n v="-0.76448705325876221"/>
    <n v="0"/>
    <n v="-1"/>
    <n v="-48434"/>
    <n v="-33.769959404600812"/>
    <n v="0"/>
    <n v="46405"/>
  </r>
  <r>
    <x v="27"/>
    <x v="27"/>
    <x v="0"/>
    <x v="0"/>
    <x v="0"/>
    <x v="0"/>
    <x v="0"/>
    <x v="0"/>
    <x v="0"/>
    <x v="0"/>
    <x v="0"/>
    <x v="0"/>
    <n v="16"/>
    <n v="0"/>
    <n v="2280"/>
    <n v="0"/>
    <n v="437760"/>
    <n v="0"/>
    <n v="531305"/>
    <n v="0"/>
    <n v="69662"/>
    <n v="0"/>
    <n v="23883"/>
    <n v="0"/>
    <n v="188236.79999999999"/>
    <n v="649879.80000000005"/>
  </r>
  <r>
    <x v="27"/>
    <x v="27"/>
    <x v="1"/>
    <x v="0"/>
    <x v="0"/>
    <x v="0"/>
    <x v="0"/>
    <x v="0"/>
    <x v="0"/>
    <x v="0"/>
    <x v="0"/>
    <x v="0"/>
    <n v="18"/>
    <n v="0.125"/>
    <n v="2496"/>
    <n v="0.09"/>
    <n v="539136"/>
    <n v="0.23157894736842111"/>
    <n v="647894"/>
    <n v="0.22"/>
    <n v="98366"/>
    <n v="0.41204673997301255"/>
    <n v="10392"/>
    <n v="-0.56000000000000005"/>
    <n v="231828.48000000001"/>
    <n v="781356.48"/>
  </r>
  <r>
    <x v="27"/>
    <x v="27"/>
    <x v="2"/>
    <x v="0"/>
    <x v="0"/>
    <x v="0"/>
    <x v="0"/>
    <x v="0"/>
    <x v="0"/>
    <x v="0"/>
    <x v="0"/>
    <x v="0"/>
    <n v="20"/>
    <n v="0.11111111111111116"/>
    <n v="2709"/>
    <n v="0.09"/>
    <n v="650160"/>
    <n v="0.20592948717948723"/>
    <n v="784600"/>
    <n v="0.21"/>
    <n v="125040"/>
    <n v="0.27117093304597106"/>
    <n v="9400"/>
    <n v="-0.1"/>
    <n v="279568.8"/>
    <n v="939128.8"/>
  </r>
  <r>
    <x v="27"/>
    <x v="27"/>
    <x v="3"/>
    <x v="0"/>
    <x v="0"/>
    <x v="0"/>
    <x v="0"/>
    <x v="0"/>
    <x v="0"/>
    <x v="0"/>
    <x v="0"/>
    <x v="0"/>
    <n v="19"/>
    <n v="-5.0000000000000044E-2"/>
    <n v="2958"/>
    <n v="0.09"/>
    <n v="674424"/>
    <n v="3.7320044296788479E-2"/>
    <n v="831603"/>
    <n v="0.06"/>
    <n v="152127"/>
    <n v="0.21662667946257197"/>
    <n v="5052"/>
    <n v="-0.46"/>
    <n v="290002.32"/>
    <n v="969478.32000000007"/>
  </r>
  <r>
    <x v="27"/>
    <x v="27"/>
    <x v="4"/>
    <x v="0"/>
    <x v="0"/>
    <x v="0"/>
    <x v="0"/>
    <x v="0"/>
    <x v="0"/>
    <x v="0"/>
    <x v="0"/>
    <x v="0"/>
    <n v="20"/>
    <n v="5.2631578947368363E-2"/>
    <n v="3278"/>
    <n v="0.11"/>
    <n v="786720"/>
    <n v="0.16650653001672544"/>
    <n v="971641"/>
    <n v="0.17"/>
    <n v="177911"/>
    <n v="0.16948996562082996"/>
    <n v="7010"/>
    <n v="0.39"/>
    <n v="338289.6"/>
    <n v="1132019.6000000001"/>
  </r>
  <r>
    <x v="27"/>
    <x v="27"/>
    <x v="5"/>
    <x v="0"/>
    <x v="0"/>
    <x v="0"/>
    <x v="0"/>
    <x v="0"/>
    <x v="0"/>
    <x v="0"/>
    <x v="0"/>
    <x v="0"/>
    <n v="20"/>
    <n v="0"/>
    <n v="3596"/>
    <n v="0.1"/>
    <n v="863040"/>
    <n v="9.7010372178157445E-2"/>
    <n v="1100235"/>
    <n v="0.13"/>
    <n v="230102"/>
    <n v="0.29335454243975922"/>
    <n v="7093"/>
    <n v="0.01"/>
    <n v="371107.2"/>
    <n v="1241240.2"/>
  </r>
  <r>
    <x v="28"/>
    <x v="28"/>
    <x v="0"/>
    <x v="0"/>
    <x v="0"/>
    <x v="0"/>
    <x v="0"/>
    <x v="0"/>
    <x v="0"/>
    <x v="0"/>
    <x v="0"/>
    <x v="0"/>
    <n v="6"/>
    <n v="0"/>
    <n v="1432"/>
    <n v="0"/>
    <n v="103104"/>
    <n v="0"/>
    <n v="235559"/>
    <n v="0"/>
    <n v="131724"/>
    <n v="0"/>
    <n v="731"/>
    <n v="0"/>
    <n v="44334.720000000001"/>
    <n v="148169.72"/>
  </r>
  <r>
    <x v="28"/>
    <x v="28"/>
    <x v="1"/>
    <x v="0"/>
    <x v="0"/>
    <x v="0"/>
    <x v="0"/>
    <x v="0"/>
    <x v="0"/>
    <x v="0"/>
    <x v="0"/>
    <x v="0"/>
    <n v="6"/>
    <n v="0"/>
    <n v="1559"/>
    <n v="0.09"/>
    <n v="112248"/>
    <n v="8.8687150837988726E-2"/>
    <n v="338165"/>
    <n v="0.44"/>
    <n v="182452"/>
    <n v="0.3851082566578603"/>
    <n v="43465"/>
    <n v="58.46"/>
    <n v="48266.64"/>
    <n v="203979.64"/>
  </r>
  <r>
    <x v="28"/>
    <x v="28"/>
    <x v="2"/>
    <x v="0"/>
    <x v="0"/>
    <x v="0"/>
    <x v="0"/>
    <x v="0"/>
    <x v="0"/>
    <x v="0"/>
    <x v="0"/>
    <x v="0"/>
    <n v="8"/>
    <n v="0.33333333333333326"/>
    <n v="1534"/>
    <n v="-0.02"/>
    <n v="147264"/>
    <n v="0.31195210605088741"/>
    <n v="382359"/>
    <n v="0.13"/>
    <n v="205116"/>
    <n v="0.12421897266130277"/>
    <n v="29979"/>
    <n v="-0.31"/>
    <n v="63323.519999999997"/>
    <n v="240566.52"/>
  </r>
  <r>
    <x v="28"/>
    <x v="28"/>
    <x v="3"/>
    <x v="0"/>
    <x v="0"/>
    <x v="0"/>
    <x v="0"/>
    <x v="0"/>
    <x v="0"/>
    <x v="0"/>
    <x v="0"/>
    <x v="0"/>
    <n v="9"/>
    <n v="0.125"/>
    <n v="1663"/>
    <n v="0.08"/>
    <n v="179604"/>
    <n v="0.21960560625814862"/>
    <n v="342212"/>
    <n v="-0.1"/>
    <n v="161831"/>
    <n v="-0.21102693110240056"/>
    <n v="777"/>
    <n v="-0.97"/>
    <n v="77229.72"/>
    <n v="257610.72"/>
  </r>
  <r>
    <x v="28"/>
    <x v="28"/>
    <x v="4"/>
    <x v="0"/>
    <x v="0"/>
    <x v="0"/>
    <x v="0"/>
    <x v="0"/>
    <x v="0"/>
    <x v="0"/>
    <x v="0"/>
    <x v="0"/>
    <n v="10"/>
    <n v="0.11111111111111116"/>
    <n v="2037"/>
    <n v="0.22"/>
    <n v="244440"/>
    <n v="0.36099418721186605"/>
    <n v="634289"/>
    <n v="0.85"/>
    <n v="336967"/>
    <n v="1.0822153975443518"/>
    <n v="52882"/>
    <n v="67.06"/>
    <n v="105109.2"/>
    <n v="402431.2"/>
  </r>
  <r>
    <x v="28"/>
    <x v="28"/>
    <x v="5"/>
    <x v="0"/>
    <x v="0"/>
    <x v="0"/>
    <x v="0"/>
    <x v="0"/>
    <x v="0"/>
    <x v="0"/>
    <x v="0"/>
    <x v="0"/>
    <n v="11"/>
    <n v="0.10000000000000009"/>
    <n v="2380"/>
    <n v="0.17"/>
    <n v="314160"/>
    <n v="0.2852233676975946"/>
    <n v="712632"/>
    <n v="0.12"/>
    <n v="258953"/>
    <n v="-0.23151821988503329"/>
    <n v="139519"/>
    <n v="1.64"/>
    <n v="135088.79999999999"/>
    <n v="588767.80000000005"/>
  </r>
  <r>
    <x v="29"/>
    <x v="29"/>
    <x v="0"/>
    <x v="0"/>
    <x v="0"/>
    <x v="0"/>
    <x v="0"/>
    <x v="0"/>
    <x v="0"/>
    <x v="0"/>
    <x v="0"/>
    <x v="0"/>
    <n v="29"/>
    <n v="0"/>
    <n v="1831"/>
    <n v="0"/>
    <n v="637188"/>
    <n v="0"/>
    <n v="1273621"/>
    <n v="0"/>
    <n v="622432"/>
    <n v="0"/>
    <n v="14001"/>
    <n v="0"/>
    <n v="273990.83999999997"/>
    <n v="925179.84"/>
  </r>
  <r>
    <x v="29"/>
    <x v="29"/>
    <x v="1"/>
    <x v="0"/>
    <x v="0"/>
    <x v="0"/>
    <x v="0"/>
    <x v="0"/>
    <x v="0"/>
    <x v="0"/>
    <x v="0"/>
    <x v="0"/>
    <n v="25"/>
    <n v="-0.13793103448275867"/>
    <n v="2014"/>
    <n v="9.9945385035499656E-2"/>
    <n v="604200"/>
    <n v="-5.1771219796982959E-2"/>
    <n v="1227723"/>
    <n v="-3.6037408302783902E-2"/>
    <n v="505753"/>
    <n v="-0.18745662176751843"/>
    <n v="117770"/>
    <n v="7.4115420327119486"/>
    <n v="259806"/>
    <n v="981776"/>
  </r>
  <r>
    <x v="29"/>
    <x v="29"/>
    <x v="2"/>
    <x v="0"/>
    <x v="0"/>
    <x v="0"/>
    <x v="0"/>
    <x v="0"/>
    <x v="0"/>
    <x v="0"/>
    <x v="0"/>
    <x v="0"/>
    <n v="25"/>
    <n v="0"/>
    <n v="2475"/>
    <n v="0.22889771598808339"/>
    <n v="742500"/>
    <n v="0.22889771598808339"/>
    <n v="1618267"/>
    <n v="0.31810432809355199"/>
    <n v="842121"/>
    <n v="0.66508354868878672"/>
    <n v="33646"/>
    <n v="-0.71430754861170076"/>
    <n v="319275"/>
    <n v="1095421"/>
  </r>
  <r>
    <x v="29"/>
    <x v="29"/>
    <x v="3"/>
    <x v="0"/>
    <x v="0"/>
    <x v="0"/>
    <x v="0"/>
    <x v="0"/>
    <x v="0"/>
    <x v="0"/>
    <x v="0"/>
    <x v="0"/>
    <n v="24"/>
    <n v="-4.0000000000000036E-2"/>
    <n v="2602"/>
    <n v="5.1313131313131422E-2"/>
    <n v="749376"/>
    <n v="9.2606060606059692E-3"/>
    <n v="1266138"/>
    <n v="-0.21759635461886079"/>
    <n v="506457"/>
    <n v="-0.39859355128301044"/>
    <n v="10305"/>
    <n v="-0.6937228793913095"/>
    <n v="322231.67999999999"/>
    <n v="1081912.68"/>
  </r>
  <r>
    <x v="29"/>
    <x v="29"/>
    <x v="4"/>
    <x v="0"/>
    <x v="0"/>
    <x v="0"/>
    <x v="0"/>
    <x v="0"/>
    <x v="0"/>
    <x v="0"/>
    <x v="0"/>
    <x v="0"/>
    <n v="19"/>
    <n v="-0.20833333333333337"/>
    <n v="2781"/>
    <n v="6.8793235972328892E-2"/>
    <n v="634068"/>
    <n v="-0.15387202152190627"/>
    <n v="988791"/>
    <n v="-0.2190495822730224"/>
    <n v="279801"/>
    <n v="-0.44753256446253087"/>
    <n v="74922"/>
    <n v="6.2704512372634644"/>
    <n v="272649.24"/>
    <n v="981639.24"/>
  </r>
  <r>
    <x v="29"/>
    <x v="29"/>
    <x v="5"/>
    <x v="0"/>
    <x v="0"/>
    <x v="0"/>
    <x v="0"/>
    <x v="0"/>
    <x v="0"/>
    <x v="0"/>
    <x v="0"/>
    <x v="0"/>
    <n v="19"/>
    <n v="0"/>
    <n v="3393"/>
    <n v="0.2200647249190939"/>
    <n v="773604"/>
    <n v="0.2200647249190939"/>
    <n v="1029834"/>
    <n v="4.1508266155335205E-2"/>
    <n v="229291"/>
    <n v="-0.18052115610737629"/>
    <n v="26939"/>
    <n v="-0.64043939029924457"/>
    <n v="332649.71999999997"/>
    <n v="1133192.72"/>
  </r>
  <r>
    <x v="30"/>
    <x v="30"/>
    <x v="0"/>
    <x v="0"/>
    <x v="0"/>
    <x v="0"/>
    <x v="0"/>
    <x v="0"/>
    <x v="0"/>
    <x v="0"/>
    <x v="0"/>
    <x v="0"/>
    <n v="5"/>
    <n v="0"/>
    <n v="831"/>
    <n v="0"/>
    <n v="49860"/>
    <n v="0"/>
    <n v="429578"/>
    <n v="0"/>
    <n v="203228"/>
    <n v="0"/>
    <n v="176490"/>
    <n v="0"/>
    <n v="21439.8"/>
    <n v="247789.8"/>
  </r>
  <r>
    <x v="30"/>
    <x v="30"/>
    <x v="1"/>
    <x v="0"/>
    <x v="0"/>
    <x v="0"/>
    <x v="0"/>
    <x v="0"/>
    <x v="0"/>
    <x v="0"/>
    <x v="0"/>
    <x v="0"/>
    <n v="9"/>
    <n v="0.8"/>
    <n v="1019"/>
    <n v="0.22623345367027681"/>
    <n v="110052"/>
    <n v="1.207220216606498"/>
    <n v="433516"/>
    <n v="9.167136119633712E-3"/>
    <n v="180751"/>
    <n v="-0.11059991733422558"/>
    <n v="142713"/>
    <n v="-0.19138194798572161"/>
    <n v="47322.36"/>
    <n v="300087.36"/>
  </r>
  <r>
    <x v="30"/>
    <x v="30"/>
    <x v="2"/>
    <x v="0"/>
    <x v="0"/>
    <x v="0"/>
    <x v="0"/>
    <x v="0"/>
    <x v="0"/>
    <x v="0"/>
    <x v="0"/>
    <x v="0"/>
    <n v="11"/>
    <n v="0.22222222222222232"/>
    <n v="1264"/>
    <n v="0.24043179587831201"/>
    <n v="166848"/>
    <n v="0.51608330607349262"/>
    <n v="727671"/>
    <n v="0.67853320292676633"/>
    <n v="297709"/>
    <n v="0.64706695951889626"/>
    <n v="263114"/>
    <n v="0.84365825117543602"/>
    <n v="71744.639999999999"/>
    <n v="501706.64"/>
  </r>
  <r>
    <x v="30"/>
    <x v="30"/>
    <x v="3"/>
    <x v="0"/>
    <x v="0"/>
    <x v="0"/>
    <x v="0"/>
    <x v="0"/>
    <x v="0"/>
    <x v="0"/>
    <x v="0"/>
    <x v="0"/>
    <n v="13"/>
    <n v="0.18181818181818188"/>
    <n v="1660"/>
    <n v="0.31329113924050622"/>
    <n v="258960"/>
    <n v="0.55207134637514388"/>
    <n v="1065013"/>
    <n v="0.46359137577284248"/>
    <n v="535225"/>
    <n v="0.7978126291109775"/>
    <n v="270828"/>
    <n v="2.9318090257455021E-2"/>
    <n v="111352.8"/>
    <n v="641140.80000000005"/>
  </r>
  <r>
    <x v="30"/>
    <x v="30"/>
    <x v="4"/>
    <x v="0"/>
    <x v="0"/>
    <x v="0"/>
    <x v="0"/>
    <x v="0"/>
    <x v="0"/>
    <x v="0"/>
    <x v="0"/>
    <x v="0"/>
    <n v="15"/>
    <n v="0.15384615384615374"/>
    <n v="1792"/>
    <n v="7.9518072289156638E-2"/>
    <n v="322560"/>
    <n v="0.24559777571825769"/>
    <n v="1326126"/>
    <n v="0.24517353309302339"/>
    <n v="739547"/>
    <n v="0.38174973142136492"/>
    <n v="264019"/>
    <n v="-2.5141418169465472E-2"/>
    <n v="138700.79999999999"/>
    <n v="725279.8"/>
  </r>
  <r>
    <x v="30"/>
    <x v="30"/>
    <x v="5"/>
    <x v="0"/>
    <x v="0"/>
    <x v="0"/>
    <x v="0"/>
    <x v="0"/>
    <x v="0"/>
    <x v="0"/>
    <x v="0"/>
    <x v="0"/>
    <n v="20"/>
    <n v="0.33333333333333326"/>
    <n v="2026"/>
    <n v="0.13058035714285721"/>
    <n v="486240"/>
    <n v="0.50744047619047628"/>
    <n v="1806257"/>
    <n v="0.36205534014113278"/>
    <n v="965978"/>
    <n v="0.30617526675113282"/>
    <n v="354039"/>
    <n v="0.34096030967468249"/>
    <n v="209083.19999999998"/>
    <n v="1049362.2"/>
  </r>
  <r>
    <x v="31"/>
    <x v="31"/>
    <x v="0"/>
    <x v="0"/>
    <x v="0"/>
    <x v="0"/>
    <x v="0"/>
    <x v="0"/>
    <x v="1"/>
    <x v="1"/>
    <x v="0"/>
    <x v="1"/>
    <n v="37"/>
    <n v="0"/>
    <n v="2524"/>
    <n v="0"/>
    <n v="1120656"/>
    <n v="0"/>
    <n v="2788993"/>
    <n v="0"/>
    <n v="1474621"/>
    <n v="0"/>
    <n v="193716"/>
    <n v="0"/>
    <n v="481882.08"/>
    <n v="1796254.08"/>
  </r>
  <r>
    <x v="31"/>
    <x v="31"/>
    <x v="1"/>
    <x v="0"/>
    <x v="0"/>
    <x v="0"/>
    <x v="0"/>
    <x v="0"/>
    <x v="1"/>
    <x v="1"/>
    <x v="0"/>
    <x v="1"/>
    <n v="34"/>
    <n v="-8.108108108108103E-2"/>
    <n v="2480"/>
    <n v="-1.7432646592709929E-2"/>
    <n v="1011840"/>
    <n v="-9.7100269841949749E-2"/>
    <n v="2555815"/>
    <n v="-8.3606520346232505E-2"/>
    <n v="1297344"/>
    <n v="-0.12021868669983682"/>
    <n v="246631"/>
    <n v="0.27315761217452361"/>
    <n v="435091.20000000001"/>
    <n v="1693562.2"/>
  </r>
  <r>
    <x v="31"/>
    <x v="31"/>
    <x v="2"/>
    <x v="0"/>
    <x v="0"/>
    <x v="0"/>
    <x v="0"/>
    <x v="0"/>
    <x v="1"/>
    <x v="1"/>
    <x v="0"/>
    <x v="1"/>
    <n v="40"/>
    <n v="0.17647058823529416"/>
    <n v="2666"/>
    <n v="7.4999999999999956E-2"/>
    <n v="1279680"/>
    <n v="0.26470588235294112"/>
    <n v="3502499"/>
    <n v="0.37040396116307323"/>
    <n v="1927907"/>
    <n v="0.4860414816733265"/>
    <n v="294912"/>
    <n v="0.1957620899238133"/>
    <n v="550262.4"/>
    <n v="2124854.4"/>
  </r>
  <r>
    <x v="31"/>
    <x v="31"/>
    <x v="3"/>
    <x v="0"/>
    <x v="0"/>
    <x v="0"/>
    <x v="0"/>
    <x v="0"/>
    <x v="1"/>
    <x v="1"/>
    <x v="0"/>
    <x v="1"/>
    <n v="40"/>
    <n v="0"/>
    <n v="2813"/>
    <n v="5.5138784696173948E-2"/>
    <n v="1350240"/>
    <n v="5.5138784696173948E-2"/>
    <n v="3936974"/>
    <n v="0.1240471446244524"/>
    <n v="2316948"/>
    <n v="0.201794484899946"/>
    <n v="269786"/>
    <n v="-8.519829644097221E-2"/>
    <n v="580603.19999999995"/>
    <n v="2200629.2000000002"/>
  </r>
  <r>
    <x v="31"/>
    <x v="31"/>
    <x v="4"/>
    <x v="0"/>
    <x v="0"/>
    <x v="0"/>
    <x v="0"/>
    <x v="0"/>
    <x v="1"/>
    <x v="1"/>
    <x v="0"/>
    <x v="1"/>
    <n v="42"/>
    <n v="5.0000000000000044E-2"/>
    <n v="3112"/>
    <n v="0.1062922147173835"/>
    <n v="1568448"/>
    <n v="0.16160682545325278"/>
    <n v="4517735"/>
    <n v="0.1475145632153019"/>
    <n v="2632438"/>
    <n v="0.13616619794660911"/>
    <n v="316849"/>
    <n v="0.17444567175465009"/>
    <n v="674432.64"/>
    <n v="2559729.64"/>
  </r>
  <r>
    <x v="31"/>
    <x v="31"/>
    <x v="5"/>
    <x v="0"/>
    <x v="0"/>
    <x v="0"/>
    <x v="0"/>
    <x v="0"/>
    <x v="1"/>
    <x v="1"/>
    <x v="0"/>
    <x v="1"/>
    <n v="44"/>
    <n v="4.7619047619047672E-2"/>
    <n v="3463"/>
    <n v="0.11278920308483301"/>
    <n v="1828464"/>
    <n v="0.16577916513649171"/>
    <n v="5231622"/>
    <n v="0.15801878596243471"/>
    <n v="3073996"/>
    <n v="0.1677372838410629"/>
    <n v="329162"/>
    <n v="3.8860782265369258E-2"/>
    <n v="786239.52"/>
    <n v="2943865.52"/>
  </r>
  <r>
    <x v="32"/>
    <x v="32"/>
    <x v="0"/>
    <x v="0"/>
    <x v="0"/>
    <x v="0"/>
    <x v="0"/>
    <x v="0"/>
    <x v="0"/>
    <x v="0"/>
    <x v="0"/>
    <x v="0"/>
    <n v="0"/>
    <n v="0"/>
    <n v="0"/>
    <n v="0"/>
    <n v="0"/>
    <n v="0"/>
    <n v="43550"/>
    <n v="0"/>
    <n v="0"/>
    <n v="0"/>
    <n v="12235"/>
    <n v="0"/>
    <n v="0"/>
    <n v="43550"/>
  </r>
  <r>
    <x v="32"/>
    <x v="32"/>
    <x v="1"/>
    <x v="0"/>
    <x v="0"/>
    <x v="0"/>
    <x v="0"/>
    <x v="0"/>
    <x v="0"/>
    <x v="0"/>
    <x v="0"/>
    <x v="0"/>
    <n v="0"/>
    <n v="0"/>
    <n v="0"/>
    <n v="0"/>
    <n v="0"/>
    <n v="0"/>
    <n v="41989"/>
    <n v="-3.5843857634902387E-2"/>
    <n v="0"/>
    <n v="0"/>
    <n v="-561"/>
    <n v="-1.0458520637515329"/>
    <n v="0"/>
    <n v="41989"/>
  </r>
  <r>
    <x v="32"/>
    <x v="32"/>
    <x v="2"/>
    <x v="0"/>
    <x v="0"/>
    <x v="0"/>
    <x v="0"/>
    <x v="0"/>
    <x v="0"/>
    <x v="0"/>
    <x v="0"/>
    <x v="0"/>
    <n v="0"/>
    <n v="0"/>
    <n v="0"/>
    <n v="0"/>
    <n v="0"/>
    <n v="0"/>
    <n v="96352"/>
    <n v="1.2946962299649909"/>
    <n v="0"/>
    <n v="0"/>
    <n v="9803"/>
    <n v="-18.474153297682712"/>
    <n v="0"/>
    <n v="96352"/>
  </r>
  <r>
    <x v="32"/>
    <x v="32"/>
    <x v="3"/>
    <x v="0"/>
    <x v="0"/>
    <x v="0"/>
    <x v="0"/>
    <x v="0"/>
    <x v="0"/>
    <x v="0"/>
    <x v="0"/>
    <x v="0"/>
    <n v="0"/>
    <n v="0"/>
    <n v="0"/>
    <n v="0"/>
    <n v="0"/>
    <n v="0"/>
    <n v="201924"/>
    <n v="1.0956908003985391"/>
    <n v="0"/>
    <n v="0"/>
    <n v="25138"/>
    <n v="1.564317045802305"/>
    <n v="0"/>
    <n v="201924"/>
  </r>
  <r>
    <x v="32"/>
    <x v="32"/>
    <x v="4"/>
    <x v="0"/>
    <x v="0"/>
    <x v="0"/>
    <x v="0"/>
    <x v="0"/>
    <x v="0"/>
    <x v="0"/>
    <x v="0"/>
    <x v="0"/>
    <n v="0"/>
    <n v="0"/>
    <n v="0"/>
    <n v="0"/>
    <n v="0"/>
    <n v="0"/>
    <n v="203378"/>
    <n v="7.2007289871436342E-3"/>
    <n v="0"/>
    <n v="0"/>
    <n v="28667"/>
    <n v="0.14038507438937059"/>
    <n v="0"/>
    <n v="203378"/>
  </r>
  <r>
    <x v="32"/>
    <x v="32"/>
    <x v="5"/>
    <x v="0"/>
    <x v="0"/>
    <x v="0"/>
    <x v="0"/>
    <x v="0"/>
    <x v="0"/>
    <x v="0"/>
    <x v="0"/>
    <x v="0"/>
    <n v="0"/>
    <n v="0"/>
    <n v="0"/>
    <n v="0"/>
    <n v="0"/>
    <n v="0"/>
    <n v="211576"/>
    <n v="4.0309177983852702E-2"/>
    <n v="0"/>
    <n v="0"/>
    <n v="1076"/>
    <n v="-0.9624655527261311"/>
    <n v="0"/>
    <n v="211576"/>
  </r>
  <r>
    <x v="33"/>
    <x v="33"/>
    <x v="0"/>
    <x v="0"/>
    <x v="0"/>
    <x v="0"/>
    <x v="0"/>
    <x v="0"/>
    <x v="0"/>
    <x v="0"/>
    <x v="0"/>
    <x v="0"/>
    <n v="43"/>
    <n v="0"/>
    <n v="1821"/>
    <n v="0"/>
    <n v="939636"/>
    <n v="0"/>
    <n v="2147000"/>
    <n v="0"/>
    <n v="894364"/>
    <n v="0"/>
    <n v="313000"/>
    <n v="0"/>
    <n v="404043.48"/>
    <n v="1656679.48"/>
  </r>
  <r>
    <x v="33"/>
    <x v="33"/>
    <x v="1"/>
    <x v="0"/>
    <x v="0"/>
    <x v="0"/>
    <x v="0"/>
    <x v="0"/>
    <x v="0"/>
    <x v="0"/>
    <x v="0"/>
    <x v="0"/>
    <n v="34"/>
    <n v="-0.20930232558139539"/>
    <n v="1937"/>
    <n v="6.3701263042284406E-2"/>
    <n v="790296"/>
    <n v="-0.15893388503633321"/>
    <n v="1750000"/>
    <n v="-0.18490917559385189"/>
    <n v="710704"/>
    <n v="-0.20535263047260399"/>
    <n v="249000"/>
    <n v="-0.2044728434504792"/>
    <n v="339827.27999999997"/>
    <n v="1379123.28"/>
  </r>
  <r>
    <x v="33"/>
    <x v="33"/>
    <x v="2"/>
    <x v="0"/>
    <x v="0"/>
    <x v="0"/>
    <x v="0"/>
    <x v="0"/>
    <x v="0"/>
    <x v="0"/>
    <x v="0"/>
    <x v="0"/>
    <n v="37"/>
    <n v="8.8235294117646967E-2"/>
    <n v="2288"/>
    <n v="0.18120805369127521"/>
    <n v="1015872"/>
    <n v="0.28543229372285817"/>
    <n v="3889000"/>
    <n v="1.222285714285714"/>
    <n v="2740128"/>
    <n v="2.8555122807807471"/>
    <n v="133000"/>
    <n v="-0.46586345381526112"/>
    <n v="436824.96"/>
    <n v="1585696.96"/>
  </r>
  <r>
    <x v="33"/>
    <x v="33"/>
    <x v="3"/>
    <x v="0"/>
    <x v="0"/>
    <x v="0"/>
    <x v="0"/>
    <x v="0"/>
    <x v="0"/>
    <x v="0"/>
    <x v="0"/>
    <x v="0"/>
    <n v="40"/>
    <n v="8.1081081081081141E-2"/>
    <n v="2632"/>
    <n v="0.15034965034965039"/>
    <n v="1263360"/>
    <n v="0.24362124362124371"/>
    <n v="5674000"/>
    <n v="0.45898688608896898"/>
    <n v="4230640"/>
    <n v="0.54395707061859877"/>
    <n v="180000"/>
    <n v="0.35338345864661652"/>
    <n v="543244.80000000005"/>
    <n v="1986604.8"/>
  </r>
  <r>
    <x v="33"/>
    <x v="33"/>
    <x v="4"/>
    <x v="0"/>
    <x v="0"/>
    <x v="0"/>
    <x v="0"/>
    <x v="0"/>
    <x v="0"/>
    <x v="0"/>
    <x v="0"/>
    <x v="0"/>
    <n v="42"/>
    <n v="5.0000000000000044E-2"/>
    <n v="2864"/>
    <n v="8.8145896656534939E-2"/>
    <n v="1443456"/>
    <n v="0.14255319148936163"/>
    <n v="4918000"/>
    <n v="-0.13323933732816351"/>
    <n v="4243544"/>
    <n v="3.0501295312292953E-3"/>
    <n v="-769000"/>
    <n v="-5.2722222222222221"/>
    <n v="620686.07999999996"/>
    <n v="1295142.08"/>
  </r>
  <r>
    <x v="33"/>
    <x v="33"/>
    <x v="5"/>
    <x v="0"/>
    <x v="0"/>
    <x v="0"/>
    <x v="0"/>
    <x v="0"/>
    <x v="0"/>
    <x v="0"/>
    <x v="0"/>
    <x v="0"/>
    <n v="21"/>
    <n v="-0.5"/>
    <n v="2980"/>
    <n v="4.0502793296089301E-2"/>
    <n v="750960"/>
    <n v="-0.47974860335195535"/>
    <n v="4813000"/>
    <n v="-2.1350142334282229E-2"/>
    <n v="3125040"/>
    <n v="-0.26357780195044522"/>
    <n v="937000"/>
    <n v="2.2184655396619002"/>
    <n v="322912.8"/>
    <n v="2010872.8"/>
  </r>
  <r>
    <x v="34"/>
    <x v="34"/>
    <x v="0"/>
    <x v="0"/>
    <x v="0"/>
    <x v="0"/>
    <x v="0"/>
    <x v="1"/>
    <x v="0"/>
    <x v="0"/>
    <x v="1"/>
    <x v="0"/>
    <n v="1"/>
    <n v="0"/>
    <n v="0"/>
    <n v="0"/>
    <n v="0"/>
    <n v="0"/>
    <n v="213414"/>
    <n v="0"/>
    <n v="0"/>
    <n v="0"/>
    <n v="56780"/>
    <n v="0"/>
    <n v="0"/>
    <n v="213414"/>
  </r>
  <r>
    <x v="34"/>
    <x v="34"/>
    <x v="1"/>
    <x v="0"/>
    <x v="0"/>
    <x v="0"/>
    <x v="0"/>
    <x v="1"/>
    <x v="0"/>
    <x v="0"/>
    <x v="1"/>
    <x v="0"/>
    <n v="1"/>
    <n v="0"/>
    <n v="0"/>
    <n v="0"/>
    <n v="0"/>
    <n v="0"/>
    <n v="153278"/>
    <n v="-0.28000000000000003"/>
    <n v="0"/>
    <n v="0"/>
    <n v="-2132"/>
    <n v="-1.04"/>
    <n v="0"/>
    <n v="153278"/>
  </r>
  <r>
    <x v="34"/>
    <x v="34"/>
    <x v="2"/>
    <x v="0"/>
    <x v="0"/>
    <x v="0"/>
    <x v="0"/>
    <x v="1"/>
    <x v="0"/>
    <x v="0"/>
    <x v="1"/>
    <x v="0"/>
    <n v="1"/>
    <n v="0"/>
    <n v="0"/>
    <n v="0"/>
    <n v="0"/>
    <n v="0"/>
    <n v="196578"/>
    <n v="0.28000000000000003"/>
    <n v="0"/>
    <n v="0"/>
    <n v="21552"/>
    <n v="11.11"/>
    <n v="0"/>
    <n v="196578"/>
  </r>
  <r>
    <x v="34"/>
    <x v="34"/>
    <x v="3"/>
    <x v="0"/>
    <x v="0"/>
    <x v="0"/>
    <x v="0"/>
    <x v="1"/>
    <x v="0"/>
    <x v="0"/>
    <x v="1"/>
    <x v="0"/>
    <n v="1"/>
    <n v="0"/>
    <n v="0"/>
    <n v="0"/>
    <n v="0"/>
    <n v="0"/>
    <n v="240432"/>
    <n v="0.22"/>
    <n v="0"/>
    <n v="0"/>
    <n v="23364"/>
    <n v="0.08"/>
    <n v="0"/>
    <n v="240432"/>
  </r>
  <r>
    <x v="34"/>
    <x v="34"/>
    <x v="4"/>
    <x v="0"/>
    <x v="0"/>
    <x v="0"/>
    <x v="0"/>
    <x v="1"/>
    <x v="0"/>
    <x v="0"/>
    <x v="1"/>
    <x v="0"/>
    <n v="2"/>
    <n v="1"/>
    <n v="0"/>
    <n v="0"/>
    <n v="0"/>
    <n v="0"/>
    <n v="155163"/>
    <n v="-0.35"/>
    <n v="0"/>
    <n v="0"/>
    <n v="-27895"/>
    <n v="-2.19"/>
    <n v="0"/>
    <n v="155163"/>
  </r>
  <r>
    <x v="34"/>
    <x v="34"/>
    <x v="5"/>
    <x v="0"/>
    <x v="0"/>
    <x v="0"/>
    <x v="0"/>
    <x v="1"/>
    <x v="0"/>
    <x v="0"/>
    <x v="1"/>
    <x v="0"/>
    <n v="3"/>
    <n v="0.5"/>
    <n v="0"/>
    <n v="0"/>
    <n v="0"/>
    <n v="0"/>
    <n v="217614"/>
    <n v="0.4"/>
    <n v="0"/>
    <n v="0"/>
    <n v="31160"/>
    <n v="2.12"/>
    <n v="0"/>
    <n v="217614"/>
  </r>
  <r>
    <x v="35"/>
    <x v="35"/>
    <x v="0"/>
    <x v="0"/>
    <x v="1"/>
    <x v="0"/>
    <x v="0"/>
    <x v="0"/>
    <x v="0"/>
    <x v="0"/>
    <x v="1"/>
    <x v="0"/>
    <n v="21"/>
    <n v="0"/>
    <n v="805"/>
    <n v="0"/>
    <n v="202860"/>
    <n v="0"/>
    <n v="1425182"/>
    <n v="0"/>
    <n v="1221573"/>
    <n v="0"/>
    <n v="749"/>
    <n v="0"/>
    <n v="87229.8"/>
    <n v="290838.8"/>
  </r>
  <r>
    <x v="35"/>
    <x v="35"/>
    <x v="1"/>
    <x v="0"/>
    <x v="1"/>
    <x v="0"/>
    <x v="0"/>
    <x v="0"/>
    <x v="0"/>
    <x v="0"/>
    <x v="1"/>
    <x v="0"/>
    <n v="18"/>
    <n v="-0.1428571428571429"/>
    <n v="672"/>
    <n v="-0.17"/>
    <n v="145152"/>
    <n v="-0.28447204968944095"/>
    <n v="629069"/>
    <n v="-0.56000000000000005"/>
    <n v="483844"/>
    <n v="-0.60391724440536909"/>
    <n v="73"/>
    <n v="-0.9"/>
    <n v="62415.360000000001"/>
    <n v="207640.36"/>
  </r>
  <r>
    <x v="35"/>
    <x v="35"/>
    <x v="2"/>
    <x v="0"/>
    <x v="1"/>
    <x v="0"/>
    <x v="0"/>
    <x v="0"/>
    <x v="0"/>
    <x v="0"/>
    <x v="1"/>
    <x v="0"/>
    <n v="15"/>
    <n v="-0.16666666666666663"/>
    <n v="706"/>
    <n v="0.05"/>
    <n v="127080"/>
    <n v="-0.12450396825396826"/>
    <n v="621316"/>
    <n v="-0.01"/>
    <n v="494185"/>
    <n v="2.1372591165747634E-2"/>
    <n v="51"/>
    <n v="-0.3"/>
    <n v="54644.4"/>
    <n v="181775.4"/>
  </r>
  <r>
    <x v="35"/>
    <x v="35"/>
    <x v="3"/>
    <x v="0"/>
    <x v="1"/>
    <x v="0"/>
    <x v="0"/>
    <x v="0"/>
    <x v="0"/>
    <x v="0"/>
    <x v="1"/>
    <x v="0"/>
    <n v="14"/>
    <n v="-6.6666666666666652E-2"/>
    <n v="702"/>
    <n v="-0.01"/>
    <n v="117936"/>
    <n v="-7.1954674220963133E-2"/>
    <n v="790127"/>
    <n v="0.27"/>
    <n v="670821"/>
    <n v="0.35742889808472533"/>
    <n v="1370"/>
    <n v="25.86"/>
    <n v="50712.479999999996"/>
    <n v="170018.47999999998"/>
  </r>
  <r>
    <x v="35"/>
    <x v="35"/>
    <x v="4"/>
    <x v="0"/>
    <x v="1"/>
    <x v="0"/>
    <x v="0"/>
    <x v="0"/>
    <x v="0"/>
    <x v="0"/>
    <x v="1"/>
    <x v="0"/>
    <n v="13"/>
    <n v="-7.1428571428571397E-2"/>
    <n v="951"/>
    <n v="0.35"/>
    <n v="148356"/>
    <n v="0.25793650793650791"/>
    <n v="1357188"/>
    <n v="0.72"/>
    <n v="1190125"/>
    <n v="0.7741319964640343"/>
    <n v="18707"/>
    <n v="12.65"/>
    <n v="63793.08"/>
    <n v="230856.08000000002"/>
  </r>
  <r>
    <x v="35"/>
    <x v="35"/>
    <x v="5"/>
    <x v="0"/>
    <x v="1"/>
    <x v="0"/>
    <x v="0"/>
    <x v="0"/>
    <x v="0"/>
    <x v="0"/>
    <x v="1"/>
    <x v="0"/>
    <n v="11"/>
    <n v="-0.15384615384615385"/>
    <n v="1136"/>
    <n v="0.19"/>
    <n v="149952"/>
    <n v="1.0757906656960303E-2"/>
    <n v="1984708"/>
    <n v="0.46"/>
    <n v="1741362"/>
    <n v="0.46317571683646674"/>
    <n v="93394"/>
    <n v="3.99"/>
    <n v="64479.360000000001"/>
    <n v="307825.36"/>
  </r>
  <r>
    <x v="36"/>
    <x v="36"/>
    <x v="0"/>
    <x v="0"/>
    <x v="0"/>
    <x v="0"/>
    <x v="0"/>
    <x v="0"/>
    <x v="0"/>
    <x v="0"/>
    <x v="0"/>
    <x v="0"/>
    <n v="2"/>
    <n v="0"/>
    <n v="0"/>
    <n v="0"/>
    <n v="0"/>
    <n v="0"/>
    <n v="391819"/>
    <n v="0"/>
    <n v="0"/>
    <n v="0"/>
    <n v="4711"/>
    <n v="0"/>
    <n v="0"/>
    <n v="391819"/>
  </r>
  <r>
    <x v="36"/>
    <x v="36"/>
    <x v="1"/>
    <x v="0"/>
    <x v="0"/>
    <x v="0"/>
    <x v="0"/>
    <x v="0"/>
    <x v="0"/>
    <x v="0"/>
    <x v="0"/>
    <x v="0"/>
    <n v="2"/>
    <n v="0"/>
    <n v="0"/>
    <n v="0"/>
    <n v="0"/>
    <n v="0"/>
    <n v="447495"/>
    <n v="0.14209622300092639"/>
    <n v="0"/>
    <n v="0"/>
    <n v="-81138"/>
    <n v="-18.223094884313308"/>
    <n v="0"/>
    <n v="447495"/>
  </r>
  <r>
    <x v="36"/>
    <x v="36"/>
    <x v="2"/>
    <x v="0"/>
    <x v="0"/>
    <x v="0"/>
    <x v="0"/>
    <x v="0"/>
    <x v="0"/>
    <x v="0"/>
    <x v="0"/>
    <x v="0"/>
    <n v="1"/>
    <n v="-0.5"/>
    <n v="0"/>
    <n v="0"/>
    <n v="0"/>
    <n v="0"/>
    <n v="378329"/>
    <n v="-0.1545626208114057"/>
    <n v="0"/>
    <n v="0"/>
    <n v="41669"/>
    <n v="-1.5135571495476841"/>
    <n v="0"/>
    <n v="378329"/>
  </r>
  <r>
    <x v="36"/>
    <x v="36"/>
    <x v="3"/>
    <x v="0"/>
    <x v="0"/>
    <x v="0"/>
    <x v="0"/>
    <x v="0"/>
    <x v="0"/>
    <x v="0"/>
    <x v="0"/>
    <x v="0"/>
    <n v="1"/>
    <n v="0"/>
    <n v="0"/>
    <n v="0"/>
    <n v="0"/>
    <n v="0"/>
    <n v="460101"/>
    <n v="0.21613992054534539"/>
    <n v="0"/>
    <n v="0"/>
    <n v="246126"/>
    <n v="4.9066932251793904"/>
    <n v="0"/>
    <n v="460101"/>
  </r>
  <r>
    <x v="36"/>
    <x v="36"/>
    <x v="4"/>
    <x v="0"/>
    <x v="0"/>
    <x v="0"/>
    <x v="0"/>
    <x v="0"/>
    <x v="0"/>
    <x v="0"/>
    <x v="0"/>
    <x v="0"/>
    <n v="1"/>
    <n v="0"/>
    <n v="0"/>
    <n v="0"/>
    <n v="0"/>
    <n v="0"/>
    <n v="0"/>
    <n v="0"/>
    <n v="0"/>
    <n v="0"/>
    <n v="25837"/>
    <n v="-0.89502531223844695"/>
    <n v="0"/>
    <n v="0"/>
  </r>
  <r>
    <x v="36"/>
    <x v="36"/>
    <x v="5"/>
    <x v="0"/>
    <x v="0"/>
    <x v="0"/>
    <x v="0"/>
    <x v="0"/>
    <x v="0"/>
    <x v="0"/>
    <x v="0"/>
    <x v="0"/>
    <n v="1"/>
    <n v="0"/>
    <n v="0"/>
    <n v="0"/>
    <n v="0"/>
    <n v="0"/>
    <n v="0"/>
    <n v="0"/>
    <n v="0"/>
    <n v="0"/>
    <n v="0"/>
    <n v="0"/>
    <n v="0"/>
    <n v="0"/>
  </r>
  <r>
    <x v="37"/>
    <x v="37"/>
    <x v="0"/>
    <x v="0"/>
    <x v="0"/>
    <x v="0"/>
    <x v="0"/>
    <x v="0"/>
    <x v="1"/>
    <x v="0"/>
    <x v="1"/>
    <x v="0"/>
    <n v="1"/>
    <n v="0"/>
    <n v="0"/>
    <n v="0"/>
    <n v="0"/>
    <n v="0"/>
    <n v="22054"/>
    <n v="0"/>
    <n v="0"/>
    <n v="0"/>
    <n v="467"/>
    <n v="0"/>
    <n v="0"/>
    <n v="22054"/>
  </r>
  <r>
    <x v="37"/>
    <x v="37"/>
    <x v="1"/>
    <x v="0"/>
    <x v="0"/>
    <x v="0"/>
    <x v="0"/>
    <x v="0"/>
    <x v="1"/>
    <x v="0"/>
    <x v="1"/>
    <x v="0"/>
    <n v="1"/>
    <n v="0"/>
    <n v="0"/>
    <n v="0"/>
    <n v="0"/>
    <n v="0"/>
    <n v="17953"/>
    <n v="-0.18595266164868049"/>
    <n v="0"/>
    <n v="0"/>
    <n v="1177"/>
    <n v="1.5203426124196999"/>
    <n v="0"/>
    <n v="17953"/>
  </r>
  <r>
    <x v="37"/>
    <x v="37"/>
    <x v="2"/>
    <x v="0"/>
    <x v="0"/>
    <x v="0"/>
    <x v="0"/>
    <x v="0"/>
    <x v="1"/>
    <x v="0"/>
    <x v="1"/>
    <x v="0"/>
    <n v="1"/>
    <n v="0"/>
    <n v="0"/>
    <n v="0"/>
    <n v="0"/>
    <n v="0"/>
    <n v="31688"/>
    <n v="0.76505319445218078"/>
    <n v="0"/>
    <n v="0"/>
    <n v="1376"/>
    <n v="0.16907391673746819"/>
    <n v="0"/>
    <n v="31688"/>
  </r>
  <r>
    <x v="37"/>
    <x v="37"/>
    <x v="3"/>
    <x v="0"/>
    <x v="0"/>
    <x v="0"/>
    <x v="0"/>
    <x v="0"/>
    <x v="1"/>
    <x v="0"/>
    <x v="1"/>
    <x v="0"/>
    <n v="1"/>
    <n v="0"/>
    <n v="0"/>
    <n v="0"/>
    <n v="0"/>
    <n v="0"/>
    <n v="64112"/>
    <n v="1.02322645796516"/>
    <n v="0"/>
    <n v="0"/>
    <n v="1818"/>
    <n v="0.32122093023255821"/>
    <n v="0"/>
    <n v="64112"/>
  </r>
  <r>
    <x v="37"/>
    <x v="37"/>
    <x v="4"/>
    <x v="0"/>
    <x v="0"/>
    <x v="0"/>
    <x v="0"/>
    <x v="0"/>
    <x v="1"/>
    <x v="0"/>
    <x v="1"/>
    <x v="0"/>
    <n v="1"/>
    <n v="0"/>
    <n v="0"/>
    <n v="0"/>
    <n v="0"/>
    <n v="0"/>
    <n v="50177"/>
    <n v="-0.21735400549039191"/>
    <n v="0"/>
    <n v="0"/>
    <n v="2050"/>
    <n v="0.1276127612761275"/>
    <n v="0"/>
    <n v="50177"/>
  </r>
  <r>
    <x v="37"/>
    <x v="37"/>
    <x v="5"/>
    <x v="0"/>
    <x v="0"/>
    <x v="0"/>
    <x v="0"/>
    <x v="0"/>
    <x v="1"/>
    <x v="0"/>
    <x v="1"/>
    <x v="0"/>
    <n v="1"/>
    <n v="0"/>
    <n v="0"/>
    <n v="0"/>
    <n v="0"/>
    <n v="0"/>
    <n v="41486"/>
    <n v="-0.17320684775893341"/>
    <n v="0"/>
    <n v="0"/>
    <n v="436"/>
    <n v="-0.78731707317073174"/>
    <n v="0"/>
    <n v="41486"/>
  </r>
  <r>
    <x v="38"/>
    <x v="38"/>
    <x v="0"/>
    <x v="0"/>
    <x v="0"/>
    <x v="0"/>
    <x v="1"/>
    <x v="0"/>
    <x v="0"/>
    <x v="0"/>
    <x v="0"/>
    <x v="0"/>
    <n v="24"/>
    <n v="0"/>
    <n v="2049"/>
    <n v="0"/>
    <n v="590112"/>
    <n v="0"/>
    <n v="5847369"/>
    <n v="0"/>
    <n v="4869586"/>
    <n v="0"/>
    <n v="387671"/>
    <n v="0"/>
    <n v="253748.16"/>
    <n v="1231531.1599999999"/>
  </r>
  <r>
    <x v="38"/>
    <x v="38"/>
    <x v="1"/>
    <x v="0"/>
    <x v="0"/>
    <x v="0"/>
    <x v="1"/>
    <x v="0"/>
    <x v="0"/>
    <x v="0"/>
    <x v="0"/>
    <x v="0"/>
    <n v="27"/>
    <n v="0.125"/>
    <n v="2167"/>
    <n v="0.06"/>
    <n v="702108"/>
    <n v="0.18978770131771605"/>
    <n v="6041502"/>
    <n v="0.03"/>
    <n v="5088172"/>
    <n v="4.4888004852979391E-2"/>
    <n v="251222"/>
    <n v="-0.35"/>
    <n v="301906.44"/>
    <n v="1255236.44"/>
  </r>
  <r>
    <x v="38"/>
    <x v="38"/>
    <x v="2"/>
    <x v="0"/>
    <x v="0"/>
    <x v="0"/>
    <x v="1"/>
    <x v="0"/>
    <x v="0"/>
    <x v="0"/>
    <x v="0"/>
    <x v="0"/>
    <n v="32"/>
    <n v="0.18518518518518512"/>
    <n v="2575"/>
    <n v="0.19"/>
    <n v="988800"/>
    <n v="0.4083303423404947"/>
    <n v="10390945"/>
    <n v="0.72"/>
    <n v="8932955"/>
    <n v="0.75563149201717228"/>
    <n v="469190"/>
    <n v="0.87"/>
    <n v="425184"/>
    <n v="1883174"/>
  </r>
  <r>
    <x v="38"/>
    <x v="38"/>
    <x v="3"/>
    <x v="0"/>
    <x v="0"/>
    <x v="0"/>
    <x v="1"/>
    <x v="0"/>
    <x v="0"/>
    <x v="0"/>
    <x v="0"/>
    <x v="0"/>
    <n v="33"/>
    <n v="3.125E-2"/>
    <n v="2851"/>
    <n v="0.11"/>
    <n v="1128996"/>
    <n v="0.14178398058252428"/>
    <n v="9116200"/>
    <n v="-0.12"/>
    <n v="7681123"/>
    <n v="-0.14013638264157824"/>
    <n v="306081"/>
    <n v="-0.35"/>
    <n v="485468.27999999997"/>
    <n v="1920545.28"/>
  </r>
  <r>
    <x v="38"/>
    <x v="38"/>
    <x v="4"/>
    <x v="0"/>
    <x v="0"/>
    <x v="0"/>
    <x v="1"/>
    <x v="0"/>
    <x v="0"/>
    <x v="0"/>
    <x v="0"/>
    <x v="0"/>
    <n v="32"/>
    <n v="-3.0303030303030276E-2"/>
    <n v="3081"/>
    <n v="0.08"/>
    <n v="1183104"/>
    <n v="4.7925767673224762E-2"/>
    <n v="9198605"/>
    <n v="0.01"/>
    <n v="7771179"/>
    <n v="1.172432728912165E-2"/>
    <n v="244322"/>
    <n v="-0.2"/>
    <n v="508734.71999999997"/>
    <n v="1936160.72"/>
  </r>
  <r>
    <x v="38"/>
    <x v="38"/>
    <x v="5"/>
    <x v="0"/>
    <x v="0"/>
    <x v="0"/>
    <x v="1"/>
    <x v="0"/>
    <x v="0"/>
    <x v="0"/>
    <x v="0"/>
    <x v="0"/>
    <n v="31"/>
    <n v="-3.125E-2"/>
    <n v="3243"/>
    <n v="0.05"/>
    <n v="1206396"/>
    <n v="1.9687195715676786E-2"/>
    <n v="10097522"/>
    <n v="0.1"/>
    <n v="8646724"/>
    <n v="0.11266565858282251"/>
    <n v="244402"/>
    <n v="0"/>
    <n v="518750.27999999997"/>
    <n v="1969548.28"/>
  </r>
  <r>
    <x v="39"/>
    <x v="39"/>
    <x v="0"/>
    <x v="0"/>
    <x v="0"/>
    <x v="0"/>
    <x v="1"/>
    <x v="0"/>
    <x v="0"/>
    <x v="0"/>
    <x v="1"/>
    <x v="0"/>
    <n v="21"/>
    <n v="0"/>
    <n v="2194"/>
    <n v="0"/>
    <n v="552888"/>
    <n v="0"/>
    <n v="7511674"/>
    <n v="0"/>
    <n v="6657005"/>
    <n v="0"/>
    <n v="301781"/>
    <n v="0"/>
    <n v="237741.84"/>
    <n v="1092410.8400000001"/>
  </r>
  <r>
    <x v="39"/>
    <x v="39"/>
    <x v="1"/>
    <x v="0"/>
    <x v="0"/>
    <x v="0"/>
    <x v="1"/>
    <x v="0"/>
    <x v="0"/>
    <x v="0"/>
    <x v="1"/>
    <x v="0"/>
    <n v="19"/>
    <n v="-9.5238095238095233E-2"/>
    <n v="2559"/>
    <n v="0.16636280765724701"/>
    <n v="583452"/>
    <n v="5.5280635499413977E-2"/>
    <n v="8107694"/>
    <n v="7.9345828905780458E-2"/>
    <n v="7246153"/>
    <n v="8.8500459290626887E-2"/>
    <n v="278089"/>
    <n v="-7.8507261888588031E-2"/>
    <n v="250884.36"/>
    <n v="1112425.3599999999"/>
  </r>
  <r>
    <x v="39"/>
    <x v="39"/>
    <x v="2"/>
    <x v="0"/>
    <x v="0"/>
    <x v="0"/>
    <x v="1"/>
    <x v="0"/>
    <x v="0"/>
    <x v="0"/>
    <x v="1"/>
    <x v="0"/>
    <n v="20"/>
    <n v="5.2631578947368363E-2"/>
    <n v="2794"/>
    <n v="9.1832747166862072E-2"/>
    <n v="670560"/>
    <n v="0.14929762859669693"/>
    <n v="9433509"/>
    <n v="0.16352553512749729"/>
    <n v="8440390"/>
    <n v="0.16480979631536896"/>
    <n v="322559"/>
    <n v="0.1599128336611659"/>
    <n v="288340.8"/>
    <n v="1281459.8"/>
  </r>
  <r>
    <x v="39"/>
    <x v="39"/>
    <x v="3"/>
    <x v="0"/>
    <x v="0"/>
    <x v="0"/>
    <x v="1"/>
    <x v="0"/>
    <x v="0"/>
    <x v="0"/>
    <x v="1"/>
    <x v="0"/>
    <n v="22"/>
    <n v="0.10000000000000009"/>
    <n v="2988"/>
    <n v="6.9434502505368645E-2"/>
    <n v="788832"/>
    <n v="0.17637795275590551"/>
    <n v="9608231"/>
    <n v="1.8521421880235641E-2"/>
    <n v="8684419"/>
    <n v="2.8912052642117159E-2"/>
    <n v="134980"/>
    <n v="-0.58153392092609413"/>
    <n v="339197.76"/>
    <n v="1263009.76"/>
  </r>
  <r>
    <x v="39"/>
    <x v="39"/>
    <x v="4"/>
    <x v="0"/>
    <x v="0"/>
    <x v="0"/>
    <x v="1"/>
    <x v="0"/>
    <x v="0"/>
    <x v="0"/>
    <x v="1"/>
    <x v="0"/>
    <n v="22"/>
    <n v="0"/>
    <n v="3492"/>
    <n v="0.16867469879518079"/>
    <n v="921888"/>
    <n v="0.16867469879518082"/>
    <n v="10925676"/>
    <n v="0.137116291229884"/>
    <n v="9879843"/>
    <n v="0.13765158037630387"/>
    <n v="123945"/>
    <n v="-8.1752852274410981E-2"/>
    <n v="396411.83999999997"/>
    <n v="1442244.8399999999"/>
  </r>
  <r>
    <x v="39"/>
    <x v="39"/>
    <x v="5"/>
    <x v="0"/>
    <x v="0"/>
    <x v="0"/>
    <x v="1"/>
    <x v="0"/>
    <x v="0"/>
    <x v="0"/>
    <x v="1"/>
    <x v="0"/>
    <n v="24"/>
    <n v="9.0909090909090828E-2"/>
    <n v="3663"/>
    <n v="4.8969072164948502E-2"/>
    <n v="1054944"/>
    <n v="0.14432989690721643"/>
    <n v="10632287"/>
    <n v="-2.6853166797184861E-2"/>
    <n v="9329304"/>
    <n v="-5.5723456334275778E-2"/>
    <n v="248039"/>
    <n v="1.001202146113195"/>
    <n v="453625.92"/>
    <n v="1756608.92"/>
  </r>
  <r>
    <x v="40"/>
    <x v="40"/>
    <x v="0"/>
    <x v="0"/>
    <x v="0"/>
    <x v="0"/>
    <x v="0"/>
    <x v="0"/>
    <x v="0"/>
    <x v="1"/>
    <x v="1"/>
    <x v="0"/>
    <n v="18"/>
    <n v="0"/>
    <n v="2233"/>
    <n v="0"/>
    <n v="482328"/>
    <n v="0"/>
    <n v="1281358"/>
    <n v="0"/>
    <n v="615947"/>
    <n v="0"/>
    <n v="183083"/>
    <n v="0"/>
    <n v="207401.04"/>
    <n v="872812.04"/>
  </r>
  <r>
    <x v="40"/>
    <x v="40"/>
    <x v="1"/>
    <x v="0"/>
    <x v="0"/>
    <x v="0"/>
    <x v="0"/>
    <x v="0"/>
    <x v="0"/>
    <x v="1"/>
    <x v="1"/>
    <x v="0"/>
    <n v="15"/>
    <n v="-0.16666666666666663"/>
    <n v="2502"/>
    <n v="0.12046574115539641"/>
    <n v="450360"/>
    <n v="-6.6278549037169676E-2"/>
    <n v="1148506"/>
    <n v="-0.1036806263354971"/>
    <n v="454263"/>
    <n v="-0.26249661090970489"/>
    <n v="243883"/>
    <n v="0.33208981718674041"/>
    <n v="193654.8"/>
    <n v="887897.8"/>
  </r>
  <r>
    <x v="40"/>
    <x v="40"/>
    <x v="2"/>
    <x v="0"/>
    <x v="0"/>
    <x v="0"/>
    <x v="0"/>
    <x v="0"/>
    <x v="0"/>
    <x v="1"/>
    <x v="1"/>
    <x v="0"/>
    <n v="13"/>
    <n v="-0.1333333333333333"/>
    <n v="2615"/>
    <n v="4.5163868904876107E-2"/>
    <n v="407940"/>
    <n v="-9.4191313615774042E-2"/>
    <n v="1200820"/>
    <n v="4.5549609666819313E-2"/>
    <n v="631887"/>
    <n v="0.39101577720395464"/>
    <n v="160993"/>
    <n v="-0.33987608812422349"/>
    <n v="175414.2"/>
    <n v="744347.2"/>
  </r>
  <r>
    <x v="40"/>
    <x v="40"/>
    <x v="3"/>
    <x v="0"/>
    <x v="0"/>
    <x v="0"/>
    <x v="0"/>
    <x v="0"/>
    <x v="0"/>
    <x v="1"/>
    <x v="1"/>
    <x v="0"/>
    <n v="15"/>
    <n v="0.15384615384615374"/>
    <n v="2799"/>
    <n v="7.0363288718929162E-2"/>
    <n v="503820"/>
    <n v="0.23503456390645683"/>
    <n v="1212715"/>
    <n v="9.9057310837593615E-3"/>
    <n v="666220"/>
    <n v="5.4334081884894081E-2"/>
    <n v="42675"/>
    <n v="-0.73492636325802985"/>
    <n v="216642.6"/>
    <n v="763137.6"/>
  </r>
  <r>
    <x v="40"/>
    <x v="40"/>
    <x v="4"/>
    <x v="0"/>
    <x v="0"/>
    <x v="0"/>
    <x v="0"/>
    <x v="0"/>
    <x v="0"/>
    <x v="1"/>
    <x v="1"/>
    <x v="0"/>
    <n v="15"/>
    <n v="0"/>
    <n v="3015"/>
    <n v="7.7170418006430763E-2"/>
    <n v="542700"/>
    <n v="7.7170418006430763E-2"/>
    <n v="1844085"/>
    <n v="0.52062520872587537"/>
    <n v="1092912"/>
    <n v="0.64046711296568692"/>
    <n v="208473"/>
    <n v="3.8851318101933221"/>
    <n v="233361"/>
    <n v="984534"/>
  </r>
  <r>
    <x v="40"/>
    <x v="40"/>
    <x v="5"/>
    <x v="0"/>
    <x v="0"/>
    <x v="0"/>
    <x v="0"/>
    <x v="0"/>
    <x v="0"/>
    <x v="1"/>
    <x v="1"/>
    <x v="0"/>
    <n v="15"/>
    <n v="0"/>
    <n v="3176"/>
    <n v="5.3399668325041498E-2"/>
    <n v="571680"/>
    <n v="5.3399668325041505E-2"/>
    <n v="1572640"/>
    <n v="-0.1471976617129904"/>
    <n v="955853"/>
    <n v="-0.12540716910419136"/>
    <n v="45107"/>
    <n v="-0.78363145347359131"/>
    <n v="245822.4"/>
    <n v="862609.4"/>
  </r>
  <r>
    <x v="41"/>
    <x v="41"/>
    <x v="0"/>
    <x v="0"/>
    <x v="0"/>
    <x v="1"/>
    <x v="0"/>
    <x v="0"/>
    <x v="1"/>
    <x v="1"/>
    <x v="0"/>
    <x v="0"/>
    <n v="5"/>
    <n v="0"/>
    <n v="1572"/>
    <n v="0"/>
    <n v="94320"/>
    <n v="0"/>
    <n v="135593"/>
    <n v="0"/>
    <n v="28601"/>
    <n v="0"/>
    <n v="12672"/>
    <n v="0"/>
    <n v="40557.599999999999"/>
    <n v="147549.6"/>
  </r>
  <r>
    <x v="41"/>
    <x v="41"/>
    <x v="1"/>
    <x v="0"/>
    <x v="0"/>
    <x v="1"/>
    <x v="0"/>
    <x v="0"/>
    <x v="1"/>
    <x v="1"/>
    <x v="0"/>
    <x v="0"/>
    <n v="3"/>
    <n v="-0.4"/>
    <n v="2349"/>
    <n v="0.49427480916030531"/>
    <n v="84564"/>
    <n v="-0.10343511450381682"/>
    <n v="140132"/>
    <n v="3.3475179397166599E-2"/>
    <n v="54835"/>
    <n v="0.91724065592112169"/>
    <n v="733"/>
    <n v="-0.94215593434343436"/>
    <n v="36362.519999999997"/>
    <n v="121659.51999999999"/>
  </r>
  <r>
    <x v="41"/>
    <x v="41"/>
    <x v="2"/>
    <x v="0"/>
    <x v="0"/>
    <x v="1"/>
    <x v="0"/>
    <x v="0"/>
    <x v="1"/>
    <x v="1"/>
    <x v="0"/>
    <x v="0"/>
    <n v="4"/>
    <n v="0.33333333333333326"/>
    <n v="2364"/>
    <n v="6.3856960408683614E-3"/>
    <n v="113472"/>
    <n v="0.34184759472115789"/>
    <n v="204229"/>
    <n v="0.4574044472354637"/>
    <n v="85102"/>
    <n v="0.55196498586669107"/>
    <n v="5655"/>
    <n v="6.7148703956343789"/>
    <n v="48792.959999999999"/>
    <n v="167919.96"/>
  </r>
  <r>
    <x v="41"/>
    <x v="41"/>
    <x v="3"/>
    <x v="0"/>
    <x v="0"/>
    <x v="1"/>
    <x v="0"/>
    <x v="0"/>
    <x v="1"/>
    <x v="1"/>
    <x v="0"/>
    <x v="0"/>
    <n v="5"/>
    <n v="0.25"/>
    <n v="1821"/>
    <n v="-0.2296954314720813"/>
    <n v="109260"/>
    <n v="-3.7119289340101558E-2"/>
    <n v="308709"/>
    <n v="0.51158258621449448"/>
    <n v="199497"/>
    <n v="1.3442104768395571"/>
    <n v="-48"/>
    <n v="-1.0084880636604769"/>
    <n v="46981.8"/>
    <n v="156193.79999999999"/>
  </r>
  <r>
    <x v="41"/>
    <x v="41"/>
    <x v="4"/>
    <x v="0"/>
    <x v="0"/>
    <x v="1"/>
    <x v="0"/>
    <x v="0"/>
    <x v="1"/>
    <x v="1"/>
    <x v="0"/>
    <x v="0"/>
    <n v="6"/>
    <n v="0.19999999999999996"/>
    <n v="2005"/>
    <n v="0.101043382756727"/>
    <n v="144360"/>
    <n v="0.32125205930807255"/>
    <n v="463961"/>
    <n v="0.50290726865753843"/>
    <n v="318297"/>
    <n v="0.59549767665679187"/>
    <n v="1304"/>
    <n v="-28.166666666666671"/>
    <n v="62074.799999999996"/>
    <n v="207738.8"/>
  </r>
  <r>
    <x v="41"/>
    <x v="41"/>
    <x v="5"/>
    <x v="0"/>
    <x v="0"/>
    <x v="1"/>
    <x v="0"/>
    <x v="0"/>
    <x v="1"/>
    <x v="1"/>
    <x v="0"/>
    <x v="0"/>
    <n v="3"/>
    <n v="-0.5"/>
    <n v="2055"/>
    <n v="2.4937655860349128E-2"/>
    <n v="73980"/>
    <n v="-0.48753117206982544"/>
    <n v="339411"/>
    <n v="-0.26844928776341109"/>
    <n v="264642"/>
    <n v="-0.16856897802995319"/>
    <n v="789"/>
    <n v="-0.39493865030674852"/>
    <n v="31811.399999999998"/>
    <n v="106580.4"/>
  </r>
  <r>
    <x v="42"/>
    <x v="42"/>
    <x v="0"/>
    <x v="0"/>
    <x v="0"/>
    <x v="0"/>
    <x v="0"/>
    <x v="0"/>
    <x v="0"/>
    <x v="1"/>
    <x v="1"/>
    <x v="0"/>
    <n v="30"/>
    <n v="0"/>
    <n v="1979"/>
    <n v="0"/>
    <n v="712440"/>
    <n v="0"/>
    <n v="2121009"/>
    <n v="0"/>
    <n v="1251557"/>
    <n v="0"/>
    <n v="157012"/>
    <n v="0"/>
    <n v="306349.2"/>
    <n v="1175801.2"/>
  </r>
  <r>
    <x v="42"/>
    <x v="42"/>
    <x v="1"/>
    <x v="0"/>
    <x v="0"/>
    <x v="0"/>
    <x v="0"/>
    <x v="0"/>
    <x v="0"/>
    <x v="1"/>
    <x v="1"/>
    <x v="0"/>
    <n v="26"/>
    <n v="-0.1333333333333333"/>
    <n v="2145"/>
    <n v="8.388074785245081E-2"/>
    <n v="669240"/>
    <n v="-6.0636685194542683E-2"/>
    <n v="2078484"/>
    <n v="-2.004941987516318E-2"/>
    <n v="1213406"/>
    <n v="-3.048283058622181E-2"/>
    <n v="195838"/>
    <n v="0.24728046263979819"/>
    <n v="287773.2"/>
    <n v="1152851.2"/>
  </r>
  <r>
    <x v="42"/>
    <x v="42"/>
    <x v="2"/>
    <x v="0"/>
    <x v="0"/>
    <x v="0"/>
    <x v="0"/>
    <x v="0"/>
    <x v="0"/>
    <x v="1"/>
    <x v="1"/>
    <x v="0"/>
    <n v="31"/>
    <n v="0.19230769230769229"/>
    <n v="2734"/>
    <n v="0.27459207459207469"/>
    <n v="1017048"/>
    <n v="0.51970593509055041"/>
    <n v="2384972"/>
    <n v="0.14745747381264421"/>
    <n v="1224309"/>
    <n v="8.9854508713489434E-3"/>
    <n v="143615"/>
    <n v="-0.26666428374472778"/>
    <n v="437330.64"/>
    <n v="1597993.6400000001"/>
  </r>
  <r>
    <x v="42"/>
    <x v="42"/>
    <x v="3"/>
    <x v="0"/>
    <x v="0"/>
    <x v="0"/>
    <x v="0"/>
    <x v="0"/>
    <x v="0"/>
    <x v="1"/>
    <x v="1"/>
    <x v="0"/>
    <n v="37"/>
    <n v="0.19354838709677424"/>
    <n v="2592"/>
    <n v="-5.1938551572787151E-2"/>
    <n v="1150848"/>
    <n v="0.1315572126389315"/>
    <n v="2603242"/>
    <n v="9.1518894142153417E-2"/>
    <n v="1280115"/>
    <n v="4.5581630127688344E-2"/>
    <n v="172279"/>
    <n v="0.19958917940326559"/>
    <n v="494864.64000000001"/>
    <n v="1817991.6400000001"/>
  </r>
  <r>
    <x v="42"/>
    <x v="42"/>
    <x v="4"/>
    <x v="0"/>
    <x v="0"/>
    <x v="0"/>
    <x v="0"/>
    <x v="0"/>
    <x v="0"/>
    <x v="1"/>
    <x v="1"/>
    <x v="0"/>
    <n v="36"/>
    <n v="-2.7027027027026973E-2"/>
    <n v="2930"/>
    <n v="0.13040123456790129"/>
    <n v="1265760"/>
    <n v="9.9849849849849903E-2"/>
    <n v="3033004"/>
    <n v="0.16508722585145749"/>
    <n v="1647935"/>
    <n v="0.28733355987548004"/>
    <n v="119309"/>
    <n v="-0.30746637721370562"/>
    <n v="544276.80000000005"/>
    <n v="1929345.8"/>
  </r>
  <r>
    <x v="42"/>
    <x v="42"/>
    <x v="5"/>
    <x v="0"/>
    <x v="0"/>
    <x v="0"/>
    <x v="0"/>
    <x v="0"/>
    <x v="0"/>
    <x v="1"/>
    <x v="1"/>
    <x v="0"/>
    <n v="30"/>
    <n v="-0.16666666666666663"/>
    <n v="3374"/>
    <n v="0.15153583617747429"/>
    <n v="1214640"/>
    <n v="-4.0386803185437969E-2"/>
    <n v="2912372"/>
    <n v="-3.9773109432100988E-2"/>
    <n v="1665939"/>
    <n v="1.0925188190068269E-2"/>
    <n v="31793"/>
    <n v="-0.73352387498009364"/>
    <n v="522295.2"/>
    <n v="1768728.2"/>
  </r>
  <r>
    <x v="43"/>
    <x v="43"/>
    <x v="0"/>
    <x v="0"/>
    <x v="0"/>
    <x v="0"/>
    <x v="0"/>
    <x v="1"/>
    <x v="0"/>
    <x v="0"/>
    <x v="1"/>
    <x v="0"/>
    <n v="3"/>
    <n v="0"/>
    <n v="1375"/>
    <n v="0"/>
    <n v="49500"/>
    <n v="0"/>
    <n v="1039900"/>
    <n v="0"/>
    <n v="958181"/>
    <n v="0"/>
    <n v="32219"/>
    <n v="0"/>
    <n v="21285"/>
    <n v="103004"/>
  </r>
  <r>
    <x v="43"/>
    <x v="43"/>
    <x v="1"/>
    <x v="0"/>
    <x v="0"/>
    <x v="0"/>
    <x v="0"/>
    <x v="1"/>
    <x v="0"/>
    <x v="0"/>
    <x v="1"/>
    <x v="0"/>
    <n v="4"/>
    <n v="0.33333333333333326"/>
    <n v="1387"/>
    <n v="0.01"/>
    <n v="66576"/>
    <n v="0.34496969696969693"/>
    <n v="1298211"/>
    <n v="0.25"/>
    <n v="1133183"/>
    <n v="0.18263981439832344"/>
    <n v="98452"/>
    <n v="2.06"/>
    <n v="28627.68"/>
    <n v="193655.67999999999"/>
  </r>
  <r>
    <x v="43"/>
    <x v="43"/>
    <x v="2"/>
    <x v="0"/>
    <x v="0"/>
    <x v="0"/>
    <x v="0"/>
    <x v="1"/>
    <x v="0"/>
    <x v="0"/>
    <x v="1"/>
    <x v="0"/>
    <n v="4"/>
    <n v="0"/>
    <n v="1522"/>
    <n v="0.1"/>
    <n v="73056"/>
    <n v="9.7332372025955349E-2"/>
    <n v="1406758"/>
    <n v="0.08"/>
    <n v="1157076"/>
    <n v="2.1084855667619529E-2"/>
    <n v="176626"/>
    <n v="0.79"/>
    <n v="31414.079999999998"/>
    <n v="281096.08"/>
  </r>
  <r>
    <x v="43"/>
    <x v="43"/>
    <x v="3"/>
    <x v="0"/>
    <x v="0"/>
    <x v="0"/>
    <x v="0"/>
    <x v="1"/>
    <x v="0"/>
    <x v="0"/>
    <x v="1"/>
    <x v="0"/>
    <n v="4"/>
    <n v="0"/>
    <n v="1877"/>
    <n v="0.23"/>
    <n v="90096"/>
    <n v="0.23324572930354792"/>
    <n v="1174594"/>
    <n v="-0.17"/>
    <n v="1082308"/>
    <n v="-6.4618054475246267E-2"/>
    <n v="2190"/>
    <n v="-0.99"/>
    <n v="38741.279999999999"/>
    <n v="131027.28"/>
  </r>
  <r>
    <x v="43"/>
    <x v="43"/>
    <x v="4"/>
    <x v="0"/>
    <x v="0"/>
    <x v="0"/>
    <x v="0"/>
    <x v="1"/>
    <x v="0"/>
    <x v="0"/>
    <x v="1"/>
    <x v="0"/>
    <n v="3"/>
    <n v="-0.25"/>
    <n v="1842"/>
    <n v="-0.02"/>
    <n v="66312"/>
    <n v="-0.26398508257858289"/>
    <n v="1321169"/>
    <n v="0.12"/>
    <n v="1149006"/>
    <n v="6.1625710980608206E-2"/>
    <n v="105851"/>
    <n v="47.33"/>
    <n v="28514.16"/>
    <n v="200677.16"/>
  </r>
  <r>
    <x v="43"/>
    <x v="43"/>
    <x v="5"/>
    <x v="0"/>
    <x v="0"/>
    <x v="0"/>
    <x v="0"/>
    <x v="1"/>
    <x v="0"/>
    <x v="0"/>
    <x v="1"/>
    <x v="0"/>
    <n v="3"/>
    <n v="0"/>
    <n v="0"/>
    <n v="0"/>
    <n v="0"/>
    <n v="-1"/>
    <n v="786302"/>
    <n v="-0.4"/>
    <n v="0"/>
    <n v="-1"/>
    <n v="37146"/>
    <n v="-0.65"/>
    <n v="0"/>
    <n v="786302"/>
  </r>
  <r>
    <x v="44"/>
    <x v="44"/>
    <x v="0"/>
    <x v="0"/>
    <x v="1"/>
    <x v="0"/>
    <x v="0"/>
    <x v="0"/>
    <x v="0"/>
    <x v="0"/>
    <x v="1"/>
    <x v="0"/>
    <n v="17"/>
    <n v="0"/>
    <n v="1365"/>
    <n v="0"/>
    <n v="278460"/>
    <n v="0"/>
    <n v="2483374"/>
    <n v="0"/>
    <n v="2101903"/>
    <n v="0"/>
    <n v="103011"/>
    <n v="0"/>
    <n v="119737.8"/>
    <n v="501208.8"/>
  </r>
  <r>
    <x v="44"/>
    <x v="44"/>
    <x v="1"/>
    <x v="0"/>
    <x v="1"/>
    <x v="0"/>
    <x v="0"/>
    <x v="0"/>
    <x v="0"/>
    <x v="0"/>
    <x v="1"/>
    <x v="0"/>
    <n v="16"/>
    <n v="-5.8823529411764719E-2"/>
    <n v="1086"/>
    <n v="-0.2"/>
    <n v="208512"/>
    <n v="-0.25119586296056884"/>
    <n v="2102463"/>
    <n v="-0.15"/>
    <n v="1765778"/>
    <n v="-0.15991461071229263"/>
    <n v="128173"/>
    <n v="0.24"/>
    <n v="89660.160000000003"/>
    <n v="426345.16000000003"/>
  </r>
  <r>
    <x v="44"/>
    <x v="44"/>
    <x v="2"/>
    <x v="0"/>
    <x v="1"/>
    <x v="0"/>
    <x v="0"/>
    <x v="0"/>
    <x v="0"/>
    <x v="0"/>
    <x v="1"/>
    <x v="0"/>
    <n v="14"/>
    <n v="-0.125"/>
    <n v="1485"/>
    <n v="0.37"/>
    <n v="249480"/>
    <n v="0.19647790055248615"/>
    <n v="2392327"/>
    <n v="0.14000000000000001"/>
    <n v="1949472"/>
    <n v="0.10403006493455003"/>
    <n v="193375"/>
    <n v="0.51"/>
    <n v="107276.4"/>
    <n v="550131.4"/>
  </r>
  <r>
    <x v="44"/>
    <x v="44"/>
    <x v="3"/>
    <x v="0"/>
    <x v="1"/>
    <x v="0"/>
    <x v="0"/>
    <x v="0"/>
    <x v="0"/>
    <x v="0"/>
    <x v="1"/>
    <x v="0"/>
    <n v="14"/>
    <n v="0"/>
    <n v="2179"/>
    <n v="0.47"/>
    <n v="366072"/>
    <n v="0.46734006734006739"/>
    <n v="3769383"/>
    <n v="0.57999999999999996"/>
    <n v="3126396"/>
    <n v="0.60371423647018263"/>
    <n v="276915"/>
    <n v="0.43"/>
    <n v="157410.96"/>
    <n v="800397.96"/>
  </r>
  <r>
    <x v="44"/>
    <x v="44"/>
    <x v="4"/>
    <x v="0"/>
    <x v="1"/>
    <x v="0"/>
    <x v="0"/>
    <x v="0"/>
    <x v="0"/>
    <x v="0"/>
    <x v="1"/>
    <x v="0"/>
    <n v="15"/>
    <n v="7.1428571428571397E-2"/>
    <n v="2456"/>
    <n v="0.13"/>
    <n v="442080"/>
    <n v="0.20763128564872479"/>
    <n v="3334151"/>
    <n v="-0.12"/>
    <n v="2783702"/>
    <n v="-0.10961311362987924"/>
    <n v="108369"/>
    <n v="-0.61"/>
    <n v="190094.4"/>
    <n v="740543.4"/>
  </r>
  <r>
    <x v="44"/>
    <x v="44"/>
    <x v="5"/>
    <x v="0"/>
    <x v="1"/>
    <x v="0"/>
    <x v="0"/>
    <x v="0"/>
    <x v="0"/>
    <x v="0"/>
    <x v="1"/>
    <x v="0"/>
    <n v="14"/>
    <n v="-6.6666666666666652E-2"/>
    <n v="2899"/>
    <n v="0.18"/>
    <n v="487032"/>
    <n v="0.1016829533116177"/>
    <n v="3604605"/>
    <n v="0.08"/>
    <n v="2979828"/>
    <n v="7.0455099001258015E-2"/>
    <n v="137745"/>
    <n v="0.27"/>
    <n v="209423.76"/>
    <n v="834200.76"/>
  </r>
  <r>
    <x v="45"/>
    <x v="45"/>
    <x v="0"/>
    <x v="0"/>
    <x v="0"/>
    <x v="0"/>
    <x v="0"/>
    <x v="0"/>
    <x v="0"/>
    <x v="0"/>
    <x v="0"/>
    <x v="0"/>
    <n v="3"/>
    <n v="0"/>
    <n v="1764"/>
    <n v="0"/>
    <n v="63504"/>
    <n v="0"/>
    <n v="585857"/>
    <n v="0"/>
    <n v="456475"/>
    <n v="0"/>
    <n v="65878"/>
    <n v="0"/>
    <n v="27306.720000000001"/>
    <n v="156688.72"/>
  </r>
  <r>
    <x v="45"/>
    <x v="45"/>
    <x v="1"/>
    <x v="0"/>
    <x v="0"/>
    <x v="0"/>
    <x v="0"/>
    <x v="0"/>
    <x v="0"/>
    <x v="0"/>
    <x v="0"/>
    <x v="0"/>
    <n v="5"/>
    <n v="0.66666666666666674"/>
    <n v="1914"/>
    <n v="8.503401360544216E-2"/>
    <n v="114840"/>
    <n v="0.80839002267573701"/>
    <n v="1002530"/>
    <n v="0.71121963209452144"/>
    <n v="805535"/>
    <n v="0.76468590831918504"/>
    <n v="82155"/>
    <n v="0.24707793193478839"/>
    <n v="49381.2"/>
    <n v="246376.2"/>
  </r>
  <r>
    <x v="45"/>
    <x v="45"/>
    <x v="2"/>
    <x v="0"/>
    <x v="0"/>
    <x v="0"/>
    <x v="0"/>
    <x v="0"/>
    <x v="0"/>
    <x v="0"/>
    <x v="0"/>
    <x v="0"/>
    <n v="8"/>
    <n v="0.60000000000000009"/>
    <n v="2004"/>
    <n v="4.7021943573667617E-2"/>
    <n v="192384"/>
    <n v="0.67523510971786838"/>
    <n v="1493124"/>
    <n v="0.48935592949836909"/>
    <n v="1216227"/>
    <n v="0.50983756137225567"/>
    <n v="84513"/>
    <n v="2.8701844075223581E-2"/>
    <n v="82725.119999999995"/>
    <n v="359622.12"/>
  </r>
  <r>
    <x v="45"/>
    <x v="45"/>
    <x v="3"/>
    <x v="0"/>
    <x v="0"/>
    <x v="0"/>
    <x v="0"/>
    <x v="0"/>
    <x v="0"/>
    <x v="0"/>
    <x v="0"/>
    <x v="0"/>
    <n v="12"/>
    <n v="0.5"/>
    <n v="2143"/>
    <n v="6.9361277445109781E-2"/>
    <n v="308592"/>
    <n v="0.60404191616766467"/>
    <n v="1800902"/>
    <n v="0.20613023432749039"/>
    <n v="1467095"/>
    <n v="0.20626741554002659"/>
    <n v="25215"/>
    <n v="-0.70164353413084379"/>
    <n v="132694.56"/>
    <n v="466501.56"/>
  </r>
  <r>
    <x v="45"/>
    <x v="45"/>
    <x v="4"/>
    <x v="0"/>
    <x v="0"/>
    <x v="0"/>
    <x v="0"/>
    <x v="0"/>
    <x v="0"/>
    <x v="0"/>
    <x v="0"/>
    <x v="0"/>
    <n v="12"/>
    <n v="0"/>
    <n v="2169"/>
    <n v="1.213252449836677E-2"/>
    <n v="312336"/>
    <n v="1.213252449836677E-2"/>
    <n v="1925562"/>
    <n v="6.9220868209375119E-2"/>
    <n v="1530560"/>
    <n v="4.3258957327235059E-2"/>
    <n v="82666"/>
    <n v="2.2784453698195519"/>
    <n v="134304.48000000001"/>
    <n v="529306.48"/>
  </r>
  <r>
    <x v="45"/>
    <x v="45"/>
    <x v="5"/>
    <x v="0"/>
    <x v="0"/>
    <x v="0"/>
    <x v="0"/>
    <x v="0"/>
    <x v="0"/>
    <x v="0"/>
    <x v="0"/>
    <x v="0"/>
    <n v="13"/>
    <n v="8.3333333333333259E-2"/>
    <n v="2452"/>
    <n v="0.13047487321346241"/>
    <n v="382512"/>
    <n v="0.22468111264791757"/>
    <n v="2454743"/>
    <n v="0.27481898791106191"/>
    <n v="1930905"/>
    <n v="0.26156766150951283"/>
    <n v="141326"/>
    <n v="0.70960249679432907"/>
    <n v="164480.16"/>
    <n v="688318.16"/>
  </r>
  <r>
    <x v="46"/>
    <x v="46"/>
    <x v="0"/>
    <x v="0"/>
    <x v="0"/>
    <x v="0"/>
    <x v="0"/>
    <x v="0"/>
    <x v="0"/>
    <x v="1"/>
    <x v="0"/>
    <x v="0"/>
    <n v="21"/>
    <n v="0"/>
    <n v="2641"/>
    <n v="0"/>
    <n v="665532"/>
    <n v="0"/>
    <n v="1437630"/>
    <n v="0"/>
    <n v="742599"/>
    <n v="0"/>
    <n v="29499"/>
    <n v="0"/>
    <n v="286178.76"/>
    <n v="981209.76"/>
  </r>
  <r>
    <x v="46"/>
    <x v="46"/>
    <x v="1"/>
    <x v="0"/>
    <x v="0"/>
    <x v="0"/>
    <x v="0"/>
    <x v="0"/>
    <x v="0"/>
    <x v="1"/>
    <x v="0"/>
    <x v="0"/>
    <n v="19"/>
    <n v="-9.5238095238095233E-2"/>
    <n v="2472"/>
    <n v="-6.3990912533131383E-2"/>
    <n v="563616"/>
    <n v="-0.15313463514902359"/>
    <n v="1657585"/>
    <n v="0.1529983375416484"/>
    <n v="911880"/>
    <n v="0.2279574844566179"/>
    <n v="182089"/>
    <n v="5.1727177192447202"/>
    <n v="242354.88"/>
    <n v="988059.88"/>
  </r>
  <r>
    <x v="46"/>
    <x v="46"/>
    <x v="2"/>
    <x v="0"/>
    <x v="0"/>
    <x v="0"/>
    <x v="0"/>
    <x v="0"/>
    <x v="0"/>
    <x v="1"/>
    <x v="0"/>
    <x v="0"/>
    <n v="30"/>
    <n v="0.57894736842105265"/>
    <n v="2653"/>
    <n v="7.3220064724919043E-2"/>
    <n v="955080"/>
    <n v="0.69455799693408271"/>
    <n v="2138268"/>
    <n v="0.28998995526624571"/>
    <n v="1091157"/>
    <n v="0.19660152651664697"/>
    <n v="92031"/>
    <n v="-0.49458231963490379"/>
    <n v="410684.39999999997"/>
    <n v="1457795.4"/>
  </r>
  <r>
    <x v="46"/>
    <x v="46"/>
    <x v="3"/>
    <x v="0"/>
    <x v="0"/>
    <x v="0"/>
    <x v="0"/>
    <x v="0"/>
    <x v="0"/>
    <x v="1"/>
    <x v="0"/>
    <x v="0"/>
    <n v="23"/>
    <n v="-0.23333333333333328"/>
    <n v="3013"/>
    <n v="0.13569543912551829"/>
    <n v="831588"/>
    <n v="-0.1293001633371027"/>
    <n v="2505905"/>
    <n v="0.17193214321123459"/>
    <n v="1505264"/>
    <n v="0.37951183926785981"/>
    <n v="169053"/>
    <n v="0.83691364866186402"/>
    <n v="357582.83999999997"/>
    <n v="1358223.8399999999"/>
  </r>
  <r>
    <x v="46"/>
    <x v="46"/>
    <x v="4"/>
    <x v="0"/>
    <x v="0"/>
    <x v="0"/>
    <x v="0"/>
    <x v="0"/>
    <x v="0"/>
    <x v="1"/>
    <x v="0"/>
    <x v="0"/>
    <n v="19"/>
    <n v="-0.17391304347826086"/>
    <n v="3356"/>
    <n v="0.1138400265516097"/>
    <n v="765168"/>
    <n v="-7.9871282413887634E-2"/>
    <n v="2356412"/>
    <n v="-5.9656291838677038E-2"/>
    <n v="1419365"/>
    <n v="-5.706573730588127E-2"/>
    <n v="171879"/>
    <n v="1.6716650991109191E-2"/>
    <n v="329022.24"/>
    <n v="1266069.24"/>
  </r>
  <r>
    <x v="46"/>
    <x v="46"/>
    <x v="5"/>
    <x v="0"/>
    <x v="0"/>
    <x v="0"/>
    <x v="0"/>
    <x v="0"/>
    <x v="0"/>
    <x v="1"/>
    <x v="0"/>
    <x v="0"/>
    <n v="19"/>
    <n v="0"/>
    <n v="3590"/>
    <n v="6.9725864123957093E-2"/>
    <n v="818520"/>
    <n v="6.9725864123957093E-2"/>
    <n v="2822488"/>
    <n v="0.197790539175662"/>
    <n v="1869505"/>
    <n v="0.31714182046196715"/>
    <n v="134463"/>
    <n v="-0.21768802471506121"/>
    <n v="351963.6"/>
    <n v="1304946.6000000001"/>
  </r>
  <r>
    <x v="47"/>
    <x v="47"/>
    <x v="0"/>
    <x v="0"/>
    <x v="0"/>
    <x v="0"/>
    <x v="1"/>
    <x v="0"/>
    <x v="0"/>
    <x v="0"/>
    <x v="1"/>
    <x v="0"/>
    <n v="49"/>
    <n v="0"/>
    <n v="2418"/>
    <n v="0"/>
    <n v="1421784"/>
    <n v="0"/>
    <n v="19167730"/>
    <n v="0"/>
    <n v="17042343"/>
    <n v="0"/>
    <n v="703603"/>
    <n v="0"/>
    <n v="611367.12"/>
    <n v="2736754.12"/>
  </r>
  <r>
    <x v="47"/>
    <x v="47"/>
    <x v="1"/>
    <x v="0"/>
    <x v="0"/>
    <x v="0"/>
    <x v="1"/>
    <x v="0"/>
    <x v="0"/>
    <x v="0"/>
    <x v="1"/>
    <x v="0"/>
    <n v="47"/>
    <n v="-4.081632653061229E-2"/>
    <n v="2300"/>
    <n v="-4.8800661703887527E-2"/>
    <n v="1297200"/>
    <n v="-8.7625124491483963E-2"/>
    <n v="20518557"/>
    <n v="7.0474020658680026E-2"/>
    <n v="18510279"/>
    <n v="8.6134635360877398E-2"/>
    <n v="711078"/>
    <n v="1.062388875544884E-2"/>
    <n v="557796"/>
    <n v="2566074"/>
  </r>
  <r>
    <x v="47"/>
    <x v="47"/>
    <x v="2"/>
    <x v="0"/>
    <x v="0"/>
    <x v="0"/>
    <x v="1"/>
    <x v="0"/>
    <x v="0"/>
    <x v="0"/>
    <x v="1"/>
    <x v="0"/>
    <n v="51"/>
    <n v="8.5106382978723305E-2"/>
    <n v="2604"/>
    <n v="0.13217391304347831"/>
    <n v="1593648"/>
    <n v="0.2285291396854765"/>
    <n v="19713947"/>
    <n v="-3.9213771221826121E-2"/>
    <n v="17519286"/>
    <n v="-5.3537442628498466E-2"/>
    <n v="601013"/>
    <n v="-0.1547861134784089"/>
    <n v="685268.64"/>
    <n v="2879929.64"/>
  </r>
  <r>
    <x v="47"/>
    <x v="47"/>
    <x v="3"/>
    <x v="0"/>
    <x v="0"/>
    <x v="0"/>
    <x v="1"/>
    <x v="0"/>
    <x v="0"/>
    <x v="0"/>
    <x v="1"/>
    <x v="0"/>
    <n v="40"/>
    <n v="-0.21568627450980393"/>
    <n v="2988"/>
    <n v="0.14746543778801849"/>
    <n v="1434240"/>
    <n v="-0.10002710761724043"/>
    <n v="17453957"/>
    <n v="-0.1146391435464446"/>
    <n v="15528872"/>
    <n v="-0.11361273513087233"/>
    <n v="490845"/>
    <n v="-0.18330385532426091"/>
    <n v="616723.19999999995"/>
    <n v="2541808.2000000002"/>
  </r>
  <r>
    <x v="47"/>
    <x v="47"/>
    <x v="4"/>
    <x v="0"/>
    <x v="0"/>
    <x v="0"/>
    <x v="1"/>
    <x v="0"/>
    <x v="0"/>
    <x v="0"/>
    <x v="1"/>
    <x v="0"/>
    <n v="32"/>
    <n v="-0.19999999999999996"/>
    <n v="3726"/>
    <n v="0.24698795180722891"/>
    <n v="1430784"/>
    <n v="-2.4096385542168308E-3"/>
    <n v="26945192"/>
    <n v="0.54378700486084619"/>
    <n v="24856058"/>
    <n v="0.60063512662091623"/>
    <n v="658350"/>
    <n v="0.34125844207438177"/>
    <n v="615237.12"/>
    <n v="2704371.12"/>
  </r>
  <r>
    <x v="47"/>
    <x v="47"/>
    <x v="5"/>
    <x v="0"/>
    <x v="0"/>
    <x v="0"/>
    <x v="1"/>
    <x v="0"/>
    <x v="0"/>
    <x v="0"/>
    <x v="1"/>
    <x v="0"/>
    <n v="33"/>
    <n v="3.125E-2"/>
    <n v="4330"/>
    <n v="0.1621041331186259"/>
    <n v="1714680"/>
    <n v="0.19841988727858295"/>
    <n v="21601990"/>
    <n v="-0.1982989024535434"/>
    <n v="19592438"/>
    <n v="-0.2117640697491131"/>
    <n v="294872"/>
    <n v="-0.5521045036834511"/>
    <n v="737312.4"/>
    <n v="2746864.4"/>
  </r>
  <r>
    <x v="48"/>
    <x v="48"/>
    <x v="0"/>
    <x v="0"/>
    <x v="0"/>
    <x v="0"/>
    <x v="0"/>
    <x v="0"/>
    <x v="0"/>
    <x v="1"/>
    <x v="1"/>
    <x v="0"/>
    <n v="24"/>
    <n v="0"/>
    <n v="2463"/>
    <n v="0"/>
    <n v="709344"/>
    <n v="0"/>
    <n v="1653501"/>
    <n v="0"/>
    <n v="742762"/>
    <n v="0"/>
    <n v="201395"/>
    <n v="0"/>
    <n v="305017.92"/>
    <n v="1215756.92"/>
  </r>
  <r>
    <x v="48"/>
    <x v="48"/>
    <x v="1"/>
    <x v="0"/>
    <x v="0"/>
    <x v="0"/>
    <x v="0"/>
    <x v="0"/>
    <x v="0"/>
    <x v="1"/>
    <x v="1"/>
    <x v="0"/>
    <n v="25"/>
    <n v="4.1666666666666741E-2"/>
    <n v="2430"/>
    <n v="-1.339829476248477E-2"/>
    <n v="729000"/>
    <n v="2.7710109622411716E-2"/>
    <n v="1636617"/>
    <n v="-1.0211061257295871E-2"/>
    <n v="709069"/>
    <n v="-4.5361771334559431E-2"/>
    <n v="198548"/>
    <n v="-1.4136398619628119E-2"/>
    <n v="313470"/>
    <n v="1241018"/>
  </r>
  <r>
    <x v="48"/>
    <x v="48"/>
    <x v="2"/>
    <x v="0"/>
    <x v="0"/>
    <x v="0"/>
    <x v="0"/>
    <x v="0"/>
    <x v="0"/>
    <x v="1"/>
    <x v="1"/>
    <x v="0"/>
    <n v="25"/>
    <n v="0"/>
    <n v="3043"/>
    <n v="0.25226337448559671"/>
    <n v="912900"/>
    <n v="0.25226337448559666"/>
    <n v="2400631"/>
    <n v="0.46682516434816451"/>
    <n v="1318874"/>
    <n v="0.86000798229791453"/>
    <n v="168857"/>
    <n v="-0.14954066522956669"/>
    <n v="392547"/>
    <n v="1474304"/>
  </r>
  <r>
    <x v="48"/>
    <x v="48"/>
    <x v="3"/>
    <x v="0"/>
    <x v="0"/>
    <x v="0"/>
    <x v="0"/>
    <x v="0"/>
    <x v="0"/>
    <x v="1"/>
    <x v="1"/>
    <x v="0"/>
    <n v="26"/>
    <n v="4.0000000000000036E-2"/>
    <n v="2910"/>
    <n v="-4.3706868222149198E-2"/>
    <n v="907920"/>
    <n v="-5.4551429510351079E-3"/>
    <n v="2555494"/>
    <n v="6.4509289432653327E-2"/>
    <n v="1407028"/>
    <n v="6.6840350177499896E-2"/>
    <n v="240546"/>
    <n v="0.4245545046992425"/>
    <n v="390405.6"/>
    <n v="1538871.6"/>
  </r>
  <r>
    <x v="48"/>
    <x v="48"/>
    <x v="4"/>
    <x v="0"/>
    <x v="0"/>
    <x v="0"/>
    <x v="0"/>
    <x v="0"/>
    <x v="0"/>
    <x v="1"/>
    <x v="1"/>
    <x v="0"/>
    <n v="25"/>
    <n v="-3.8461538461538436E-2"/>
    <n v="3402"/>
    <n v="0.1690721649484537"/>
    <n v="1020600"/>
    <n v="0.12410785091197463"/>
    <n v="2714172"/>
    <n v="6.2092886933015727E-2"/>
    <n v="1457258"/>
    <n v="3.5699360638167921E-2"/>
    <n v="236314"/>
    <n v="-1.7593308556367648E-2"/>
    <n v="438858"/>
    <n v="1695772"/>
  </r>
  <r>
    <x v="48"/>
    <x v="48"/>
    <x v="5"/>
    <x v="0"/>
    <x v="0"/>
    <x v="0"/>
    <x v="0"/>
    <x v="0"/>
    <x v="0"/>
    <x v="1"/>
    <x v="1"/>
    <x v="0"/>
    <n v="25"/>
    <n v="0"/>
    <n v="3253"/>
    <n v="-4.3797766019988187E-2"/>
    <n v="975900"/>
    <n v="-4.3797766019988194E-2"/>
    <n v="2679018"/>
    <n v="-1.295201630552523E-2"/>
    <n v="1473832"/>
    <n v="1.1373415002696952E-2"/>
    <n v="229286"/>
    <n v="-2.9740091573076551E-2"/>
    <n v="419637"/>
    <n v="1624823"/>
  </r>
  <r>
    <x v="49"/>
    <x v="49"/>
    <x v="0"/>
    <x v="0"/>
    <x v="0"/>
    <x v="0"/>
    <x v="0"/>
    <x v="0"/>
    <x v="0"/>
    <x v="1"/>
    <x v="1"/>
    <x v="0"/>
    <n v="3"/>
    <n v="0"/>
    <n v="0"/>
    <n v="0"/>
    <n v="0"/>
    <n v="0"/>
    <n v="179773"/>
    <n v="0"/>
    <n v="0"/>
    <n v="0"/>
    <n v="-8843"/>
    <n v="0"/>
    <n v="0"/>
    <n v="179773"/>
  </r>
  <r>
    <x v="49"/>
    <x v="49"/>
    <x v="1"/>
    <x v="0"/>
    <x v="0"/>
    <x v="0"/>
    <x v="0"/>
    <x v="0"/>
    <x v="0"/>
    <x v="1"/>
    <x v="1"/>
    <x v="0"/>
    <n v="3"/>
    <n v="0"/>
    <n v="0"/>
    <n v="0"/>
    <n v="0"/>
    <n v="0"/>
    <n v="155093"/>
    <n v="-0.13728424179381771"/>
    <n v="0"/>
    <n v="0"/>
    <n v="14832"/>
    <n v="-2.6772588488069662"/>
    <n v="0"/>
    <n v="155093"/>
  </r>
  <r>
    <x v="49"/>
    <x v="49"/>
    <x v="2"/>
    <x v="0"/>
    <x v="0"/>
    <x v="0"/>
    <x v="0"/>
    <x v="0"/>
    <x v="0"/>
    <x v="1"/>
    <x v="1"/>
    <x v="0"/>
    <n v="3"/>
    <n v="0"/>
    <n v="0"/>
    <n v="0"/>
    <n v="0"/>
    <n v="0"/>
    <n v="159105"/>
    <n v="2.5868349957767212E-2"/>
    <n v="0"/>
    <n v="0"/>
    <n v="2492"/>
    <n v="-0.83198489751887816"/>
    <n v="0"/>
    <n v="159105"/>
  </r>
  <r>
    <x v="49"/>
    <x v="49"/>
    <x v="3"/>
    <x v="0"/>
    <x v="0"/>
    <x v="0"/>
    <x v="0"/>
    <x v="0"/>
    <x v="0"/>
    <x v="1"/>
    <x v="1"/>
    <x v="0"/>
    <n v="3"/>
    <n v="0"/>
    <n v="0"/>
    <n v="0"/>
    <n v="0"/>
    <n v="0"/>
    <n v="167838"/>
    <n v="5.4888281323654198E-2"/>
    <n v="0"/>
    <n v="0"/>
    <n v="-4052"/>
    <n v="-2.6260032102728732"/>
    <n v="0"/>
    <n v="167838"/>
  </r>
  <r>
    <x v="49"/>
    <x v="49"/>
    <x v="4"/>
    <x v="0"/>
    <x v="0"/>
    <x v="0"/>
    <x v="0"/>
    <x v="0"/>
    <x v="0"/>
    <x v="1"/>
    <x v="1"/>
    <x v="0"/>
    <n v="2"/>
    <n v="-0.33333333333333337"/>
    <n v="0"/>
    <n v="0"/>
    <n v="0"/>
    <n v="0"/>
    <n v="177479"/>
    <n v="5.7442295546896498E-2"/>
    <n v="0"/>
    <n v="0"/>
    <n v="6521"/>
    <n v="-2.609328726554788"/>
    <n v="0"/>
    <n v="177479"/>
  </r>
  <r>
    <x v="49"/>
    <x v="49"/>
    <x v="5"/>
    <x v="0"/>
    <x v="0"/>
    <x v="0"/>
    <x v="0"/>
    <x v="0"/>
    <x v="0"/>
    <x v="1"/>
    <x v="1"/>
    <x v="0"/>
    <n v="2"/>
    <n v="0"/>
    <n v="0"/>
    <n v="0"/>
    <n v="0"/>
    <n v="0"/>
    <n v="193289"/>
    <n v="8.9080961691242244E-2"/>
    <n v="0"/>
    <n v="0"/>
    <n v="9873"/>
    <n v="0.5140315902468946"/>
    <n v="0"/>
    <n v="193289"/>
  </r>
  <r>
    <x v="50"/>
    <x v="50"/>
    <x v="0"/>
    <x v="0"/>
    <x v="0"/>
    <x v="0"/>
    <x v="0"/>
    <x v="0"/>
    <x v="1"/>
    <x v="0"/>
    <x v="1"/>
    <x v="0"/>
    <n v="7"/>
    <n v="0"/>
    <n v="2072"/>
    <n v="0"/>
    <n v="174048"/>
    <n v="0"/>
    <n v="320551"/>
    <n v="0"/>
    <n v="194407"/>
    <n v="0"/>
    <n v="-47904"/>
    <n v="0"/>
    <n v="74840.639999999999"/>
    <n v="200984.64"/>
  </r>
  <r>
    <x v="50"/>
    <x v="50"/>
    <x v="1"/>
    <x v="0"/>
    <x v="0"/>
    <x v="0"/>
    <x v="0"/>
    <x v="0"/>
    <x v="1"/>
    <x v="0"/>
    <x v="1"/>
    <x v="0"/>
    <n v="3"/>
    <n v="-0.5714285714285714"/>
    <n v="0"/>
    <n v="0"/>
    <n v="0"/>
    <n v="-1"/>
    <n v="379917"/>
    <n v="0.19"/>
    <n v="0"/>
    <n v="-1"/>
    <n v="31094"/>
    <n v="1.65"/>
    <n v="0"/>
    <n v="379917"/>
  </r>
  <r>
    <x v="50"/>
    <x v="50"/>
    <x v="2"/>
    <x v="0"/>
    <x v="0"/>
    <x v="0"/>
    <x v="0"/>
    <x v="0"/>
    <x v="1"/>
    <x v="0"/>
    <x v="1"/>
    <x v="0"/>
    <n v="4"/>
    <n v="0.33333333333333326"/>
    <n v="2520"/>
    <n v="0"/>
    <n v="120960"/>
    <n v="0"/>
    <n v="299630"/>
    <n v="-0.21"/>
    <n v="163553"/>
    <n v="0"/>
    <n v="15117"/>
    <n v="-0.51"/>
    <n v="52012.799999999996"/>
    <n v="188089.8"/>
  </r>
  <r>
    <x v="50"/>
    <x v="50"/>
    <x v="3"/>
    <x v="0"/>
    <x v="0"/>
    <x v="0"/>
    <x v="0"/>
    <x v="0"/>
    <x v="1"/>
    <x v="0"/>
    <x v="1"/>
    <x v="0"/>
    <n v="5"/>
    <n v="0.25"/>
    <n v="2431"/>
    <n v="-0.04"/>
    <n v="145860"/>
    <n v="0.20585317460317465"/>
    <n v="276081"/>
    <n v="-0.08"/>
    <n v="139105"/>
    <n v="-0.14948059650388557"/>
    <n v="-8884"/>
    <n v="-1.59"/>
    <n v="62719.799999999996"/>
    <n v="199695.8"/>
  </r>
  <r>
    <x v="50"/>
    <x v="50"/>
    <x v="4"/>
    <x v="0"/>
    <x v="0"/>
    <x v="0"/>
    <x v="0"/>
    <x v="0"/>
    <x v="1"/>
    <x v="0"/>
    <x v="1"/>
    <x v="0"/>
    <n v="5"/>
    <n v="0"/>
    <n v="2207"/>
    <n v="-0.09"/>
    <n v="132420"/>
    <n v="-9.2143150966680354E-2"/>
    <n v="294768"/>
    <n v="7.0000000000000007E-2"/>
    <n v="131488"/>
    <n v="-5.4757197800222812E-2"/>
    <n v="30860"/>
    <n v="4.47"/>
    <n v="56940.6"/>
    <n v="220220.6"/>
  </r>
  <r>
    <x v="50"/>
    <x v="50"/>
    <x v="5"/>
    <x v="0"/>
    <x v="0"/>
    <x v="0"/>
    <x v="0"/>
    <x v="0"/>
    <x v="1"/>
    <x v="0"/>
    <x v="1"/>
    <x v="0"/>
    <n v="5"/>
    <n v="0"/>
    <n v="2277"/>
    <n v="0.03"/>
    <n v="136620"/>
    <n v="3.1717263253284944E-2"/>
    <n v="299800"/>
    <n v="0.02"/>
    <n v="150893"/>
    <n v="0.14758000730104648"/>
    <n v="12287"/>
    <n v="-0.6"/>
    <n v="58746.6"/>
    <n v="207653.6"/>
  </r>
  <r>
    <x v="51"/>
    <x v="51"/>
    <x v="0"/>
    <x v="0"/>
    <x v="0"/>
    <x v="0"/>
    <x v="0"/>
    <x v="1"/>
    <x v="0"/>
    <x v="0"/>
    <x v="1"/>
    <x v="0"/>
    <n v="10"/>
    <n v="0"/>
    <n v="885"/>
    <n v="0"/>
    <n v="106200"/>
    <n v="0"/>
    <n v="577489"/>
    <n v="0"/>
    <n v="401167"/>
    <n v="0"/>
    <n v="70122"/>
    <n v="0"/>
    <n v="45666"/>
    <n v="221988"/>
  </r>
  <r>
    <x v="51"/>
    <x v="51"/>
    <x v="1"/>
    <x v="0"/>
    <x v="0"/>
    <x v="0"/>
    <x v="0"/>
    <x v="1"/>
    <x v="0"/>
    <x v="0"/>
    <x v="1"/>
    <x v="0"/>
    <n v="10"/>
    <n v="0"/>
    <n v="951"/>
    <n v="7.0000000000000007E-2"/>
    <n v="114120"/>
    <n v="7.4576271186440612E-2"/>
    <n v="464698"/>
    <n v="-0.2"/>
    <n v="296920"/>
    <n v="-0.25985936031627721"/>
    <n v="53658"/>
    <n v="-0.23"/>
    <n v="49071.6"/>
    <n v="216849.6"/>
  </r>
  <r>
    <x v="51"/>
    <x v="51"/>
    <x v="2"/>
    <x v="0"/>
    <x v="0"/>
    <x v="0"/>
    <x v="0"/>
    <x v="1"/>
    <x v="0"/>
    <x v="0"/>
    <x v="1"/>
    <x v="0"/>
    <n v="10"/>
    <n v="0"/>
    <n v="1469"/>
    <n v="0.54"/>
    <n v="176280"/>
    <n v="0.54468980021030489"/>
    <n v="690337"/>
    <n v="0.49"/>
    <n v="443166"/>
    <n v="0.49254344604607292"/>
    <n v="70891"/>
    <n v="0.32"/>
    <n v="75800.399999999994"/>
    <n v="322971.40000000002"/>
  </r>
  <r>
    <x v="51"/>
    <x v="51"/>
    <x v="3"/>
    <x v="0"/>
    <x v="0"/>
    <x v="0"/>
    <x v="0"/>
    <x v="1"/>
    <x v="0"/>
    <x v="0"/>
    <x v="1"/>
    <x v="0"/>
    <n v="7"/>
    <n v="-0.30000000000000004"/>
    <n v="1752"/>
    <n v="0.19"/>
    <n v="147168"/>
    <n v="-0.16514635806671207"/>
    <n v="410820"/>
    <n v="-0.4"/>
    <n v="246867"/>
    <n v="-0.4429468867196491"/>
    <n v="16785"/>
    <n v="-0.76"/>
    <n v="63282.239999999998"/>
    <n v="227235.24"/>
  </r>
  <r>
    <x v="51"/>
    <x v="51"/>
    <x v="4"/>
    <x v="0"/>
    <x v="0"/>
    <x v="0"/>
    <x v="0"/>
    <x v="1"/>
    <x v="0"/>
    <x v="0"/>
    <x v="1"/>
    <x v="0"/>
    <n v="2"/>
    <n v="-0.7142857142857143"/>
    <n v="0"/>
    <n v="0"/>
    <n v="0"/>
    <n v="-1"/>
    <n v="451779"/>
    <n v="0.1"/>
    <n v="0"/>
    <n v="-1"/>
    <n v="583"/>
    <n v="-0.97"/>
    <n v="0"/>
    <n v="451779"/>
  </r>
  <r>
    <x v="51"/>
    <x v="51"/>
    <x v="5"/>
    <x v="0"/>
    <x v="0"/>
    <x v="0"/>
    <x v="0"/>
    <x v="1"/>
    <x v="0"/>
    <x v="0"/>
    <x v="1"/>
    <x v="0"/>
    <n v="2"/>
    <n v="0"/>
    <n v="0"/>
    <n v="0"/>
    <n v="0"/>
    <n v="0"/>
    <n v="477010"/>
    <n v="0.06"/>
    <n v="0"/>
    <n v="0"/>
    <n v="21248"/>
    <n v="35.450000000000003"/>
    <n v="0"/>
    <n v="477010"/>
  </r>
  <r>
    <x v="52"/>
    <x v="52"/>
    <x v="1"/>
    <x v="0"/>
    <x v="0"/>
    <x v="0"/>
    <x v="0"/>
    <x v="1"/>
    <x v="0"/>
    <x v="0"/>
    <x v="1"/>
    <x v="0"/>
    <n v="3"/>
    <n v="0.5"/>
    <n v="0"/>
    <n v="0"/>
    <n v="0"/>
    <n v="0"/>
    <n v="239230"/>
    <n v="0"/>
    <n v="0"/>
    <n v="0"/>
    <n v="27406"/>
    <n v="0"/>
    <n v="0"/>
    <n v="239230"/>
  </r>
  <r>
    <x v="52"/>
    <x v="52"/>
    <x v="2"/>
    <x v="0"/>
    <x v="0"/>
    <x v="0"/>
    <x v="0"/>
    <x v="1"/>
    <x v="0"/>
    <x v="0"/>
    <x v="1"/>
    <x v="0"/>
    <n v="3"/>
    <n v="0"/>
    <n v="0"/>
    <n v="0"/>
    <n v="0"/>
    <n v="0"/>
    <n v="447002"/>
    <n v="0.87"/>
    <n v="0"/>
    <n v="0"/>
    <n v="59375"/>
    <n v="1.17"/>
    <n v="0"/>
    <n v="447002"/>
  </r>
  <r>
    <x v="52"/>
    <x v="52"/>
    <x v="3"/>
    <x v="0"/>
    <x v="0"/>
    <x v="0"/>
    <x v="0"/>
    <x v="1"/>
    <x v="0"/>
    <x v="0"/>
    <x v="1"/>
    <x v="0"/>
    <n v="3"/>
    <n v="0"/>
    <n v="1568"/>
    <n v="0"/>
    <n v="56448"/>
    <n v="0"/>
    <n v="291190"/>
    <n v="-0.35"/>
    <n v="212398"/>
    <n v="0"/>
    <n v="22344"/>
    <n v="-0.62"/>
    <n v="24272.639999999999"/>
    <n v="103064.64"/>
  </r>
  <r>
    <x v="52"/>
    <x v="52"/>
    <x v="4"/>
    <x v="0"/>
    <x v="0"/>
    <x v="0"/>
    <x v="0"/>
    <x v="1"/>
    <x v="0"/>
    <x v="0"/>
    <x v="1"/>
    <x v="0"/>
    <n v="4"/>
    <n v="0.33333333333333326"/>
    <n v="1594"/>
    <n v="0.02"/>
    <n v="76512"/>
    <n v="0.35544217687074831"/>
    <n v="491988"/>
    <n v="0.69"/>
    <n v="334222"/>
    <n v="0.57356472283166515"/>
    <n v="81254"/>
    <n v="2.64"/>
    <n v="32900.159999999996"/>
    <n v="190666.16"/>
  </r>
  <r>
    <x v="52"/>
    <x v="52"/>
    <x v="5"/>
    <x v="0"/>
    <x v="0"/>
    <x v="0"/>
    <x v="0"/>
    <x v="1"/>
    <x v="0"/>
    <x v="0"/>
    <x v="1"/>
    <x v="0"/>
    <n v="3"/>
    <n v="-0.25"/>
    <n v="0"/>
    <n v="0"/>
    <n v="0"/>
    <n v="-1"/>
    <n v="891608"/>
    <n v="0.81"/>
    <n v="0"/>
    <n v="-1"/>
    <n v="126884"/>
    <n v="0.56000000000000005"/>
    <n v="0"/>
    <n v="891608"/>
  </r>
  <r>
    <x v="53"/>
    <x v="53"/>
    <x v="0"/>
    <x v="0"/>
    <x v="0"/>
    <x v="0"/>
    <x v="1"/>
    <x v="0"/>
    <x v="0"/>
    <x v="0"/>
    <x v="1"/>
    <x v="0"/>
    <n v="19"/>
    <n v="0"/>
    <n v="2594"/>
    <n v="0"/>
    <n v="591432"/>
    <n v="0"/>
    <n v="9111300"/>
    <n v="0"/>
    <n v="8182498"/>
    <n v="0"/>
    <n v="337370"/>
    <n v="0"/>
    <n v="254315.76"/>
    <n v="1183117.76"/>
  </r>
  <r>
    <x v="53"/>
    <x v="53"/>
    <x v="1"/>
    <x v="0"/>
    <x v="0"/>
    <x v="0"/>
    <x v="1"/>
    <x v="0"/>
    <x v="0"/>
    <x v="0"/>
    <x v="1"/>
    <x v="0"/>
    <n v="19"/>
    <n v="0"/>
    <n v="3022"/>
    <n v="0.16499614494988421"/>
    <n v="689016"/>
    <n v="0.16499614494988424"/>
    <n v="7980395"/>
    <n v="-0.12412114626891881"/>
    <n v="6944129"/>
    <n v="-0.15134363613654411"/>
    <n v="347250"/>
    <n v="2.9285354358715932E-2"/>
    <n v="296276.88"/>
    <n v="1332542.8799999999"/>
  </r>
  <r>
    <x v="53"/>
    <x v="53"/>
    <x v="2"/>
    <x v="0"/>
    <x v="0"/>
    <x v="0"/>
    <x v="1"/>
    <x v="0"/>
    <x v="0"/>
    <x v="0"/>
    <x v="1"/>
    <x v="0"/>
    <n v="19"/>
    <n v="0"/>
    <n v="3122"/>
    <n v="3.3090668431502213E-2"/>
    <n v="711816"/>
    <n v="3.3090668431502213E-2"/>
    <n v="14985680"/>
    <n v="0.87781181257318708"/>
    <n v="13815400"/>
    <n v="0.98950797141009339"/>
    <n v="458464"/>
    <n v="0.32027069834413258"/>
    <n v="306080.88"/>
    <n v="1476360.88"/>
  </r>
  <r>
    <x v="53"/>
    <x v="53"/>
    <x v="3"/>
    <x v="0"/>
    <x v="0"/>
    <x v="0"/>
    <x v="1"/>
    <x v="0"/>
    <x v="0"/>
    <x v="0"/>
    <x v="1"/>
    <x v="0"/>
    <n v="23"/>
    <n v="0.21052631578947367"/>
    <n v="3347"/>
    <n v="7.2069186418962206E-2"/>
    <n v="923772"/>
    <n v="0.29776796250716475"/>
    <n v="11936797"/>
    <n v="-0.20345309655617891"/>
    <n v="10750026"/>
    <n v="-0.22188094445329121"/>
    <n v="262999"/>
    <n v="-0.42634754310043982"/>
    <n v="397221.96"/>
    <n v="1583992.96"/>
  </r>
  <r>
    <x v="53"/>
    <x v="53"/>
    <x v="4"/>
    <x v="0"/>
    <x v="0"/>
    <x v="0"/>
    <x v="1"/>
    <x v="0"/>
    <x v="0"/>
    <x v="0"/>
    <x v="1"/>
    <x v="0"/>
    <n v="23"/>
    <n v="0"/>
    <n v="3551"/>
    <n v="6.0950104571257928E-2"/>
    <n v="980076"/>
    <n v="6.0950104571257935E-2"/>
    <n v="17409970"/>
    <n v="0.45851269817187967"/>
    <n v="16169777"/>
    <n v="0.50416166435318388"/>
    <n v="260117"/>
    <n v="-1.0958216571165689E-2"/>
    <n v="421432.68"/>
    <n v="1661625.68"/>
  </r>
  <r>
    <x v="53"/>
    <x v="53"/>
    <x v="5"/>
    <x v="0"/>
    <x v="0"/>
    <x v="0"/>
    <x v="1"/>
    <x v="0"/>
    <x v="0"/>
    <x v="0"/>
    <x v="1"/>
    <x v="0"/>
    <n v="26"/>
    <n v="0.13043478260869557"/>
    <n v="3880"/>
    <n v="9.2649957758377921E-2"/>
    <n v="1210560"/>
    <n v="0.23516951746599246"/>
    <n v="20721932"/>
    <n v="0.19023364198789539"/>
    <n v="19220484"/>
    <n v="0.18866722775459421"/>
    <n v="290888"/>
    <n v="0.11829676645509513"/>
    <n v="520540.8"/>
    <n v="2021988.8"/>
  </r>
  <r>
    <x v="54"/>
    <x v="54"/>
    <x v="2"/>
    <x v="0"/>
    <x v="0"/>
    <x v="0"/>
    <x v="0"/>
    <x v="0"/>
    <x v="0"/>
    <x v="0"/>
    <x v="0"/>
    <x v="0"/>
    <n v="2"/>
    <n v="-0.92307692307692313"/>
    <n v="0"/>
    <n v="0"/>
    <n v="0"/>
    <n v="-1"/>
    <n v="92781"/>
    <n v="0"/>
    <n v="0"/>
    <n v="-1"/>
    <n v="10703"/>
    <n v="0"/>
    <n v="0"/>
    <n v="92781"/>
  </r>
  <r>
    <x v="54"/>
    <x v="54"/>
    <x v="3"/>
    <x v="0"/>
    <x v="0"/>
    <x v="0"/>
    <x v="0"/>
    <x v="0"/>
    <x v="0"/>
    <x v="0"/>
    <x v="0"/>
    <x v="0"/>
    <n v="4"/>
    <n v="1"/>
    <n v="2893"/>
    <n v="0"/>
    <n v="138864"/>
    <n v="0"/>
    <n v="135073"/>
    <n v="0.46"/>
    <n v="1015"/>
    <n v="0"/>
    <n v="-4806"/>
    <n v="-1.45"/>
    <n v="59711.519999999997"/>
    <n v="193769.52"/>
  </r>
  <r>
    <x v="54"/>
    <x v="54"/>
    <x v="4"/>
    <x v="0"/>
    <x v="0"/>
    <x v="0"/>
    <x v="0"/>
    <x v="0"/>
    <x v="0"/>
    <x v="0"/>
    <x v="0"/>
    <x v="0"/>
    <n v="2"/>
    <n v="-0.5"/>
    <n v="0"/>
    <n v="0"/>
    <n v="0"/>
    <n v="-1"/>
    <n v="48292"/>
    <n v="-0.64"/>
    <n v="0"/>
    <n v="-1"/>
    <n v="7197"/>
    <n v="2.5"/>
    <n v="0"/>
    <n v="48292"/>
  </r>
  <r>
    <x v="54"/>
    <x v="54"/>
    <x v="5"/>
    <x v="0"/>
    <x v="0"/>
    <x v="0"/>
    <x v="0"/>
    <x v="0"/>
    <x v="0"/>
    <x v="0"/>
    <x v="0"/>
    <x v="0"/>
    <n v="1"/>
    <n v="-0.5"/>
    <n v="0"/>
    <n v="0"/>
    <n v="0"/>
    <n v="0"/>
    <n v="44366"/>
    <n v="-0.08"/>
    <n v="0"/>
    <n v="0"/>
    <n v="4534"/>
    <n v="-0.37"/>
    <n v="0"/>
    <n v="44366"/>
  </r>
  <r>
    <x v="55"/>
    <x v="55"/>
    <x v="0"/>
    <x v="0"/>
    <x v="0"/>
    <x v="0"/>
    <x v="0"/>
    <x v="0"/>
    <x v="0"/>
    <x v="1"/>
    <x v="0"/>
    <x v="0"/>
    <n v="3"/>
    <n v="0"/>
    <n v="0"/>
    <n v="0"/>
    <n v="0"/>
    <n v="0"/>
    <n v="272062"/>
    <n v="0"/>
    <n v="0"/>
    <n v="0"/>
    <n v="-5710"/>
    <n v="0"/>
    <n v="0"/>
    <n v="272062"/>
  </r>
  <r>
    <x v="55"/>
    <x v="55"/>
    <x v="1"/>
    <x v="0"/>
    <x v="0"/>
    <x v="0"/>
    <x v="0"/>
    <x v="0"/>
    <x v="0"/>
    <x v="1"/>
    <x v="0"/>
    <x v="0"/>
    <n v="3"/>
    <n v="0"/>
    <n v="0"/>
    <n v="0"/>
    <n v="0"/>
    <n v="0"/>
    <n v="260028"/>
    <n v="-4.4232564636002107E-2"/>
    <n v="0"/>
    <n v="0"/>
    <n v="26466"/>
    <n v="-5.6350262697022764"/>
    <n v="0"/>
    <n v="260028"/>
  </r>
  <r>
    <x v="55"/>
    <x v="55"/>
    <x v="2"/>
    <x v="0"/>
    <x v="0"/>
    <x v="0"/>
    <x v="0"/>
    <x v="0"/>
    <x v="0"/>
    <x v="1"/>
    <x v="0"/>
    <x v="0"/>
    <n v="3"/>
    <n v="0"/>
    <n v="1105"/>
    <n v="0"/>
    <n v="39780"/>
    <n v="0"/>
    <n v="390004"/>
    <n v="0.49985386189179631"/>
    <n v="287656"/>
    <n v="0"/>
    <n v="62568"/>
    <n v="1.364089775561097"/>
    <n v="17105.400000000001"/>
    <n v="119453.4"/>
  </r>
  <r>
    <x v="55"/>
    <x v="55"/>
    <x v="3"/>
    <x v="0"/>
    <x v="0"/>
    <x v="0"/>
    <x v="0"/>
    <x v="0"/>
    <x v="0"/>
    <x v="1"/>
    <x v="0"/>
    <x v="0"/>
    <n v="5"/>
    <n v="0.66666666666666674"/>
    <n v="1306"/>
    <n v="0.1819004524886878"/>
    <n v="78360"/>
    <n v="0.96983408748114641"/>
    <n v="435751"/>
    <n v="0.11729879693541601"/>
    <n v="300589"/>
    <n v="4.4959952165086081E-2"/>
    <n v="56802"/>
    <n v="-9.2155734560797842E-2"/>
    <n v="33694.800000000003"/>
    <n v="168856.8"/>
  </r>
  <r>
    <x v="55"/>
    <x v="55"/>
    <x v="4"/>
    <x v="0"/>
    <x v="0"/>
    <x v="0"/>
    <x v="0"/>
    <x v="0"/>
    <x v="0"/>
    <x v="1"/>
    <x v="0"/>
    <x v="0"/>
    <n v="6"/>
    <n v="0.19999999999999996"/>
    <n v="1400"/>
    <n v="7.1975497702909674E-2"/>
    <n v="100800"/>
    <n v="0.28637059724349156"/>
    <n v="283497"/>
    <n v="-0.3494059680872792"/>
    <n v="185922"/>
    <n v="-0.38147437198300671"/>
    <n v="-3225"/>
    <n v="-1.0567761698531739"/>
    <n v="43344"/>
    <n v="140919"/>
  </r>
  <r>
    <x v="55"/>
    <x v="55"/>
    <x v="5"/>
    <x v="0"/>
    <x v="0"/>
    <x v="0"/>
    <x v="0"/>
    <x v="0"/>
    <x v="0"/>
    <x v="1"/>
    <x v="0"/>
    <x v="0"/>
    <n v="4"/>
    <n v="-0.33333333333333337"/>
    <n v="1531"/>
    <n v="9.3571428571428639E-2"/>
    <n v="73488"/>
    <n v="-0.27095238095238094"/>
    <n v="448957"/>
    <n v="0.58363933304408855"/>
    <n v="343841"/>
    <n v="0.84938307462269114"/>
    <n v="31628"/>
    <n v="10.807131782945699"/>
    <n v="31599.84"/>
    <n v="136715.84"/>
  </r>
  <r>
    <x v="56"/>
    <x v="56"/>
    <x v="0"/>
    <x v="0"/>
    <x v="0"/>
    <x v="1"/>
    <x v="0"/>
    <x v="0"/>
    <x v="0"/>
    <x v="0"/>
    <x v="0"/>
    <x v="0"/>
    <n v="0"/>
    <n v="0"/>
    <n v="0"/>
    <n v="0"/>
    <n v="0"/>
    <n v="0"/>
    <n v="0"/>
    <n v="0"/>
    <n v="0"/>
    <n v="0"/>
    <n v="0"/>
    <n v="0"/>
    <n v="0"/>
    <n v="0"/>
  </r>
  <r>
    <x v="56"/>
    <x v="56"/>
    <x v="1"/>
    <x v="0"/>
    <x v="0"/>
    <x v="1"/>
    <x v="0"/>
    <x v="0"/>
    <x v="0"/>
    <x v="0"/>
    <x v="0"/>
    <x v="0"/>
    <n v="0"/>
    <n v="0"/>
    <n v="0"/>
    <n v="0"/>
    <n v="0"/>
    <n v="0"/>
    <n v="0"/>
    <n v="0"/>
    <n v="0"/>
    <n v="0"/>
    <n v="0"/>
    <n v="0"/>
    <n v="0"/>
    <n v="0"/>
  </r>
  <r>
    <x v="56"/>
    <x v="56"/>
    <x v="2"/>
    <x v="0"/>
    <x v="0"/>
    <x v="1"/>
    <x v="0"/>
    <x v="0"/>
    <x v="0"/>
    <x v="0"/>
    <x v="0"/>
    <x v="0"/>
    <n v="0"/>
    <n v="0"/>
    <n v="0"/>
    <n v="0"/>
    <n v="0"/>
    <n v="0"/>
    <n v="0"/>
    <n v="0"/>
    <n v="0"/>
    <n v="0"/>
    <n v="0"/>
    <n v="0"/>
    <n v="0"/>
    <n v="0"/>
  </r>
  <r>
    <x v="56"/>
    <x v="56"/>
    <x v="3"/>
    <x v="0"/>
    <x v="0"/>
    <x v="1"/>
    <x v="0"/>
    <x v="0"/>
    <x v="0"/>
    <x v="0"/>
    <x v="0"/>
    <x v="0"/>
    <n v="0"/>
    <n v="0"/>
    <n v="0"/>
    <n v="0"/>
    <n v="0"/>
    <n v="0"/>
    <n v="0"/>
    <n v="0"/>
    <n v="0"/>
    <n v="0"/>
    <n v="0"/>
    <n v="0"/>
    <n v="0"/>
    <n v="0"/>
  </r>
  <r>
    <x v="56"/>
    <x v="56"/>
    <x v="4"/>
    <x v="0"/>
    <x v="0"/>
    <x v="1"/>
    <x v="0"/>
    <x v="0"/>
    <x v="0"/>
    <x v="0"/>
    <x v="0"/>
    <x v="0"/>
    <n v="0"/>
    <n v="0"/>
    <n v="0"/>
    <n v="0"/>
    <n v="0"/>
    <n v="0"/>
    <n v="0"/>
    <n v="0"/>
    <n v="0"/>
    <n v="0"/>
    <n v="0"/>
    <n v="0"/>
    <n v="0"/>
    <n v="0"/>
  </r>
  <r>
    <x v="56"/>
    <x v="56"/>
    <x v="5"/>
    <x v="0"/>
    <x v="0"/>
    <x v="1"/>
    <x v="0"/>
    <x v="0"/>
    <x v="0"/>
    <x v="0"/>
    <x v="0"/>
    <x v="0"/>
    <n v="0"/>
    <n v="0"/>
    <n v="0"/>
    <n v="0"/>
    <n v="0"/>
    <n v="0"/>
    <n v="115049"/>
    <n v="0"/>
    <n v="0"/>
    <n v="0"/>
    <n v="53588"/>
    <n v="0"/>
    <n v="0"/>
    <n v="115049"/>
  </r>
  <r>
    <x v="57"/>
    <x v="57"/>
    <x v="2"/>
    <x v="0"/>
    <x v="0"/>
    <x v="0"/>
    <x v="0"/>
    <x v="0"/>
    <x v="0"/>
    <x v="0"/>
    <x v="1"/>
    <x v="1"/>
    <n v="0"/>
    <n v="0"/>
    <n v="0"/>
    <n v="0"/>
    <n v="0"/>
    <n v="0"/>
    <n v="57701"/>
    <n v="0"/>
    <n v="0"/>
    <n v="0"/>
    <n v="57313"/>
    <n v="0"/>
    <n v="0"/>
    <n v="57701"/>
  </r>
  <r>
    <x v="57"/>
    <x v="57"/>
    <x v="3"/>
    <x v="0"/>
    <x v="0"/>
    <x v="0"/>
    <x v="0"/>
    <x v="0"/>
    <x v="0"/>
    <x v="0"/>
    <x v="1"/>
    <x v="1"/>
    <n v="0"/>
    <n v="0"/>
    <n v="0"/>
    <n v="0"/>
    <n v="0"/>
    <n v="0"/>
    <n v="73400"/>
    <n v="0.27"/>
    <n v="0"/>
    <n v="0"/>
    <n v="69041"/>
    <n v="0.2"/>
    <n v="0"/>
    <n v="73400"/>
  </r>
  <r>
    <x v="57"/>
    <x v="57"/>
    <x v="4"/>
    <x v="0"/>
    <x v="0"/>
    <x v="0"/>
    <x v="0"/>
    <x v="0"/>
    <x v="0"/>
    <x v="0"/>
    <x v="1"/>
    <x v="1"/>
    <n v="0"/>
    <n v="0"/>
    <n v="0"/>
    <n v="0"/>
    <n v="0"/>
    <n v="0"/>
    <n v="49395"/>
    <n v="-0.33"/>
    <n v="0"/>
    <n v="0"/>
    <n v="45194"/>
    <n v="-0.35"/>
    <n v="0"/>
    <n v="49395"/>
  </r>
  <r>
    <x v="57"/>
    <x v="57"/>
    <x v="5"/>
    <x v="0"/>
    <x v="0"/>
    <x v="0"/>
    <x v="0"/>
    <x v="0"/>
    <x v="0"/>
    <x v="0"/>
    <x v="1"/>
    <x v="1"/>
    <n v="0"/>
    <n v="0"/>
    <n v="0"/>
    <n v="0"/>
    <n v="0"/>
    <n v="0"/>
    <n v="95209"/>
    <n v="0.93"/>
    <n v="0"/>
    <n v="0"/>
    <n v="80047"/>
    <n v="3.099128202858787"/>
    <n v="0"/>
    <n v="95209"/>
  </r>
  <r>
    <x v="58"/>
    <x v="58"/>
    <x v="0"/>
    <x v="0"/>
    <x v="0"/>
    <x v="0"/>
    <x v="0"/>
    <x v="0"/>
    <x v="0"/>
    <x v="1"/>
    <x v="1"/>
    <x v="0"/>
    <n v="7"/>
    <n v="0"/>
    <n v="1994"/>
    <n v="0"/>
    <n v="167496"/>
    <n v="0"/>
    <n v="517914"/>
    <n v="0"/>
    <n v="220539"/>
    <n v="0"/>
    <n v="129879"/>
    <n v="0"/>
    <n v="72023.28"/>
    <n v="369398.28"/>
  </r>
  <r>
    <x v="58"/>
    <x v="58"/>
    <x v="1"/>
    <x v="0"/>
    <x v="0"/>
    <x v="0"/>
    <x v="0"/>
    <x v="0"/>
    <x v="0"/>
    <x v="1"/>
    <x v="1"/>
    <x v="0"/>
    <n v="8"/>
    <n v="0.14285714285714279"/>
    <n v="1582"/>
    <n v="-0.20661985957873619"/>
    <n v="151872"/>
    <n v="-9.3279839518555674E-2"/>
    <n v="544393"/>
    <n v="5.1126248759446602E-2"/>
    <n v="264232"/>
    <n v="0.19811915352840082"/>
    <n v="128289"/>
    <n v="-1.2242163860208381E-2"/>
    <n v="65304.959999999999"/>
    <n v="345465.96"/>
  </r>
  <r>
    <x v="58"/>
    <x v="58"/>
    <x v="2"/>
    <x v="0"/>
    <x v="0"/>
    <x v="0"/>
    <x v="0"/>
    <x v="0"/>
    <x v="0"/>
    <x v="1"/>
    <x v="1"/>
    <x v="0"/>
    <n v="7"/>
    <n v="-0.125"/>
    <n v="1820"/>
    <n v="0.15044247787610621"/>
    <n v="152880"/>
    <n v="6.6371681415928752E-3"/>
    <n v="670268"/>
    <n v="0.23122082760064891"/>
    <n v="301285"/>
    <n v="0.14022904114565993"/>
    <n v="216103"/>
    <n v="0.68450139918465336"/>
    <n v="65738.399999999994"/>
    <n v="434721.4"/>
  </r>
  <r>
    <x v="58"/>
    <x v="58"/>
    <x v="3"/>
    <x v="0"/>
    <x v="0"/>
    <x v="0"/>
    <x v="0"/>
    <x v="0"/>
    <x v="0"/>
    <x v="1"/>
    <x v="1"/>
    <x v="0"/>
    <n v="7"/>
    <n v="0"/>
    <n v="1975"/>
    <n v="8.5164835164835084E-2"/>
    <n v="165900"/>
    <n v="8.5164835164835084E-2"/>
    <n v="645477"/>
    <n v="-3.6986697858170207E-2"/>
    <n v="283787"/>
    <n v="-5.8077899663109722E-2"/>
    <n v="195790"/>
    <n v="-9.3996844097490539E-2"/>
    <n v="71337"/>
    <n v="433027"/>
  </r>
  <r>
    <x v="58"/>
    <x v="58"/>
    <x v="4"/>
    <x v="0"/>
    <x v="0"/>
    <x v="0"/>
    <x v="0"/>
    <x v="0"/>
    <x v="0"/>
    <x v="1"/>
    <x v="1"/>
    <x v="0"/>
    <n v="6"/>
    <n v="-0.1428571428571429"/>
    <n v="2056"/>
    <n v="4.1012658227848053E-2"/>
    <n v="148032"/>
    <n v="-0.10770343580470165"/>
    <n v="640668"/>
    <n v="-7.4503041936427872E-3"/>
    <n v="273319"/>
    <n v="-3.6886820044610968E-2"/>
    <n v="219317"/>
    <n v="0.1201644619234894"/>
    <n v="63653.760000000002"/>
    <n v="431002.76"/>
  </r>
  <r>
    <x v="58"/>
    <x v="58"/>
    <x v="5"/>
    <x v="0"/>
    <x v="0"/>
    <x v="0"/>
    <x v="0"/>
    <x v="0"/>
    <x v="0"/>
    <x v="1"/>
    <x v="1"/>
    <x v="0"/>
    <n v="6"/>
    <n v="0"/>
    <n v="1935"/>
    <n v="-5.8852140077821018E-2"/>
    <n v="139320"/>
    <n v="-5.8852140077821025E-2"/>
    <n v="645283"/>
    <n v="7.2034189314902353E-3"/>
    <n v="283396"/>
    <n v="3.6869006545465099E-2"/>
    <n v="222567"/>
    <n v="1.4818732701979309E-2"/>
    <n v="59907.6"/>
    <n v="421794.6"/>
  </r>
  <r>
    <x v="59"/>
    <x v="59"/>
    <x v="0"/>
    <x v="0"/>
    <x v="0"/>
    <x v="0"/>
    <x v="0"/>
    <x v="0"/>
    <x v="0"/>
    <x v="0"/>
    <x v="0"/>
    <x v="0"/>
    <n v="11"/>
    <n v="0"/>
    <n v="1664"/>
    <n v="0"/>
    <n v="219648"/>
    <n v="0"/>
    <n v="463182"/>
    <n v="0"/>
    <n v="185762"/>
    <n v="0"/>
    <n v="57772"/>
    <n v="0"/>
    <n v="94448.639999999999"/>
    <n v="371868.64"/>
  </r>
  <r>
    <x v="59"/>
    <x v="59"/>
    <x v="1"/>
    <x v="0"/>
    <x v="0"/>
    <x v="0"/>
    <x v="0"/>
    <x v="0"/>
    <x v="0"/>
    <x v="0"/>
    <x v="0"/>
    <x v="0"/>
    <n v="11"/>
    <n v="0"/>
    <n v="2204"/>
    <n v="0.32"/>
    <n v="290928"/>
    <n v="0.32451923076923084"/>
    <n v="638187"/>
    <n v="0.38"/>
    <n v="276204"/>
    <n v="0.48687029640077095"/>
    <n v="71055"/>
    <n v="0.23"/>
    <n v="125099.04"/>
    <n v="487082.04"/>
  </r>
  <r>
    <x v="59"/>
    <x v="59"/>
    <x v="2"/>
    <x v="0"/>
    <x v="0"/>
    <x v="0"/>
    <x v="0"/>
    <x v="0"/>
    <x v="0"/>
    <x v="0"/>
    <x v="0"/>
    <x v="0"/>
    <n v="14"/>
    <n v="0.27272727272727271"/>
    <n v="2844"/>
    <n v="0.28999999999999998"/>
    <n v="477792"/>
    <n v="0.64230325028873114"/>
    <n v="989434"/>
    <n v="0.55000000000000004"/>
    <n v="425324"/>
    <n v="0.53989080534677258"/>
    <n v="86318"/>
    <n v="0.21"/>
    <n v="205450.56"/>
    <n v="769560.56"/>
  </r>
  <r>
    <x v="59"/>
    <x v="59"/>
    <x v="3"/>
    <x v="0"/>
    <x v="0"/>
    <x v="0"/>
    <x v="0"/>
    <x v="0"/>
    <x v="0"/>
    <x v="0"/>
    <x v="0"/>
    <x v="0"/>
    <n v="15"/>
    <n v="7.1428571428571397E-2"/>
    <n v="3598"/>
    <n v="0.27"/>
    <n v="647640"/>
    <n v="0.35548523206751059"/>
    <n v="1378217"/>
    <n v="0.39"/>
    <n v="577690"/>
    <n v="0.35823513368631921"/>
    <n v="152887"/>
    <n v="0.77"/>
    <n v="278485.2"/>
    <n v="1079012.2"/>
  </r>
  <r>
    <x v="59"/>
    <x v="59"/>
    <x v="4"/>
    <x v="0"/>
    <x v="0"/>
    <x v="0"/>
    <x v="0"/>
    <x v="0"/>
    <x v="0"/>
    <x v="0"/>
    <x v="0"/>
    <x v="0"/>
    <n v="13"/>
    <n v="-0.1333333333333333"/>
    <n v="4242"/>
    <n v="0.18"/>
    <n v="661752"/>
    <n v="2.1789883268482413E-2"/>
    <n v="1656998"/>
    <n v="0.2"/>
    <n v="812013"/>
    <n v="0.40562066160051247"/>
    <n v="183233"/>
    <n v="0.2"/>
    <n v="284553.36"/>
    <n v="1129538.3599999999"/>
  </r>
  <r>
    <x v="59"/>
    <x v="59"/>
    <x v="5"/>
    <x v="0"/>
    <x v="0"/>
    <x v="0"/>
    <x v="0"/>
    <x v="0"/>
    <x v="0"/>
    <x v="0"/>
    <x v="0"/>
    <x v="0"/>
    <n v="15"/>
    <n v="0.15384615384615374"/>
    <n v="3978"/>
    <n v="-0.06"/>
    <n v="716040"/>
    <n v="8.2036775106081983E-2"/>
    <n v="1427828"/>
    <n v="-0.14000000000000001"/>
    <n v="586478"/>
    <n v="-0.27774801634949198"/>
    <n v="125310"/>
    <n v="-0.32"/>
    <n v="307897.2"/>
    <n v="1149247.2"/>
  </r>
  <r>
    <x v="60"/>
    <x v="60"/>
    <x v="0"/>
    <x v="0"/>
    <x v="0"/>
    <x v="0"/>
    <x v="1"/>
    <x v="0"/>
    <x v="0"/>
    <x v="0"/>
    <x v="1"/>
    <x v="0"/>
    <n v="34"/>
    <n v="0"/>
    <n v="2463"/>
    <n v="0"/>
    <n v="1004904"/>
    <n v="0"/>
    <n v="10898125"/>
    <n v="0"/>
    <n v="9689538"/>
    <n v="0"/>
    <n v="203683"/>
    <n v="0"/>
    <n v="432108.72"/>
    <n v="1640695.72"/>
  </r>
  <r>
    <x v="60"/>
    <x v="60"/>
    <x v="1"/>
    <x v="0"/>
    <x v="0"/>
    <x v="0"/>
    <x v="1"/>
    <x v="0"/>
    <x v="0"/>
    <x v="0"/>
    <x v="1"/>
    <x v="0"/>
    <n v="30"/>
    <n v="-0.11764705882352944"/>
    <n v="2559"/>
    <n v="3.897685749086488E-2"/>
    <n v="921240"/>
    <n v="-8.3255713978648727E-2"/>
    <n v="11162492"/>
    <n v="2.4258026036588779E-2"/>
    <n v="9933902"/>
    <n v="2.5219365464070664E-2"/>
    <n v="307350"/>
    <n v="0.50896245636601978"/>
    <n v="396133.2"/>
    <n v="1624723.2"/>
  </r>
  <r>
    <x v="60"/>
    <x v="60"/>
    <x v="2"/>
    <x v="0"/>
    <x v="0"/>
    <x v="0"/>
    <x v="1"/>
    <x v="0"/>
    <x v="0"/>
    <x v="0"/>
    <x v="1"/>
    <x v="0"/>
    <n v="30"/>
    <n v="0"/>
    <n v="2700"/>
    <n v="5.5099648300117147E-2"/>
    <n v="972000"/>
    <n v="5.5099648300117154E-2"/>
    <n v="13680319"/>
    <n v="0.22556137106302071"/>
    <n v="12316586"/>
    <n v="0.23985378555173997"/>
    <n v="391733"/>
    <n v="0.27455018708312989"/>
    <n v="417960"/>
    <n v="1781693"/>
  </r>
  <r>
    <x v="60"/>
    <x v="60"/>
    <x v="3"/>
    <x v="0"/>
    <x v="0"/>
    <x v="0"/>
    <x v="1"/>
    <x v="0"/>
    <x v="0"/>
    <x v="0"/>
    <x v="1"/>
    <x v="0"/>
    <n v="36"/>
    <n v="0.19999999999999996"/>
    <n v="2844"/>
    <n v="5.3333333333333233E-2"/>
    <n v="1228608"/>
    <n v="0.26400000000000001"/>
    <n v="14993931"/>
    <n v="9.6022029895648009E-2"/>
    <n v="13470943"/>
    <n v="9.3723780274826085E-2"/>
    <n v="294380"/>
    <n v="-0.24851876150337091"/>
    <n v="528301.43999999994"/>
    <n v="2051289.44"/>
  </r>
  <r>
    <x v="60"/>
    <x v="60"/>
    <x v="4"/>
    <x v="0"/>
    <x v="0"/>
    <x v="0"/>
    <x v="1"/>
    <x v="0"/>
    <x v="0"/>
    <x v="0"/>
    <x v="1"/>
    <x v="0"/>
    <n v="36"/>
    <n v="0"/>
    <n v="3103"/>
    <n v="9.1068917018284123E-2"/>
    <n v="1340496"/>
    <n v="9.1068917018284123E-2"/>
    <n v="19737855"/>
    <n v="0.31638961123670639"/>
    <n v="18011550"/>
    <n v="0.33706675174855993"/>
    <n v="385809"/>
    <n v="0.31058156124736719"/>
    <n v="576413.28"/>
    <n v="2302718.2800000003"/>
  </r>
  <r>
    <x v="60"/>
    <x v="60"/>
    <x v="5"/>
    <x v="0"/>
    <x v="0"/>
    <x v="0"/>
    <x v="1"/>
    <x v="0"/>
    <x v="0"/>
    <x v="0"/>
    <x v="1"/>
    <x v="0"/>
    <n v="35"/>
    <n v="-2.777777777777779E-2"/>
    <n v="3298"/>
    <n v="6.284241057041573E-2"/>
    <n v="1385160"/>
    <n v="3.3319010276793071E-2"/>
    <n v="15451756"/>
    <n v="-0.21715120513348579"/>
    <n v="13822450"/>
    <n v="-0.23257853988135391"/>
    <n v="244146"/>
    <n v="-0.36718428030450301"/>
    <n v="595618.80000000005"/>
    <n v="2224924.7999999998"/>
  </r>
  <r>
    <x v="61"/>
    <x v="61"/>
    <x v="0"/>
    <x v="0"/>
    <x v="0"/>
    <x v="0"/>
    <x v="1"/>
    <x v="0"/>
    <x v="0"/>
    <x v="0"/>
    <x v="1"/>
    <x v="0"/>
    <n v="21"/>
    <n v="0"/>
    <n v="2789"/>
    <n v="0"/>
    <n v="702828"/>
    <n v="0"/>
    <n v="7485095"/>
    <n v="0"/>
    <n v="6776807"/>
    <n v="0"/>
    <n v="5460"/>
    <n v="0"/>
    <n v="302216.03999999998"/>
    <n v="1010504.04"/>
  </r>
  <r>
    <x v="61"/>
    <x v="61"/>
    <x v="1"/>
    <x v="0"/>
    <x v="0"/>
    <x v="0"/>
    <x v="1"/>
    <x v="0"/>
    <x v="0"/>
    <x v="0"/>
    <x v="1"/>
    <x v="0"/>
    <n v="16"/>
    <n v="-0.23809523809523814"/>
    <n v="2908"/>
    <n v="0.04"/>
    <n v="558336"/>
    <n v="-0.2055865731018115"/>
    <n v="6600159"/>
    <n v="-0.12"/>
    <n v="5927828"/>
    <n v="-0.12527714010447688"/>
    <n v="113995"/>
    <n v="19.88"/>
    <n v="240084.48000000001"/>
    <n v="912415.48"/>
  </r>
  <r>
    <x v="61"/>
    <x v="61"/>
    <x v="2"/>
    <x v="0"/>
    <x v="0"/>
    <x v="0"/>
    <x v="1"/>
    <x v="0"/>
    <x v="0"/>
    <x v="0"/>
    <x v="1"/>
    <x v="0"/>
    <n v="13"/>
    <n v="-0.1875"/>
    <n v="2982"/>
    <n v="0.03"/>
    <n v="465192"/>
    <n v="-0.16682427785419529"/>
    <n v="8885368"/>
    <n v="0.35"/>
    <n v="8061207"/>
    <n v="0.35989218985436144"/>
    <n v="358969"/>
    <n v="2.15"/>
    <n v="200032.56"/>
    <n v="1024193.56"/>
  </r>
  <r>
    <x v="61"/>
    <x v="61"/>
    <x v="3"/>
    <x v="0"/>
    <x v="0"/>
    <x v="0"/>
    <x v="1"/>
    <x v="0"/>
    <x v="0"/>
    <x v="0"/>
    <x v="1"/>
    <x v="0"/>
    <n v="16"/>
    <n v="0.23076923076923084"/>
    <n v="3321"/>
    <n v="0.11"/>
    <n v="637632"/>
    <n v="0.37068565237579332"/>
    <n v="7425733"/>
    <n v="-0.16"/>
    <n v="6534554"/>
    <n v="-0.18938268177457795"/>
    <n v="253547"/>
    <n v="-0.28999999999999998"/>
    <n v="274181.76000000001"/>
    <n v="1165360.76"/>
  </r>
  <r>
    <x v="61"/>
    <x v="61"/>
    <x v="4"/>
    <x v="0"/>
    <x v="0"/>
    <x v="0"/>
    <x v="1"/>
    <x v="0"/>
    <x v="0"/>
    <x v="0"/>
    <x v="1"/>
    <x v="0"/>
    <n v="16"/>
    <n v="0"/>
    <n v="3469"/>
    <n v="0.04"/>
    <n v="666048"/>
    <n v="4.45648900933453E-2"/>
    <n v="7342686"/>
    <n v="-0.01"/>
    <n v="6580021"/>
    <n v="6.9579346960786381E-3"/>
    <n v="96617"/>
    <n v="-0.62"/>
    <n v="286400.64000000001"/>
    <n v="1049065.6400000001"/>
  </r>
  <r>
    <x v="61"/>
    <x v="61"/>
    <x v="5"/>
    <x v="0"/>
    <x v="0"/>
    <x v="0"/>
    <x v="1"/>
    <x v="0"/>
    <x v="0"/>
    <x v="0"/>
    <x v="1"/>
    <x v="0"/>
    <n v="24"/>
    <n v="0.5"/>
    <n v="3549"/>
    <n v="0.02"/>
    <n v="1022112"/>
    <n v="0.53459210147016423"/>
    <n v="7514559"/>
    <n v="0.02"/>
    <n v="6419504"/>
    <n v="-2.4394602995947867E-2"/>
    <n v="72943"/>
    <n v="-0.25"/>
    <n v="439508.16"/>
    <n v="1534563.16"/>
  </r>
  <r>
    <x v="62"/>
    <x v="62"/>
    <x v="0"/>
    <x v="0"/>
    <x v="0"/>
    <x v="0"/>
    <x v="0"/>
    <x v="0"/>
    <x v="0"/>
    <x v="0"/>
    <x v="1"/>
    <x v="1"/>
    <n v="0"/>
    <n v="0"/>
    <n v="0"/>
    <n v="0"/>
    <n v="0"/>
    <n v="0"/>
    <m/>
    <n v="0"/>
    <n v="0"/>
    <n v="0"/>
    <n v="0"/>
    <n v="0"/>
    <n v="0"/>
    <n v="0"/>
  </r>
  <r>
    <x v="62"/>
    <x v="62"/>
    <x v="1"/>
    <x v="0"/>
    <x v="0"/>
    <x v="0"/>
    <x v="0"/>
    <x v="0"/>
    <x v="0"/>
    <x v="0"/>
    <x v="1"/>
    <x v="1"/>
    <n v="4"/>
    <n v="0"/>
    <n v="0"/>
    <n v="0"/>
    <n v="0"/>
    <n v="0"/>
    <n v="406060"/>
    <n v="0"/>
    <n v="0"/>
    <n v="0"/>
    <n v="219736"/>
    <n v="0"/>
    <n v="0"/>
    <n v="406060"/>
  </r>
  <r>
    <x v="62"/>
    <x v="62"/>
    <x v="2"/>
    <x v="0"/>
    <x v="0"/>
    <x v="0"/>
    <x v="0"/>
    <x v="0"/>
    <x v="0"/>
    <x v="0"/>
    <x v="1"/>
    <x v="1"/>
    <n v="4"/>
    <n v="0"/>
    <n v="0"/>
    <n v="0"/>
    <n v="0"/>
    <n v="0"/>
    <n v="438095"/>
    <n v="7.8892281928778951E-2"/>
    <n v="0"/>
    <n v="0"/>
    <n v="205405"/>
    <n v="-6.5219172097426004E-2"/>
    <n v="0"/>
    <n v="438095"/>
  </r>
  <r>
    <x v="62"/>
    <x v="62"/>
    <x v="3"/>
    <x v="0"/>
    <x v="0"/>
    <x v="0"/>
    <x v="0"/>
    <x v="0"/>
    <x v="0"/>
    <x v="0"/>
    <x v="1"/>
    <x v="1"/>
    <n v="5"/>
    <n v="0.25"/>
    <n v="0"/>
    <n v="0"/>
    <n v="0"/>
    <n v="0"/>
    <n v="437017"/>
    <n v="-2.4606535112247085E-3"/>
    <n v="0"/>
    <n v="0"/>
    <n v="196417"/>
    <n v="-4.3757454784450256E-2"/>
    <n v="0"/>
    <n v="437017"/>
  </r>
  <r>
    <x v="62"/>
    <x v="62"/>
    <x v="4"/>
    <x v="0"/>
    <x v="0"/>
    <x v="0"/>
    <x v="0"/>
    <x v="0"/>
    <x v="0"/>
    <x v="0"/>
    <x v="1"/>
    <x v="1"/>
    <n v="6"/>
    <n v="0.19999999999999996"/>
    <n v="6200"/>
    <n v="0"/>
    <n v="446400"/>
    <n v="0"/>
    <n v="565400"/>
    <n v="0.29377118052615803"/>
    <n v="-161533"/>
    <n v="0"/>
    <n v="280533"/>
    <n v="0.42825213703498166"/>
    <n v="191952"/>
    <n v="918885"/>
  </r>
  <r>
    <x v="62"/>
    <x v="62"/>
    <x v="5"/>
    <x v="0"/>
    <x v="0"/>
    <x v="0"/>
    <x v="0"/>
    <x v="0"/>
    <x v="0"/>
    <x v="0"/>
    <x v="1"/>
    <x v="1"/>
    <n v="5"/>
    <n v="-0.16666666666666663"/>
    <n v="8800"/>
    <n v="0.41935483870967749"/>
    <n v="528000"/>
    <n v="0.18279569892473124"/>
    <n v="595916"/>
    <n v="5.3972408914043202E-2"/>
    <n v="-192736"/>
    <n v="0.19316795948815413"/>
    <n v="260652"/>
    <n v="-7.0868667857257428E-2"/>
    <n v="227040"/>
    <n v="1015692"/>
  </r>
  <r>
    <x v="63"/>
    <x v="63"/>
    <x v="0"/>
    <x v="0"/>
    <x v="0"/>
    <x v="0"/>
    <x v="0"/>
    <x v="0"/>
    <x v="1"/>
    <x v="0"/>
    <x v="1"/>
    <x v="0"/>
    <n v="17"/>
    <n v="0"/>
    <n v="1294"/>
    <n v="0"/>
    <n v="263976"/>
    <n v="0"/>
    <n v="1122291"/>
    <n v="0"/>
    <n v="840955"/>
    <n v="0"/>
    <n v="17360"/>
    <n v="0"/>
    <n v="113509.68"/>
    <n v="394845.68"/>
  </r>
  <r>
    <x v="63"/>
    <x v="63"/>
    <x v="1"/>
    <x v="0"/>
    <x v="0"/>
    <x v="0"/>
    <x v="0"/>
    <x v="0"/>
    <x v="1"/>
    <x v="0"/>
    <x v="1"/>
    <x v="0"/>
    <n v="17"/>
    <n v="0"/>
    <n v="1444"/>
    <n v="0.1159196290571871"/>
    <n v="294576"/>
    <n v="0.11591962905718711"/>
    <n v="1618920"/>
    <n v="0.44251357268302072"/>
    <n v="1289776"/>
    <n v="0.53370394373063967"/>
    <n v="34568"/>
    <n v="0.99124423963133634"/>
    <n v="126667.68"/>
    <n v="455811.68"/>
  </r>
  <r>
    <x v="63"/>
    <x v="63"/>
    <x v="2"/>
    <x v="0"/>
    <x v="0"/>
    <x v="0"/>
    <x v="0"/>
    <x v="0"/>
    <x v="1"/>
    <x v="0"/>
    <x v="1"/>
    <x v="0"/>
    <n v="19"/>
    <n v="0.11764705882352944"/>
    <n v="1588"/>
    <n v="9.9722991689750629E-2"/>
    <n v="362064"/>
    <n v="0.22910216718266252"/>
    <n v="1476904"/>
    <n v="-8.7722679317075558E-2"/>
    <n v="1092461"/>
    <n v="-0.15298392899232116"/>
    <n v="22379"/>
    <n v="-0.35260934968757229"/>
    <n v="155687.51999999999"/>
    <n v="540130.52"/>
  </r>
  <r>
    <x v="63"/>
    <x v="63"/>
    <x v="3"/>
    <x v="0"/>
    <x v="0"/>
    <x v="0"/>
    <x v="0"/>
    <x v="0"/>
    <x v="1"/>
    <x v="0"/>
    <x v="1"/>
    <x v="0"/>
    <n v="20"/>
    <n v="5.2631578947368363E-2"/>
    <n v="1811"/>
    <n v="0.1404282115869018"/>
    <n v="434640"/>
    <n v="0.20045074903884386"/>
    <n v="2039056"/>
    <n v="0.38062866645360832"/>
    <n v="1581977"/>
    <n v="0.44808556094908658"/>
    <n v="22439"/>
    <n v="2.6810849457079571E-3"/>
    <n v="186895.2"/>
    <n v="643974.19999999995"/>
  </r>
  <r>
    <x v="63"/>
    <x v="63"/>
    <x v="4"/>
    <x v="0"/>
    <x v="0"/>
    <x v="0"/>
    <x v="0"/>
    <x v="0"/>
    <x v="1"/>
    <x v="0"/>
    <x v="1"/>
    <x v="0"/>
    <n v="21"/>
    <n v="5.0000000000000044E-2"/>
    <n v="1954"/>
    <n v="7.8961899503037003E-2"/>
    <n v="492408"/>
    <n v="0.13290999447818885"/>
    <n v="2020450"/>
    <n v="-9.1248106967145581E-3"/>
    <n v="1497882"/>
    <n v="-5.315816854480182E-2"/>
    <n v="30160"/>
    <n v="0.34408841748741043"/>
    <n v="211735.44"/>
    <n v="734303.44"/>
  </r>
  <r>
    <x v="63"/>
    <x v="63"/>
    <x v="5"/>
    <x v="0"/>
    <x v="0"/>
    <x v="0"/>
    <x v="0"/>
    <x v="0"/>
    <x v="1"/>
    <x v="0"/>
    <x v="1"/>
    <x v="0"/>
    <n v="20"/>
    <n v="-4.7619047619047672E-2"/>
    <n v="2318"/>
    <n v="0.1862845445240533"/>
    <n v="556320"/>
    <n v="0.12979480430862211"/>
    <n v="1696197"/>
    <n v="-0.16048553540052957"/>
    <n v="1204896"/>
    <n v="-0.1956001874647002"/>
    <n v="-65019"/>
    <n v="-3.1558023872679044"/>
    <n v="239217.6"/>
    <n v="730518.6"/>
  </r>
  <r>
    <x v="64"/>
    <x v="64"/>
    <x v="0"/>
    <x v="0"/>
    <x v="0"/>
    <x v="0"/>
    <x v="0"/>
    <x v="0"/>
    <x v="1"/>
    <x v="0"/>
    <x v="1"/>
    <x v="0"/>
    <n v="16"/>
    <n v="0"/>
    <n v="1952"/>
    <n v="0"/>
    <n v="374784"/>
    <n v="0"/>
    <n v="1642462"/>
    <n v="0"/>
    <n v="1261910"/>
    <n v="0"/>
    <n v="5768"/>
    <n v="0"/>
    <n v="161157.12"/>
    <n v="541709.12"/>
  </r>
  <r>
    <x v="64"/>
    <x v="64"/>
    <x v="1"/>
    <x v="0"/>
    <x v="0"/>
    <x v="0"/>
    <x v="0"/>
    <x v="0"/>
    <x v="1"/>
    <x v="0"/>
    <x v="1"/>
    <x v="0"/>
    <n v="19"/>
    <n v="0.1875"/>
    <n v="1803"/>
    <n v="-7.6331967213114749E-2"/>
    <n v="411084"/>
    <n v="9.6855788934426146E-2"/>
    <n v="2170995"/>
    <n v="0.32179313737547649"/>
    <n v="1754931"/>
    <n v="0.39069426504267346"/>
    <n v="4980"/>
    <n v="-0.136615811373093"/>
    <n v="176766.12"/>
    <n v="592830.12"/>
  </r>
  <r>
    <x v="64"/>
    <x v="64"/>
    <x v="2"/>
    <x v="0"/>
    <x v="0"/>
    <x v="0"/>
    <x v="0"/>
    <x v="0"/>
    <x v="1"/>
    <x v="0"/>
    <x v="1"/>
    <x v="0"/>
    <n v="23"/>
    <n v="0.21052631578947367"/>
    <n v="1970"/>
    <n v="9.2623405435385386E-2"/>
    <n v="543720"/>
    <n v="0.32264938552704558"/>
    <n v="2012184"/>
    <n v="-7.3151250924115452E-2"/>
    <n v="1561683"/>
    <n v="-0.11011714990503896"/>
    <n v="-93219"/>
    <n v="-19.71867469879518"/>
    <n v="233799.6"/>
    <n v="684300.6"/>
  </r>
  <r>
    <x v="64"/>
    <x v="64"/>
    <x v="3"/>
    <x v="0"/>
    <x v="0"/>
    <x v="0"/>
    <x v="0"/>
    <x v="0"/>
    <x v="1"/>
    <x v="0"/>
    <x v="1"/>
    <x v="0"/>
    <n v="26"/>
    <n v="0.13043478260869557"/>
    <n v="2512"/>
    <n v="0.2751269035532995"/>
    <n v="783744"/>
    <n v="0.4414478040167733"/>
    <n v="2854292"/>
    <n v="0.41850447076410502"/>
    <n v="2002418"/>
    <n v="0.28221796613013006"/>
    <n v="68130"/>
    <n v="-1.7308595887104561"/>
    <n v="337009.91999999998"/>
    <n v="1188883.92"/>
  </r>
  <r>
    <x v="64"/>
    <x v="64"/>
    <x v="4"/>
    <x v="0"/>
    <x v="0"/>
    <x v="0"/>
    <x v="0"/>
    <x v="0"/>
    <x v="1"/>
    <x v="0"/>
    <x v="1"/>
    <x v="0"/>
    <n v="27"/>
    <n v="3.8461538461538547E-2"/>
    <n v="2995"/>
    <n v="0.19227707006369421"/>
    <n v="970380"/>
    <n v="0.23813388045075934"/>
    <n v="3034911"/>
    <n v="6.3279790575035744E-2"/>
    <n v="2095205"/>
    <n v="4.6337477989111253E-2"/>
    <n v="-30674"/>
    <n v="-1.4502275062380741"/>
    <n v="417263.39999999997"/>
    <n v="1356969.4"/>
  </r>
  <r>
    <x v="64"/>
    <x v="64"/>
    <x v="5"/>
    <x v="0"/>
    <x v="0"/>
    <x v="0"/>
    <x v="0"/>
    <x v="0"/>
    <x v="1"/>
    <x v="0"/>
    <x v="1"/>
    <x v="0"/>
    <n v="25"/>
    <n v="-7.407407407407407E-2"/>
    <n v="3105"/>
    <n v="3.6727879799666192E-2"/>
    <n v="931500"/>
    <n v="-4.0066777963272071E-2"/>
    <n v="3272793"/>
    <n v="7.8381870176753132E-2"/>
    <n v="2310733"/>
    <n v="0.10286726119878487"/>
    <n v="30560"/>
    <n v="-1.9962834974245289"/>
    <n v="400545"/>
    <n v="1362605"/>
  </r>
  <r>
    <x v="65"/>
    <x v="65"/>
    <x v="0"/>
    <x v="0"/>
    <x v="0"/>
    <x v="0"/>
    <x v="0"/>
    <x v="0"/>
    <x v="1"/>
    <x v="0"/>
    <x v="1"/>
    <x v="0"/>
    <n v="13"/>
    <n v="0"/>
    <n v="1427"/>
    <n v="0"/>
    <n v="222612"/>
    <n v="0"/>
    <n v="2461430"/>
    <n v="0"/>
    <n v="2120354"/>
    <n v="0"/>
    <n v="118464"/>
    <n v="0"/>
    <n v="95723.16"/>
    <n v="436799.16000000003"/>
  </r>
  <r>
    <x v="65"/>
    <x v="65"/>
    <x v="1"/>
    <x v="0"/>
    <x v="0"/>
    <x v="0"/>
    <x v="0"/>
    <x v="0"/>
    <x v="1"/>
    <x v="0"/>
    <x v="1"/>
    <x v="0"/>
    <n v="18"/>
    <n v="0.38461538461538458"/>
    <n v="1617"/>
    <n v="0.13314646110721801"/>
    <n v="349272"/>
    <n v="0.5689720230715325"/>
    <n v="2095356"/>
    <n v="-0.14872411565634611"/>
    <n v="1643739"/>
    <n v="-0.22478086206359882"/>
    <n v="102345"/>
    <n v="-0.13606665316045391"/>
    <n v="150186.96"/>
    <n v="601803.96"/>
  </r>
  <r>
    <x v="65"/>
    <x v="65"/>
    <x v="2"/>
    <x v="0"/>
    <x v="0"/>
    <x v="0"/>
    <x v="0"/>
    <x v="0"/>
    <x v="1"/>
    <x v="0"/>
    <x v="1"/>
    <x v="0"/>
    <n v="30"/>
    <n v="0.66666666666666674"/>
    <n v="2218"/>
    <n v="0.37167594310451452"/>
    <n v="798480"/>
    <n v="1.2861265718408577"/>
    <n v="3406485"/>
    <n v="0.62573090205196635"/>
    <n v="2382772"/>
    <n v="0.44960483385744321"/>
    <n v="225233"/>
    <n v="1.200723044604036"/>
    <n v="343346.4"/>
    <n v="1367059.4"/>
  </r>
  <r>
    <x v="65"/>
    <x v="65"/>
    <x v="3"/>
    <x v="0"/>
    <x v="0"/>
    <x v="0"/>
    <x v="0"/>
    <x v="0"/>
    <x v="1"/>
    <x v="0"/>
    <x v="1"/>
    <x v="0"/>
    <n v="35"/>
    <n v="0.16666666666666674"/>
    <n v="2630"/>
    <n v="0.1857529305680794"/>
    <n v="1104600"/>
    <n v="0.38337841899609248"/>
    <n v="3253190"/>
    <n v="-4.5000932045789137E-2"/>
    <n v="2017865"/>
    <n v="-0.15314390130486677"/>
    <n v="130725"/>
    <n v="-0.4196010353722589"/>
    <n v="474978"/>
    <n v="1710303"/>
  </r>
  <r>
    <x v="65"/>
    <x v="65"/>
    <x v="4"/>
    <x v="0"/>
    <x v="0"/>
    <x v="0"/>
    <x v="0"/>
    <x v="0"/>
    <x v="1"/>
    <x v="0"/>
    <x v="1"/>
    <x v="0"/>
    <n v="37"/>
    <n v="5.7142857142857162E-2"/>
    <n v="3213"/>
    <n v="0.22167300380228139"/>
    <n v="1426572"/>
    <n v="0.2914828897338404"/>
    <n v="4214370"/>
    <n v="0.29545768922196358"/>
    <n v="2736804"/>
    <n v="0.3562869666702182"/>
    <n v="50994"/>
    <n v="-0.60991394148020661"/>
    <n v="613425.96"/>
    <n v="2090991.96"/>
  </r>
  <r>
    <x v="65"/>
    <x v="65"/>
    <x v="5"/>
    <x v="0"/>
    <x v="0"/>
    <x v="0"/>
    <x v="0"/>
    <x v="0"/>
    <x v="1"/>
    <x v="0"/>
    <x v="1"/>
    <x v="0"/>
    <n v="35"/>
    <n v="-5.4054054054054057E-2"/>
    <n v="3248"/>
    <n v="1.089324618736387E-2"/>
    <n v="1364160"/>
    <n v="-4.3749631984926096E-2"/>
    <n v="3158150"/>
    <n v="-0.25062346210702902"/>
    <n v="1867507"/>
    <n v="-0.31763217241716979"/>
    <n v="-73517"/>
    <n v="-2.441679413264306"/>
    <n v="586588.80000000005"/>
    <n v="1877231.8"/>
  </r>
  <r>
    <x v="66"/>
    <x v="66"/>
    <x v="0"/>
    <x v="0"/>
    <x v="0"/>
    <x v="0"/>
    <x v="1"/>
    <x v="0"/>
    <x v="0"/>
    <x v="0"/>
    <x v="1"/>
    <x v="0"/>
    <n v="43"/>
    <n v="0"/>
    <n v="2178"/>
    <n v="0"/>
    <n v="1123848"/>
    <n v="0"/>
    <n v="14735922"/>
    <n v="0"/>
    <n v="13164661"/>
    <n v="0"/>
    <n v="447413"/>
    <n v="0"/>
    <n v="483254.64"/>
    <n v="2054515.6400000001"/>
  </r>
  <r>
    <x v="66"/>
    <x v="66"/>
    <x v="1"/>
    <x v="0"/>
    <x v="0"/>
    <x v="0"/>
    <x v="1"/>
    <x v="0"/>
    <x v="0"/>
    <x v="0"/>
    <x v="1"/>
    <x v="0"/>
    <n v="46"/>
    <n v="6.9767441860465018E-2"/>
    <n v="2052"/>
    <n v="-5.7851239669421517E-2"/>
    <n v="1132704"/>
    <n v="7.8800691908513798E-3"/>
    <n v="13065559"/>
    <n v="-0.1133531379984232"/>
    <n v="11505966"/>
    <n v="-0.12599602830638779"/>
    <n v="426889"/>
    <n v="-4.5872605400379518E-2"/>
    <n v="487062.72"/>
    <n v="2046655.72"/>
  </r>
  <r>
    <x v="66"/>
    <x v="66"/>
    <x v="2"/>
    <x v="0"/>
    <x v="0"/>
    <x v="0"/>
    <x v="1"/>
    <x v="0"/>
    <x v="0"/>
    <x v="0"/>
    <x v="1"/>
    <x v="0"/>
    <n v="49"/>
    <n v="6.5217391304347894E-2"/>
    <n v="2453"/>
    <n v="0.19541910331384019"/>
    <n v="1442364"/>
    <n v="0.27338121874735144"/>
    <n v="16083759"/>
    <n v="0.23100427620433231"/>
    <n v="14139661"/>
    <n v="0.22889820811220885"/>
    <n v="501734"/>
    <n v="0.17532660715080511"/>
    <n v="620216.52"/>
    <n v="2564314.52"/>
  </r>
  <r>
    <x v="66"/>
    <x v="66"/>
    <x v="3"/>
    <x v="0"/>
    <x v="0"/>
    <x v="0"/>
    <x v="1"/>
    <x v="0"/>
    <x v="0"/>
    <x v="0"/>
    <x v="1"/>
    <x v="0"/>
    <n v="53"/>
    <n v="8.163265306122458E-2"/>
    <n v="2626"/>
    <n v="7.052588666938453E-2"/>
    <n v="1670136"/>
    <n v="0.15791575496892607"/>
    <n v="15673573"/>
    <n v="-2.5503117772406329E-2"/>
    <n v="13561843"/>
    <n v="-4.0865053271079144E-2"/>
    <n v="441594"/>
    <n v="-0.11986431057093989"/>
    <n v="718158.48"/>
    <n v="2829888.48"/>
  </r>
  <r>
    <x v="66"/>
    <x v="66"/>
    <x v="4"/>
    <x v="0"/>
    <x v="0"/>
    <x v="0"/>
    <x v="1"/>
    <x v="0"/>
    <x v="0"/>
    <x v="0"/>
    <x v="1"/>
    <x v="0"/>
    <n v="52"/>
    <n v="-1.8867924528301883E-2"/>
    <n v="2583"/>
    <n v="-1.6374714394516321E-2"/>
    <n v="1611792"/>
    <n v="-3.4933682047450065E-2"/>
    <n v="15193407"/>
    <n v="-3.0635388625171789E-2"/>
    <n v="13170066"/>
    <n v="-2.8888182822939368E-2"/>
    <n v="411549"/>
    <n v="-6.803760920664681E-2"/>
    <n v="693070.55999999994"/>
    <n v="2716411.56"/>
  </r>
  <r>
    <x v="66"/>
    <x v="66"/>
    <x v="5"/>
    <x v="0"/>
    <x v="0"/>
    <x v="0"/>
    <x v="1"/>
    <x v="0"/>
    <x v="0"/>
    <x v="0"/>
    <x v="1"/>
    <x v="0"/>
    <n v="53"/>
    <n v="1.9230769230769162E-2"/>
    <n v="2644"/>
    <n v="2.3615950445218688E-2"/>
    <n v="1681584"/>
    <n v="4.3300872569165261E-2"/>
    <n v="16809406"/>
    <n v="0.1063618581401788"/>
    <n v="14649133"/>
    <n v="0.11230520788582221"/>
    <n v="478689"/>
    <n v="0.16313974763636899"/>
    <n v="723081.12"/>
    <n v="2883354.12"/>
  </r>
  <r>
    <x v="67"/>
    <x v="67"/>
    <x v="0"/>
    <x v="0"/>
    <x v="0"/>
    <x v="0"/>
    <x v="0"/>
    <x v="0"/>
    <x v="0"/>
    <x v="1"/>
    <x v="1"/>
    <x v="0"/>
    <n v="0"/>
    <n v="0"/>
    <n v="0"/>
    <n v="0"/>
    <n v="0"/>
    <n v="0"/>
    <n v="0"/>
    <n v="0"/>
    <n v="0"/>
    <n v="0"/>
    <n v="0"/>
    <n v="0"/>
    <n v="0"/>
    <n v="0"/>
  </r>
  <r>
    <x v="67"/>
    <x v="67"/>
    <x v="1"/>
    <x v="0"/>
    <x v="0"/>
    <x v="0"/>
    <x v="0"/>
    <x v="0"/>
    <x v="0"/>
    <x v="1"/>
    <x v="1"/>
    <x v="0"/>
    <n v="0"/>
    <n v="0"/>
    <n v="0"/>
    <n v="0"/>
    <n v="0"/>
    <n v="0"/>
    <n v="0"/>
    <n v="0"/>
    <n v="0"/>
    <n v="0"/>
    <n v="0"/>
    <n v="0"/>
    <n v="0"/>
    <n v="0"/>
  </r>
  <r>
    <x v="67"/>
    <x v="67"/>
    <x v="2"/>
    <x v="0"/>
    <x v="0"/>
    <x v="0"/>
    <x v="0"/>
    <x v="0"/>
    <x v="0"/>
    <x v="1"/>
    <x v="1"/>
    <x v="0"/>
    <n v="1"/>
    <n v="0"/>
    <n v="0"/>
    <n v="0"/>
    <n v="0"/>
    <n v="0"/>
    <n v="71239"/>
    <n v="0"/>
    <n v="0"/>
    <n v="0"/>
    <n v="8688"/>
    <n v="0"/>
    <n v="0"/>
    <n v="71239"/>
  </r>
  <r>
    <x v="67"/>
    <x v="67"/>
    <x v="3"/>
    <x v="0"/>
    <x v="0"/>
    <x v="0"/>
    <x v="0"/>
    <x v="0"/>
    <x v="0"/>
    <x v="1"/>
    <x v="1"/>
    <x v="0"/>
    <n v="2"/>
    <n v="1"/>
    <n v="0"/>
    <n v="0"/>
    <n v="0"/>
    <n v="0"/>
    <n v="187499"/>
    <n v="1.6319712517020171"/>
    <n v="0"/>
    <n v="0"/>
    <n v="36059"/>
    <n v="3.1504373848987108"/>
    <n v="0"/>
    <n v="187499"/>
  </r>
  <r>
    <x v="67"/>
    <x v="67"/>
    <x v="4"/>
    <x v="0"/>
    <x v="0"/>
    <x v="0"/>
    <x v="0"/>
    <x v="0"/>
    <x v="0"/>
    <x v="1"/>
    <x v="1"/>
    <x v="0"/>
    <n v="3"/>
    <n v="0.5"/>
    <n v="1420"/>
    <n v="0"/>
    <n v="51120"/>
    <n v="0"/>
    <n v="239698"/>
    <n v="0.27839615144614099"/>
    <n v="175671"/>
    <n v="0"/>
    <n v="12907"/>
    <n v="-0.6420588479991125"/>
    <n v="21981.599999999999"/>
    <n v="86008.6"/>
  </r>
  <r>
    <x v="67"/>
    <x v="67"/>
    <x v="5"/>
    <x v="0"/>
    <x v="0"/>
    <x v="0"/>
    <x v="0"/>
    <x v="0"/>
    <x v="0"/>
    <x v="1"/>
    <x v="1"/>
    <x v="0"/>
    <n v="5"/>
    <n v="0.66666666666666674"/>
    <n v="1995"/>
    <n v="0.40492957746478869"/>
    <n v="119700"/>
    <n v="1.341549295774648"/>
    <n v="407865"/>
    <n v="0.70157865313853263"/>
    <n v="227297"/>
    <n v="0.2938788986229941"/>
    <n v="60868"/>
    <n v="3.715890601998916"/>
    <n v="51471"/>
    <n v="232039"/>
  </r>
  <r>
    <x v="68"/>
    <x v="68"/>
    <x v="0"/>
    <x v="0"/>
    <x v="0"/>
    <x v="0"/>
    <x v="0"/>
    <x v="0"/>
    <x v="0"/>
    <x v="1"/>
    <x v="1"/>
    <x v="0"/>
    <n v="0"/>
    <n v="0"/>
    <n v="0"/>
    <n v="0"/>
    <n v="0"/>
    <n v="0"/>
    <n v="0"/>
    <n v="0"/>
    <n v="0"/>
    <n v="0"/>
    <n v="0"/>
    <n v="0"/>
    <n v="0"/>
    <n v="0"/>
  </r>
  <r>
    <x v="68"/>
    <x v="68"/>
    <x v="1"/>
    <x v="0"/>
    <x v="0"/>
    <x v="0"/>
    <x v="0"/>
    <x v="0"/>
    <x v="0"/>
    <x v="1"/>
    <x v="1"/>
    <x v="0"/>
    <n v="0"/>
    <n v="0"/>
    <n v="0"/>
    <n v="0"/>
    <n v="0"/>
    <n v="0"/>
    <n v="0"/>
    <n v="0"/>
    <n v="0"/>
    <n v="0"/>
    <n v="0"/>
    <n v="0"/>
    <n v="0"/>
    <n v="0"/>
  </r>
  <r>
    <x v="68"/>
    <x v="68"/>
    <x v="2"/>
    <x v="0"/>
    <x v="0"/>
    <x v="0"/>
    <x v="0"/>
    <x v="0"/>
    <x v="0"/>
    <x v="1"/>
    <x v="1"/>
    <x v="0"/>
    <n v="0"/>
    <n v="0"/>
    <n v="0"/>
    <n v="0"/>
    <n v="0"/>
    <n v="0"/>
    <n v="0"/>
    <n v="0"/>
    <n v="0"/>
    <n v="0"/>
    <n v="0"/>
    <n v="0"/>
    <n v="0"/>
    <n v="0"/>
  </r>
  <r>
    <x v="68"/>
    <x v="68"/>
    <x v="3"/>
    <x v="0"/>
    <x v="0"/>
    <x v="0"/>
    <x v="0"/>
    <x v="0"/>
    <x v="0"/>
    <x v="1"/>
    <x v="1"/>
    <x v="0"/>
    <n v="0"/>
    <n v="0"/>
    <n v="0"/>
    <n v="0"/>
    <n v="0"/>
    <n v="0"/>
    <n v="0"/>
    <n v="0"/>
    <n v="0"/>
    <n v="0"/>
    <n v="0"/>
    <n v="0"/>
    <n v="0"/>
    <n v="0"/>
  </r>
  <r>
    <x v="68"/>
    <x v="68"/>
    <x v="4"/>
    <x v="0"/>
    <x v="0"/>
    <x v="0"/>
    <x v="0"/>
    <x v="0"/>
    <x v="0"/>
    <x v="1"/>
    <x v="1"/>
    <x v="0"/>
    <n v="5"/>
    <n v="0"/>
    <n v="2871"/>
    <n v="0"/>
    <n v="172260"/>
    <n v="0"/>
    <n v="133678"/>
    <n v="0"/>
    <n v="-69443"/>
    <n v="0"/>
    <n v="30861"/>
    <n v="0"/>
    <n v="74071.8"/>
    <n v="277192.8"/>
  </r>
  <r>
    <x v="68"/>
    <x v="68"/>
    <x v="5"/>
    <x v="0"/>
    <x v="0"/>
    <x v="0"/>
    <x v="0"/>
    <x v="0"/>
    <x v="0"/>
    <x v="1"/>
    <x v="1"/>
    <x v="0"/>
    <n v="6"/>
    <n v="0.19999999999999996"/>
    <n v="2938"/>
    <n v="2.3336816440264752E-2"/>
    <n v="211536"/>
    <n v="0.22800417972831766"/>
    <n v="474855"/>
    <n v="2.5522299854875148"/>
    <n v="189165"/>
    <n v="-3.7240326598793256"/>
    <n v="74154"/>
    <n v="1.4028385340721301"/>
    <n v="90960.48"/>
    <n v="376650.48"/>
  </r>
  <r>
    <x v="69"/>
    <x v="69"/>
    <x v="0"/>
    <x v="1"/>
    <x v="0"/>
    <x v="0"/>
    <x v="0"/>
    <x v="0"/>
    <x v="0"/>
    <x v="0"/>
    <x v="1"/>
    <x v="0"/>
    <n v="36"/>
    <n v="0"/>
    <n v="1280"/>
    <n v="0"/>
    <n v="552960"/>
    <n v="0"/>
    <n v="3066953"/>
    <n v="0"/>
    <n v="2301204"/>
    <n v="0"/>
    <n v="212789"/>
    <n v="0"/>
    <n v="237772.79999999999"/>
    <n v="1003521.8"/>
  </r>
  <r>
    <x v="69"/>
    <x v="69"/>
    <x v="1"/>
    <x v="1"/>
    <x v="0"/>
    <x v="0"/>
    <x v="0"/>
    <x v="0"/>
    <x v="0"/>
    <x v="0"/>
    <x v="1"/>
    <x v="0"/>
    <n v="44"/>
    <n v="0.22222222222222232"/>
    <n v="1412"/>
    <n v="0.1031249999999999"/>
    <n v="745536"/>
    <n v="0.34826388888888893"/>
    <n v="1961813"/>
    <n v="-0.36033809451921828"/>
    <n v="1084079"/>
    <n v="-0.5289079108153818"/>
    <n v="132198"/>
    <n v="-0.37873668281725092"/>
    <n v="320580.47999999998"/>
    <n v="1198314.48"/>
  </r>
  <r>
    <x v="69"/>
    <x v="69"/>
    <x v="2"/>
    <x v="1"/>
    <x v="0"/>
    <x v="0"/>
    <x v="0"/>
    <x v="0"/>
    <x v="0"/>
    <x v="0"/>
    <x v="1"/>
    <x v="0"/>
    <n v="99"/>
    <n v="1.25"/>
    <n v="1650"/>
    <n v="0.16855524079320119"/>
    <n v="1960200"/>
    <n v="1.6292492917847023"/>
    <n v="3042658"/>
    <n v="0.55094190934609966"/>
    <n v="862591"/>
    <n v="-0.20430983350844356"/>
    <n v="219867"/>
    <n v="0.66316434439250216"/>
    <n v="842886"/>
    <n v="3022953"/>
  </r>
  <r>
    <x v="69"/>
    <x v="69"/>
    <x v="3"/>
    <x v="1"/>
    <x v="0"/>
    <x v="0"/>
    <x v="0"/>
    <x v="0"/>
    <x v="0"/>
    <x v="0"/>
    <x v="1"/>
    <x v="0"/>
    <n v="82"/>
    <n v="-0.17171717171717171"/>
    <n v="2101"/>
    <n v="0.27333333333333337"/>
    <n v="2067384"/>
    <n v="5.4680134680134662E-2"/>
    <n v="4774281"/>
    <n v="0.56911522754118282"/>
    <n v="2388422"/>
    <n v="1.7688927892825221"/>
    <n v="318475"/>
    <n v="0.44848931399436931"/>
    <n v="888975.12"/>
    <n v="3274834.12"/>
  </r>
  <r>
    <x v="69"/>
    <x v="69"/>
    <x v="4"/>
    <x v="1"/>
    <x v="0"/>
    <x v="0"/>
    <x v="0"/>
    <x v="0"/>
    <x v="0"/>
    <x v="0"/>
    <x v="1"/>
    <x v="0"/>
    <n v="78"/>
    <n v="-4.8780487804878092E-2"/>
    <n v="2396"/>
    <n v="0.14040932889100419"/>
    <n v="2242656"/>
    <n v="8.4779605530467483E-2"/>
    <n v="5838294"/>
    <n v="0.22286350552051701"/>
    <n v="3230033"/>
    <n v="0.35237114714233919"/>
    <n v="365605"/>
    <n v="0.14798649815527121"/>
    <n v="964342.08"/>
    <n v="3572603.08"/>
  </r>
  <r>
    <x v="69"/>
    <x v="69"/>
    <x v="5"/>
    <x v="1"/>
    <x v="0"/>
    <x v="0"/>
    <x v="0"/>
    <x v="0"/>
    <x v="0"/>
    <x v="0"/>
    <x v="1"/>
    <x v="0"/>
    <n v="30"/>
    <n v="-0.61538461538461542"/>
    <n v="2591"/>
    <n v="8.1385642737896502E-2"/>
    <n v="932760"/>
    <n v="-0.58408244510080909"/>
    <n v="4789830"/>
    <n v="-0.17958396750831659"/>
    <n v="3724250"/>
    <n v="0.15300679590580035"/>
    <n v="132820"/>
    <n v="-0.63671175175394212"/>
    <n v="401086.8"/>
    <n v="1466666.8"/>
  </r>
  <r>
    <x v="70"/>
    <x v="70"/>
    <x v="0"/>
    <x v="0"/>
    <x v="0"/>
    <x v="0"/>
    <x v="0"/>
    <x v="0"/>
    <x v="0"/>
    <x v="1"/>
    <x v="1"/>
    <x v="0"/>
    <n v="0"/>
    <n v="0"/>
    <n v="0"/>
    <n v="0"/>
    <n v="0"/>
    <n v="0"/>
    <n v="0"/>
    <n v="0"/>
    <n v="0"/>
    <n v="0"/>
    <n v="0"/>
    <n v="0"/>
    <n v="0"/>
    <n v="0"/>
  </r>
  <r>
    <x v="70"/>
    <x v="70"/>
    <x v="1"/>
    <x v="0"/>
    <x v="0"/>
    <x v="0"/>
    <x v="0"/>
    <x v="0"/>
    <x v="0"/>
    <x v="1"/>
    <x v="1"/>
    <x v="0"/>
    <n v="0"/>
    <n v="0"/>
    <n v="0"/>
    <n v="0"/>
    <n v="0"/>
    <n v="0"/>
    <n v="0"/>
    <n v="0"/>
    <n v="0"/>
    <n v="0"/>
    <n v="0"/>
    <n v="0"/>
    <n v="0"/>
    <n v="0"/>
  </r>
  <r>
    <x v="70"/>
    <x v="70"/>
    <x v="2"/>
    <x v="0"/>
    <x v="0"/>
    <x v="0"/>
    <x v="0"/>
    <x v="0"/>
    <x v="0"/>
    <x v="1"/>
    <x v="1"/>
    <x v="0"/>
    <n v="0"/>
    <n v="0"/>
    <n v="0"/>
    <n v="0"/>
    <n v="0"/>
    <n v="0"/>
    <n v="0"/>
    <n v="0"/>
    <n v="0"/>
    <n v="0"/>
    <n v="0"/>
    <n v="0"/>
    <n v="0"/>
    <n v="0"/>
  </r>
  <r>
    <x v="70"/>
    <x v="70"/>
    <x v="3"/>
    <x v="0"/>
    <x v="0"/>
    <x v="0"/>
    <x v="0"/>
    <x v="0"/>
    <x v="0"/>
    <x v="1"/>
    <x v="1"/>
    <x v="0"/>
    <n v="0"/>
    <n v="0"/>
    <n v="0"/>
    <n v="0"/>
    <n v="0"/>
    <n v="0"/>
    <n v="0"/>
    <n v="0"/>
    <n v="0"/>
    <n v="0"/>
    <n v="0"/>
    <n v="0"/>
    <n v="0"/>
    <n v="0"/>
  </r>
  <r>
    <x v="70"/>
    <x v="70"/>
    <x v="4"/>
    <x v="0"/>
    <x v="0"/>
    <x v="0"/>
    <x v="0"/>
    <x v="0"/>
    <x v="0"/>
    <x v="1"/>
    <x v="1"/>
    <x v="0"/>
    <n v="0"/>
    <n v="0"/>
    <n v="0"/>
    <n v="0"/>
    <n v="0"/>
    <n v="0"/>
    <n v="0"/>
    <n v="0"/>
    <n v="0"/>
    <n v="0"/>
    <n v="0"/>
    <n v="0"/>
    <n v="0"/>
    <n v="0"/>
  </r>
  <r>
    <x v="70"/>
    <x v="70"/>
    <x v="5"/>
    <x v="0"/>
    <x v="0"/>
    <x v="0"/>
    <x v="0"/>
    <x v="0"/>
    <x v="0"/>
    <x v="1"/>
    <x v="1"/>
    <x v="0"/>
    <n v="0"/>
    <n v="0"/>
    <n v="0"/>
    <n v="0"/>
    <n v="0"/>
    <n v="0"/>
    <n v="168267"/>
    <n v="0"/>
    <n v="0"/>
    <n v="0"/>
    <n v="66604"/>
    <n v="0"/>
    <n v="0"/>
    <n v="168267"/>
  </r>
  <r>
    <x v="71"/>
    <x v="71"/>
    <x v="0"/>
    <x v="0"/>
    <x v="0"/>
    <x v="0"/>
    <x v="0"/>
    <x v="0"/>
    <x v="0"/>
    <x v="1"/>
    <x v="1"/>
    <x v="0"/>
    <n v="10"/>
    <n v="0"/>
    <n v="1527"/>
    <n v="0"/>
    <n v="183240"/>
    <n v="0"/>
    <n v="387275"/>
    <n v="0"/>
    <n v="196739"/>
    <n v="0"/>
    <n v="7296"/>
    <n v="0"/>
    <n v="78793.2"/>
    <n v="269329.2"/>
  </r>
  <r>
    <x v="71"/>
    <x v="71"/>
    <x v="1"/>
    <x v="0"/>
    <x v="0"/>
    <x v="0"/>
    <x v="0"/>
    <x v="0"/>
    <x v="0"/>
    <x v="1"/>
    <x v="1"/>
    <x v="0"/>
    <n v="10"/>
    <n v="0"/>
    <n v="1636"/>
    <n v="7.1381794368041929E-2"/>
    <n v="196320"/>
    <n v="7.1381794368041929E-2"/>
    <n v="339047"/>
    <n v="-0.1245316635465754"/>
    <n v="134172"/>
    <n v="-0.31802032133943958"/>
    <n v="8555"/>
    <n v="0.17256030701754391"/>
    <n v="84417.600000000006"/>
    <n v="289292.59999999998"/>
  </r>
  <r>
    <x v="71"/>
    <x v="71"/>
    <x v="2"/>
    <x v="0"/>
    <x v="0"/>
    <x v="0"/>
    <x v="0"/>
    <x v="0"/>
    <x v="0"/>
    <x v="1"/>
    <x v="1"/>
    <x v="0"/>
    <n v="8"/>
    <n v="-0.19999999999999996"/>
    <n v="1635"/>
    <n v="-6.1124694376524236E-4"/>
    <n v="156960"/>
    <n v="-0.20048899755501226"/>
    <n v="394946"/>
    <n v="0.16487094709583031"/>
    <n v="235768"/>
    <n v="0.75720716692007284"/>
    <n v="2218"/>
    <n v="-0.74073641145528923"/>
    <n v="67492.800000000003"/>
    <n v="226670.8"/>
  </r>
  <r>
    <x v="71"/>
    <x v="71"/>
    <x v="3"/>
    <x v="0"/>
    <x v="0"/>
    <x v="0"/>
    <x v="0"/>
    <x v="0"/>
    <x v="0"/>
    <x v="1"/>
    <x v="1"/>
    <x v="0"/>
    <n v="7"/>
    <n v="-0.125"/>
    <n v="1578"/>
    <n v="-3.4862385321100857E-2"/>
    <n v="132552"/>
    <n v="-0.15550458715596327"/>
    <n v="363458"/>
    <n v="-7.9727355132094058E-2"/>
    <n v="212743"/>
    <n v="-9.7659563638831437E-2"/>
    <n v="18163"/>
    <n v="7.1889089269612256"/>
    <n v="56997.36"/>
    <n v="207712.36"/>
  </r>
  <r>
    <x v="71"/>
    <x v="71"/>
    <x v="4"/>
    <x v="0"/>
    <x v="0"/>
    <x v="0"/>
    <x v="0"/>
    <x v="0"/>
    <x v="0"/>
    <x v="1"/>
    <x v="1"/>
    <x v="0"/>
    <n v="6"/>
    <n v="-0.1428571428571429"/>
    <n v="2083"/>
    <n v="0.3200253485424589"/>
    <n v="149976"/>
    <n v="0.13145029875067893"/>
    <n v="698509"/>
    <n v="0.92184241370392184"/>
    <n v="528340"/>
    <n v="1.4834659659777292"/>
    <n v="20193"/>
    <n v="0.1117656774761879"/>
    <n v="64489.68"/>
    <n v="234658.68"/>
  </r>
  <r>
    <x v="71"/>
    <x v="71"/>
    <x v="5"/>
    <x v="0"/>
    <x v="0"/>
    <x v="0"/>
    <x v="0"/>
    <x v="0"/>
    <x v="0"/>
    <x v="1"/>
    <x v="1"/>
    <x v="0"/>
    <n v="6"/>
    <n v="0"/>
    <n v="2965"/>
    <n v="0.4234277484397504"/>
    <n v="213480"/>
    <n v="0.4234277484397504"/>
    <n v="0"/>
    <n v="0"/>
    <n v="-213480"/>
    <n v="-1.4040579929590793"/>
    <n v="0"/>
    <n v="0"/>
    <n v="91796.4"/>
    <n v="305276.40000000002"/>
  </r>
  <r>
    <x v="72"/>
    <x v="72"/>
    <x v="0"/>
    <x v="0"/>
    <x v="0"/>
    <x v="0"/>
    <x v="0"/>
    <x v="0"/>
    <x v="1"/>
    <x v="0"/>
    <x v="0"/>
    <x v="0"/>
    <n v="17"/>
    <n v="0"/>
    <n v="1300"/>
    <n v="0"/>
    <n v="265200"/>
    <n v="0"/>
    <n v="595599"/>
    <n v="0"/>
    <n v="294682"/>
    <n v="0"/>
    <n v="35717"/>
    <n v="0"/>
    <n v="114036"/>
    <n v="414953"/>
  </r>
  <r>
    <x v="72"/>
    <x v="72"/>
    <x v="1"/>
    <x v="0"/>
    <x v="0"/>
    <x v="0"/>
    <x v="0"/>
    <x v="0"/>
    <x v="1"/>
    <x v="0"/>
    <x v="0"/>
    <x v="0"/>
    <n v="15"/>
    <n v="-0.11764705882352944"/>
    <n v="1249"/>
    <n v="-3.923076923076918E-2"/>
    <n v="224820"/>
    <n v="-0.15226244343891404"/>
    <n v="561515"/>
    <n v="-5.7226422475524667E-2"/>
    <n v="233291"/>
    <n v="-0.20832965705404471"/>
    <n v="103404"/>
    <n v="1.8950919730100511"/>
    <n v="96672.599999999991"/>
    <n v="424896.6"/>
  </r>
  <r>
    <x v="72"/>
    <x v="72"/>
    <x v="2"/>
    <x v="0"/>
    <x v="0"/>
    <x v="0"/>
    <x v="0"/>
    <x v="0"/>
    <x v="1"/>
    <x v="0"/>
    <x v="0"/>
    <x v="0"/>
    <n v="15"/>
    <n v="0"/>
    <n v="1588"/>
    <n v="0.27141713370696552"/>
    <n v="285840"/>
    <n v="0.27141713370696552"/>
    <n v="762011"/>
    <n v="0.3570625896013464"/>
    <n v="398539"/>
    <n v="0.70833422635249543"/>
    <n v="77632"/>
    <n v="-0.24923600634404861"/>
    <n v="122911.2"/>
    <n v="486383.2"/>
  </r>
  <r>
    <x v="72"/>
    <x v="72"/>
    <x v="3"/>
    <x v="0"/>
    <x v="0"/>
    <x v="0"/>
    <x v="0"/>
    <x v="0"/>
    <x v="1"/>
    <x v="0"/>
    <x v="0"/>
    <x v="0"/>
    <n v="15"/>
    <n v="0"/>
    <n v="1795"/>
    <n v="0.13035264483627201"/>
    <n v="323100"/>
    <n v="0.13035264483627196"/>
    <n v="838212"/>
    <n v="9.9999868768298583E-2"/>
    <n v="431911"/>
    <n v="8.3735845174499834E-2"/>
    <n v="83201"/>
    <n v="7.1735882110469884E-2"/>
    <n v="138933"/>
    <n v="545234"/>
  </r>
  <r>
    <x v="72"/>
    <x v="72"/>
    <x v="4"/>
    <x v="0"/>
    <x v="0"/>
    <x v="0"/>
    <x v="0"/>
    <x v="0"/>
    <x v="1"/>
    <x v="0"/>
    <x v="0"/>
    <x v="0"/>
    <n v="14"/>
    <n v="-6.6666666666666652E-2"/>
    <n v="1791"/>
    <n v="-2.2284122562674651E-3"/>
    <n v="300888"/>
    <n v="-6.874651810584953E-2"/>
    <n v="769072"/>
    <n v="-8.2485099235038439E-2"/>
    <n v="400925"/>
    <n v="-7.1741631956583674E-2"/>
    <n v="67259"/>
    <n v="-0.19160827393901511"/>
    <n v="129381.84"/>
    <n v="497528.83999999997"/>
  </r>
  <r>
    <x v="72"/>
    <x v="72"/>
    <x v="5"/>
    <x v="0"/>
    <x v="0"/>
    <x v="0"/>
    <x v="0"/>
    <x v="0"/>
    <x v="1"/>
    <x v="0"/>
    <x v="0"/>
    <x v="0"/>
    <n v="15"/>
    <n v="7.1428571428571397E-2"/>
    <n v="1938"/>
    <n v="8.2077051926298106E-2"/>
    <n v="348840"/>
    <n v="0.1593682699210337"/>
    <n v="835662"/>
    <n v="8.6584871117398654E-2"/>
    <n v="431843"/>
    <n v="7.7116667705930064E-2"/>
    <n v="54979"/>
    <n v="-0.1825777962800518"/>
    <n v="150001.20000000001"/>
    <n v="553820.19999999995"/>
  </r>
  <r>
    <x v="73"/>
    <x v="73"/>
    <x v="0"/>
    <x v="0"/>
    <x v="0"/>
    <x v="0"/>
    <x v="0"/>
    <x v="0"/>
    <x v="0"/>
    <x v="1"/>
    <x v="1"/>
    <x v="0"/>
    <n v="20"/>
    <n v="0"/>
    <n v="2883"/>
    <n v="0"/>
    <n v="691920"/>
    <n v="0"/>
    <n v="3590407"/>
    <n v="0"/>
    <n v="2220406"/>
    <n v="0"/>
    <n v="678081"/>
    <n v="0"/>
    <n v="297525.59999999998"/>
    <n v="1667526.6"/>
  </r>
  <r>
    <x v="73"/>
    <x v="73"/>
    <x v="1"/>
    <x v="0"/>
    <x v="0"/>
    <x v="0"/>
    <x v="0"/>
    <x v="0"/>
    <x v="0"/>
    <x v="1"/>
    <x v="1"/>
    <x v="0"/>
    <n v="20"/>
    <n v="0"/>
    <n v="3361"/>
    <n v="0.1657995143947277"/>
    <n v="806640"/>
    <n v="0.16579951439472773"/>
    <n v="3042886"/>
    <n v="-0.1524955248806055"/>
    <n v="1874326"/>
    <n v="-0.15586338714631465"/>
    <n v="361920"/>
    <n v="-0.46625845584819509"/>
    <n v="346855.2"/>
    <n v="1515415.2"/>
  </r>
  <r>
    <x v="73"/>
    <x v="73"/>
    <x v="2"/>
    <x v="0"/>
    <x v="0"/>
    <x v="0"/>
    <x v="0"/>
    <x v="0"/>
    <x v="0"/>
    <x v="1"/>
    <x v="1"/>
    <x v="0"/>
    <n v="22"/>
    <n v="0.10000000000000009"/>
    <n v="3888"/>
    <n v="0.1567985718536149"/>
    <n v="1026432"/>
    <n v="0.27247842903897657"/>
    <n v="4312296"/>
    <n v="0.4171730390162498"/>
    <n v="2557487"/>
    <n v="0.36448355302119273"/>
    <n v="728377"/>
    <n v="1.0125359195402299"/>
    <n v="441365.76000000001"/>
    <n v="2196174.7599999998"/>
  </r>
  <r>
    <x v="73"/>
    <x v="73"/>
    <x v="3"/>
    <x v="0"/>
    <x v="0"/>
    <x v="0"/>
    <x v="0"/>
    <x v="0"/>
    <x v="0"/>
    <x v="1"/>
    <x v="1"/>
    <x v="0"/>
    <n v="25"/>
    <n v="0.13636363636363646"/>
    <n v="3765"/>
    <n v="-3.1635802469135783E-2"/>
    <n v="1129500"/>
    <n v="0.10041386083052739"/>
    <n v="4312150"/>
    <n v="-3.3856674031662592E-5"/>
    <n v="2423408"/>
    <n v="-5.2426072938005164E-2"/>
    <n v="759242"/>
    <n v="4.2375033808041751E-2"/>
    <n v="485685"/>
    <n v="2374427"/>
  </r>
  <r>
    <x v="73"/>
    <x v="73"/>
    <x v="4"/>
    <x v="0"/>
    <x v="0"/>
    <x v="0"/>
    <x v="0"/>
    <x v="0"/>
    <x v="0"/>
    <x v="1"/>
    <x v="1"/>
    <x v="0"/>
    <n v="26"/>
    <n v="4.0000000000000036E-2"/>
    <n v="4390"/>
    <n v="0.16600265604249681"/>
    <n v="1369680"/>
    <n v="0.21264276228419665"/>
    <n v="4315944"/>
    <n v="8.7983952320769276E-4"/>
    <n v="2117575"/>
    <n v="-0.12619955038524255"/>
    <n v="828689"/>
    <n v="9.1468859731152818E-2"/>
    <n v="588962.4"/>
    <n v="2787331.4"/>
  </r>
  <r>
    <x v="73"/>
    <x v="73"/>
    <x v="5"/>
    <x v="0"/>
    <x v="0"/>
    <x v="0"/>
    <x v="0"/>
    <x v="0"/>
    <x v="0"/>
    <x v="1"/>
    <x v="1"/>
    <x v="0"/>
    <n v="24"/>
    <n v="-7.6923076923076872E-2"/>
    <n v="4929"/>
    <n v="0.1227790432801823"/>
    <n v="1419552"/>
    <n v="3.641142456632207E-2"/>
    <n v="4743413"/>
    <n v="9.9044148858279835E-2"/>
    <n v="2639502"/>
    <n v="0.24647391473737645"/>
    <n v="684359"/>
    <n v="-0.1741666656610622"/>
    <n v="610407.36"/>
    <n v="2714318.36"/>
  </r>
  <r>
    <x v="74"/>
    <x v="74"/>
    <x v="0"/>
    <x v="0"/>
    <x v="0"/>
    <x v="0"/>
    <x v="0"/>
    <x v="0"/>
    <x v="0"/>
    <x v="0"/>
    <x v="0"/>
    <x v="0"/>
    <n v="8"/>
    <n v="0"/>
    <n v="1445"/>
    <n v="0"/>
    <n v="138720"/>
    <n v="0"/>
    <n v="388517"/>
    <n v="0"/>
    <n v="285720"/>
    <n v="0"/>
    <n v="-35923"/>
    <n v="0"/>
    <n v="59649.599999999999"/>
    <n v="162446.6"/>
  </r>
  <r>
    <x v="74"/>
    <x v="74"/>
    <x v="1"/>
    <x v="0"/>
    <x v="0"/>
    <x v="0"/>
    <x v="0"/>
    <x v="0"/>
    <x v="0"/>
    <x v="0"/>
    <x v="0"/>
    <x v="0"/>
    <n v="8"/>
    <n v="0"/>
    <n v="1860"/>
    <n v="0.28719723183390999"/>
    <n v="178560"/>
    <n v="0.28719723183390999"/>
    <n v="481436"/>
    <n v="0.23916327985648"/>
    <n v="334461"/>
    <n v="0.17059008819823607"/>
    <n v="-31585"/>
    <n v="-0.12075828856164569"/>
    <n v="76780.800000000003"/>
    <n v="223755.8"/>
  </r>
  <r>
    <x v="74"/>
    <x v="74"/>
    <x v="2"/>
    <x v="0"/>
    <x v="0"/>
    <x v="0"/>
    <x v="0"/>
    <x v="0"/>
    <x v="0"/>
    <x v="0"/>
    <x v="0"/>
    <x v="0"/>
    <n v="5"/>
    <n v="-0.375"/>
    <n v="2168"/>
    <n v="0.16559139784946231"/>
    <n v="130080"/>
    <n v="-0.271505376344086"/>
    <n v="545455"/>
    <n v="0.13297509949401379"/>
    <n v="367955"/>
    <n v="0.10014321550195682"/>
    <n v="47420"/>
    <n v="-2.501345575431376"/>
    <n v="55934.400000000001"/>
    <n v="233434.4"/>
  </r>
  <r>
    <x v="74"/>
    <x v="74"/>
    <x v="3"/>
    <x v="0"/>
    <x v="0"/>
    <x v="0"/>
    <x v="0"/>
    <x v="0"/>
    <x v="0"/>
    <x v="0"/>
    <x v="0"/>
    <x v="0"/>
    <n v="5"/>
    <n v="0"/>
    <n v="2786"/>
    <n v="0.28505535055350562"/>
    <n v="167160"/>
    <n v="0.28505535055350562"/>
    <n v="555622"/>
    <n v="1.863948446709629E-2"/>
    <n v="396212"/>
    <n v="7.6794716745254066E-2"/>
    <n v="-7750"/>
    <n v="-1.16343315056938"/>
    <n v="71878.8"/>
    <n v="231288.8"/>
  </r>
  <r>
    <x v="74"/>
    <x v="74"/>
    <x v="4"/>
    <x v="0"/>
    <x v="0"/>
    <x v="0"/>
    <x v="0"/>
    <x v="0"/>
    <x v="0"/>
    <x v="0"/>
    <x v="0"/>
    <x v="0"/>
    <n v="7"/>
    <n v="0.39999999999999991"/>
    <n v="2400"/>
    <n v="-0.13854989231873649"/>
    <n v="201600"/>
    <n v="0.20603015075376874"/>
    <n v="539977"/>
    <n v="-2.815763234717128E-2"/>
    <n v="334847"/>
    <n v="-0.15487920608159267"/>
    <n v="3530"/>
    <n v="-1.455483870967742"/>
    <n v="86688"/>
    <n v="291818"/>
  </r>
  <r>
    <x v="74"/>
    <x v="74"/>
    <x v="5"/>
    <x v="0"/>
    <x v="0"/>
    <x v="0"/>
    <x v="0"/>
    <x v="0"/>
    <x v="0"/>
    <x v="0"/>
    <x v="0"/>
    <x v="0"/>
    <n v="7"/>
    <n v="0"/>
    <n v="2948"/>
    <n v="0.2283333333333333"/>
    <n v="247632"/>
    <n v="0.22833333333333328"/>
    <n v="843249"/>
    <n v="0.5616387364647013"/>
    <n v="592720"/>
    <n v="0.77012187655854758"/>
    <n v="2897"/>
    <n v="-0.17932011331444761"/>
    <n v="106481.76"/>
    <n v="357010.76"/>
  </r>
  <r>
    <x v="75"/>
    <x v="75"/>
    <x v="0"/>
    <x v="0"/>
    <x v="0"/>
    <x v="0"/>
    <x v="1"/>
    <x v="0"/>
    <x v="0"/>
    <x v="0"/>
    <x v="0"/>
    <x v="0"/>
    <n v="17"/>
    <n v="0"/>
    <n v="2233"/>
    <n v="0"/>
    <n v="455532"/>
    <n v="0"/>
    <n v="3984255"/>
    <n v="0"/>
    <n v="3317315"/>
    <n v="0"/>
    <n v="211408"/>
    <n v="0"/>
    <n v="195878.76"/>
    <n v="862818.76"/>
  </r>
  <r>
    <x v="75"/>
    <x v="75"/>
    <x v="1"/>
    <x v="0"/>
    <x v="0"/>
    <x v="0"/>
    <x v="1"/>
    <x v="0"/>
    <x v="0"/>
    <x v="0"/>
    <x v="0"/>
    <x v="0"/>
    <n v="21"/>
    <n v="0.23529411764705888"/>
    <n v="2199"/>
    <n v="-1.522615315718767E-2"/>
    <n v="554148"/>
    <n v="0.21648534021759169"/>
    <n v="5638018"/>
    <n v="0.41507458734443459"/>
    <n v="4518432"/>
    <n v="0.36207505166075582"/>
    <n v="565438"/>
    <n v="1.6746291531067889"/>
    <n v="238283.63999999998"/>
    <n v="1357869.64"/>
  </r>
  <r>
    <x v="75"/>
    <x v="75"/>
    <x v="2"/>
    <x v="0"/>
    <x v="0"/>
    <x v="0"/>
    <x v="1"/>
    <x v="0"/>
    <x v="0"/>
    <x v="0"/>
    <x v="0"/>
    <x v="0"/>
    <n v="27"/>
    <n v="0.28571428571428581"/>
    <n v="2483"/>
    <n v="0.129149613460664"/>
    <n v="804492"/>
    <n v="0.45176378873513934"/>
    <n v="7175635"/>
    <n v="0.27272296753930192"/>
    <n v="5902283"/>
    <n v="0.30626797083590063"/>
    <n v="468860"/>
    <n v="-0.17080210385577199"/>
    <n v="345931.56"/>
    <n v="1619283.56"/>
  </r>
  <r>
    <x v="75"/>
    <x v="75"/>
    <x v="3"/>
    <x v="0"/>
    <x v="0"/>
    <x v="0"/>
    <x v="1"/>
    <x v="0"/>
    <x v="0"/>
    <x v="0"/>
    <x v="0"/>
    <x v="0"/>
    <n v="30"/>
    <n v="0.11111111111111116"/>
    <n v="2808"/>
    <n v="0.130890052356021"/>
    <n v="1010880"/>
    <n v="0.25654450261780104"/>
    <n v="11433659"/>
    <n v="0.59340030533883059"/>
    <n v="9835360"/>
    <n v="0.66636537082345937"/>
    <n v="587419"/>
    <n v="0.25286652732158837"/>
    <n v="434678.39999999997"/>
    <n v="2032977.4"/>
  </r>
  <r>
    <x v="75"/>
    <x v="75"/>
    <x v="4"/>
    <x v="0"/>
    <x v="0"/>
    <x v="0"/>
    <x v="1"/>
    <x v="0"/>
    <x v="0"/>
    <x v="0"/>
    <x v="0"/>
    <x v="0"/>
    <n v="29"/>
    <n v="-3.3333333333333326E-2"/>
    <n v="3307"/>
    <n v="0.1777065527065527"/>
    <n v="1150836"/>
    <n v="0.13844966761633426"/>
    <n v="19745738"/>
    <n v="0.72698328680258872"/>
    <n v="18249529"/>
    <n v="0.85550188300174068"/>
    <n v="345373"/>
    <n v="-0.41205000178748052"/>
    <n v="494859.48"/>
    <n v="1991068.48"/>
  </r>
  <r>
    <x v="75"/>
    <x v="75"/>
    <x v="5"/>
    <x v="0"/>
    <x v="0"/>
    <x v="0"/>
    <x v="1"/>
    <x v="0"/>
    <x v="0"/>
    <x v="0"/>
    <x v="0"/>
    <x v="0"/>
    <n v="25"/>
    <n v="-0.13793103448275867"/>
    <n v="3578"/>
    <n v="8.1947384336256368E-2"/>
    <n v="1073400"/>
    <n v="-6.7286737641158223E-2"/>
    <n v="11526712"/>
    <n v="-0.41624303938399271"/>
    <n v="10357949"/>
    <n v="-0.43242650262371152"/>
    <n v="95363"/>
    <n v="-0.72388403262559609"/>
    <n v="461562"/>
    <n v="1630325"/>
  </r>
  <r>
    <x v="76"/>
    <x v="76"/>
    <x v="0"/>
    <x v="0"/>
    <x v="0"/>
    <x v="0"/>
    <x v="0"/>
    <x v="0"/>
    <x v="0"/>
    <x v="0"/>
    <x v="0"/>
    <x v="0"/>
    <n v="6"/>
    <n v="0"/>
    <n v="1122"/>
    <n v="0"/>
    <n v="80784"/>
    <n v="0"/>
    <n v="180509"/>
    <n v="0"/>
    <n v="84755"/>
    <n v="0"/>
    <n v="14970"/>
    <n v="0"/>
    <n v="34737.120000000003"/>
    <n v="130491.12"/>
  </r>
  <r>
    <x v="76"/>
    <x v="76"/>
    <x v="1"/>
    <x v="0"/>
    <x v="0"/>
    <x v="0"/>
    <x v="0"/>
    <x v="0"/>
    <x v="0"/>
    <x v="0"/>
    <x v="0"/>
    <x v="0"/>
    <n v="5"/>
    <n v="-0.16666666666666663"/>
    <n v="1681"/>
    <n v="0.5"/>
    <n v="100860"/>
    <n v="0.24851455733808669"/>
    <n v="246330"/>
    <n v="0.36"/>
    <n v="109221"/>
    <n v="0.28866733526045651"/>
    <n v="36249"/>
    <n v="1.42"/>
    <n v="43369.8"/>
    <n v="180478.8"/>
  </r>
  <r>
    <x v="76"/>
    <x v="76"/>
    <x v="2"/>
    <x v="0"/>
    <x v="0"/>
    <x v="0"/>
    <x v="0"/>
    <x v="0"/>
    <x v="0"/>
    <x v="0"/>
    <x v="0"/>
    <x v="0"/>
    <n v="7"/>
    <n v="0.39999999999999991"/>
    <n v="1944"/>
    <n v="0.16"/>
    <n v="163296"/>
    <n v="0.6190362879238549"/>
    <n v="377769"/>
    <n v="0.53"/>
    <n v="170168"/>
    <n v="0.5580153999688704"/>
    <n v="44305"/>
    <n v="0.22"/>
    <n v="70217.279999999999"/>
    <n v="277818.28000000003"/>
  </r>
  <r>
    <x v="76"/>
    <x v="76"/>
    <x v="3"/>
    <x v="0"/>
    <x v="0"/>
    <x v="0"/>
    <x v="0"/>
    <x v="0"/>
    <x v="0"/>
    <x v="0"/>
    <x v="0"/>
    <x v="0"/>
    <n v="9"/>
    <n v="0.28571428571428581"/>
    <n v="2381"/>
    <n v="0.22"/>
    <n v="257148"/>
    <n v="0.57473544973544977"/>
    <n v="628198"/>
    <n v="0.66"/>
    <n v="285341"/>
    <n v="0.67681937849654461"/>
    <n v="85709"/>
    <n v="0.93"/>
    <n v="110573.64"/>
    <n v="453430.64"/>
  </r>
  <r>
    <x v="76"/>
    <x v="76"/>
    <x v="4"/>
    <x v="0"/>
    <x v="0"/>
    <x v="0"/>
    <x v="0"/>
    <x v="0"/>
    <x v="0"/>
    <x v="0"/>
    <x v="0"/>
    <x v="0"/>
    <n v="9"/>
    <n v="0"/>
    <n v="2815"/>
    <n v="0.18"/>
    <n v="304020"/>
    <n v="0.18227635447291046"/>
    <n v="645494"/>
    <n v="0.03"/>
    <n v="279679"/>
    <n v="-1.9842924781226623E-2"/>
    <n v="61795"/>
    <n v="-0.28000000000000003"/>
    <n v="130728.59999999999"/>
    <n v="496543.6"/>
  </r>
  <r>
    <x v="76"/>
    <x v="76"/>
    <x v="5"/>
    <x v="0"/>
    <x v="0"/>
    <x v="0"/>
    <x v="0"/>
    <x v="0"/>
    <x v="0"/>
    <x v="0"/>
    <x v="0"/>
    <x v="0"/>
    <n v="9"/>
    <n v="0"/>
    <n v="3161"/>
    <n v="0.12"/>
    <n v="341388"/>
    <n v="0.12291296625222015"/>
    <n v="770285"/>
    <n v="0.19"/>
    <n v="342222"/>
    <n v="0.22362422634520285"/>
    <n v="86675"/>
    <n v="0.4"/>
    <n v="146796.84"/>
    <n v="574859.84"/>
  </r>
  <r>
    <x v="77"/>
    <x v="77"/>
    <x v="0"/>
    <x v="0"/>
    <x v="0"/>
    <x v="1"/>
    <x v="0"/>
    <x v="0"/>
    <x v="0"/>
    <x v="0"/>
    <x v="1"/>
    <x v="0"/>
    <n v="3"/>
    <n v="0"/>
    <n v="0"/>
    <n v="0"/>
    <n v="0"/>
    <n v="0"/>
    <n v="328025"/>
    <n v="0"/>
    <n v="0"/>
    <n v="0"/>
    <n v="107649"/>
    <n v="0"/>
    <n v="0"/>
    <n v="328025"/>
  </r>
  <r>
    <x v="77"/>
    <x v="77"/>
    <x v="1"/>
    <x v="0"/>
    <x v="0"/>
    <x v="1"/>
    <x v="0"/>
    <x v="0"/>
    <x v="0"/>
    <x v="0"/>
    <x v="1"/>
    <x v="0"/>
    <n v="4"/>
    <n v="0.33333333333333326"/>
    <n v="1195"/>
    <n v="0"/>
    <n v="57360"/>
    <n v="0"/>
    <n v="451893"/>
    <n v="0.37761755963722288"/>
    <n v="227136"/>
    <n v="0"/>
    <n v="167397"/>
    <n v="0.55502605690717055"/>
    <n v="24664.799999999999"/>
    <n v="249421.8"/>
  </r>
  <r>
    <x v="77"/>
    <x v="77"/>
    <x v="2"/>
    <x v="0"/>
    <x v="0"/>
    <x v="1"/>
    <x v="0"/>
    <x v="0"/>
    <x v="0"/>
    <x v="0"/>
    <x v="1"/>
    <x v="0"/>
    <n v="4"/>
    <n v="0"/>
    <n v="1060"/>
    <n v="-0.11297071129707111"/>
    <n v="50880"/>
    <n v="-0.11297071129707115"/>
    <n v="614560"/>
    <n v="0.35996795701637341"/>
    <n v="270575"/>
    <n v="0.19124665398703855"/>
    <n v="293105"/>
    <n v="0.75095730508909964"/>
    <n v="21878.400000000001"/>
    <n v="365863.4"/>
  </r>
  <r>
    <x v="77"/>
    <x v="77"/>
    <x v="3"/>
    <x v="0"/>
    <x v="0"/>
    <x v="1"/>
    <x v="0"/>
    <x v="0"/>
    <x v="0"/>
    <x v="0"/>
    <x v="1"/>
    <x v="0"/>
    <n v="5"/>
    <n v="0.25"/>
    <n v="1269"/>
    <n v="0.1971698113207547"/>
    <n v="76140"/>
    <n v="0.4964622641509433"/>
    <n v="766536"/>
    <n v="0.24729237177818281"/>
    <n v="324821"/>
    <n v="0.20048415411623388"/>
    <n v="365575"/>
    <n v="0.2472492792685215"/>
    <n v="32740.2"/>
    <n v="474455.2"/>
  </r>
  <r>
    <x v="77"/>
    <x v="77"/>
    <x v="4"/>
    <x v="0"/>
    <x v="0"/>
    <x v="1"/>
    <x v="0"/>
    <x v="0"/>
    <x v="0"/>
    <x v="0"/>
    <x v="1"/>
    <x v="0"/>
    <n v="7"/>
    <n v="0.39999999999999991"/>
    <n v="1899"/>
    <n v="0.49645390070921991"/>
    <n v="159516"/>
    <n v="1.0950354609929076"/>
    <n v="1054535"/>
    <n v="0.37571490445328082"/>
    <n v="408664"/>
    <n v="0.25812062643733014"/>
    <n v="486355"/>
    <n v="0.33038364220748129"/>
    <n v="68591.88"/>
    <n v="714462.88"/>
  </r>
  <r>
    <x v="77"/>
    <x v="77"/>
    <x v="5"/>
    <x v="0"/>
    <x v="0"/>
    <x v="1"/>
    <x v="0"/>
    <x v="0"/>
    <x v="0"/>
    <x v="0"/>
    <x v="1"/>
    <x v="0"/>
    <n v="11"/>
    <n v="0.5714285714285714"/>
    <n v="2711"/>
    <n v="0.42759347024749861"/>
    <n v="357852"/>
    <n v="1.2433611675317837"/>
    <n v="1415385"/>
    <n v="0.34218873721592941"/>
    <n v="539434"/>
    <n v="0.3199939314449034"/>
    <n v="518099"/>
    <n v="6.5269196368907378E-2"/>
    <n v="153876.35999999999"/>
    <n v="1029827.36"/>
  </r>
  <r>
    <x v="78"/>
    <x v="78"/>
    <x v="0"/>
    <x v="0"/>
    <x v="0"/>
    <x v="0"/>
    <x v="1"/>
    <x v="0"/>
    <x v="0"/>
    <x v="0"/>
    <x v="0"/>
    <x v="0"/>
    <n v="6"/>
    <n v="0"/>
    <n v="2858"/>
    <n v="0"/>
    <n v="205776"/>
    <n v="0"/>
    <n v="992725"/>
    <n v="0"/>
    <n v="720200"/>
    <n v="0"/>
    <n v="66749"/>
    <n v="0"/>
    <n v="88483.68"/>
    <n v="361008.68"/>
  </r>
  <r>
    <x v="78"/>
    <x v="78"/>
    <x v="1"/>
    <x v="0"/>
    <x v="0"/>
    <x v="0"/>
    <x v="1"/>
    <x v="0"/>
    <x v="0"/>
    <x v="0"/>
    <x v="0"/>
    <x v="0"/>
    <n v="7"/>
    <n v="0.16666666666666674"/>
    <n v="3139"/>
    <n v="0.1"/>
    <n v="263676"/>
    <n v="0.28137392115698634"/>
    <n v="1086282"/>
    <n v="0.09"/>
    <n v="756125"/>
    <n v="4.9881977228547703E-2"/>
    <n v="66481"/>
    <n v="0"/>
    <n v="113380.68"/>
    <n v="443537.68"/>
  </r>
  <r>
    <x v="78"/>
    <x v="78"/>
    <x v="2"/>
    <x v="0"/>
    <x v="0"/>
    <x v="0"/>
    <x v="1"/>
    <x v="0"/>
    <x v="0"/>
    <x v="0"/>
    <x v="0"/>
    <x v="0"/>
    <n v="6"/>
    <n v="-0.1428571428571429"/>
    <n v="4661"/>
    <n v="0.48"/>
    <n v="335592"/>
    <n v="0.2727438219633187"/>
    <n v="1341762"/>
    <n v="0.24"/>
    <n v="958675"/>
    <n v="0.26787898826252277"/>
    <n v="47495"/>
    <n v="-0.28999999999999998"/>
    <n v="144304.56"/>
    <n v="527391.56000000006"/>
  </r>
  <r>
    <x v="78"/>
    <x v="78"/>
    <x v="3"/>
    <x v="0"/>
    <x v="0"/>
    <x v="0"/>
    <x v="1"/>
    <x v="0"/>
    <x v="0"/>
    <x v="0"/>
    <x v="0"/>
    <x v="0"/>
    <n v="7"/>
    <n v="0.16666666666666674"/>
    <n v="4471"/>
    <n v="-0.04"/>
    <n v="375564"/>
    <n v="0.11910891797182299"/>
    <n v="1988223"/>
    <n v="0.48"/>
    <n v="1524775"/>
    <n v="0.59050251649411956"/>
    <n v="87884"/>
    <n v="0.85"/>
    <n v="161492.51999999999"/>
    <n v="624940.52"/>
  </r>
  <r>
    <x v="78"/>
    <x v="78"/>
    <x v="4"/>
    <x v="0"/>
    <x v="0"/>
    <x v="0"/>
    <x v="1"/>
    <x v="0"/>
    <x v="0"/>
    <x v="0"/>
    <x v="0"/>
    <x v="0"/>
    <n v="6"/>
    <n v="-0.1428571428571429"/>
    <n v="5086"/>
    <n v="0.14000000000000001"/>
    <n v="366192"/>
    <n v="-2.4954468479406966E-2"/>
    <n v="2655646"/>
    <n v="0.34"/>
    <n v="2256979"/>
    <n v="0.48020462035382261"/>
    <n v="32475"/>
    <n v="-0.63"/>
    <n v="157462.56"/>
    <n v="556129.56000000006"/>
  </r>
  <r>
    <x v="78"/>
    <x v="78"/>
    <x v="5"/>
    <x v="0"/>
    <x v="0"/>
    <x v="0"/>
    <x v="1"/>
    <x v="0"/>
    <x v="0"/>
    <x v="0"/>
    <x v="0"/>
    <x v="0"/>
    <n v="6"/>
    <n v="0"/>
    <n v="5911"/>
    <n v="0.16"/>
    <n v="425592"/>
    <n v="0.16220998820290999"/>
    <n v="2521409"/>
    <n v="-0.05"/>
    <n v="2015690"/>
    <n v="-0.10690795084934335"/>
    <n v="80127"/>
    <n v="1.47"/>
    <n v="183004.56"/>
    <n v="688723.56"/>
  </r>
  <r>
    <x v="79"/>
    <x v="79"/>
    <x v="2"/>
    <x v="0"/>
    <x v="0"/>
    <x v="0"/>
    <x v="0"/>
    <x v="0"/>
    <x v="0"/>
    <x v="0"/>
    <x v="1"/>
    <x v="1"/>
    <n v="2"/>
    <n v="-0.66666666666666674"/>
    <n v="0"/>
    <n v="0"/>
    <n v="0"/>
    <n v="-1"/>
    <n v="56983"/>
    <n v="0"/>
    <n v="0"/>
    <n v="-1"/>
    <n v="40177"/>
    <n v="0"/>
    <n v="0"/>
    <n v="56983"/>
  </r>
  <r>
    <x v="79"/>
    <x v="79"/>
    <x v="3"/>
    <x v="0"/>
    <x v="0"/>
    <x v="0"/>
    <x v="0"/>
    <x v="0"/>
    <x v="0"/>
    <x v="0"/>
    <x v="1"/>
    <x v="1"/>
    <n v="3"/>
    <n v="0.5"/>
    <n v="0"/>
    <n v="0"/>
    <n v="0"/>
    <n v="0"/>
    <n v="129939"/>
    <n v="1.28"/>
    <n v="0"/>
    <n v="0"/>
    <n v="50125"/>
    <n v="0.25"/>
    <n v="0"/>
    <n v="129939"/>
  </r>
  <r>
    <x v="79"/>
    <x v="79"/>
    <x v="4"/>
    <x v="0"/>
    <x v="0"/>
    <x v="0"/>
    <x v="0"/>
    <x v="0"/>
    <x v="0"/>
    <x v="0"/>
    <x v="1"/>
    <x v="1"/>
    <n v="3"/>
    <n v="0"/>
    <n v="0"/>
    <n v="0"/>
    <n v="0"/>
    <n v="0"/>
    <n v="235676"/>
    <n v="0.81"/>
    <n v="0"/>
    <n v="0"/>
    <n v="105197"/>
    <n v="1.1000000000000001"/>
    <n v="0"/>
    <n v="235676"/>
  </r>
  <r>
    <x v="79"/>
    <x v="79"/>
    <x v="5"/>
    <x v="0"/>
    <x v="0"/>
    <x v="0"/>
    <x v="0"/>
    <x v="0"/>
    <x v="0"/>
    <x v="0"/>
    <x v="1"/>
    <x v="1"/>
    <n v="3"/>
    <n v="0"/>
    <n v="0"/>
    <n v="0"/>
    <n v="0"/>
    <n v="0"/>
    <n v="201743"/>
    <n v="-0.14000000000000001"/>
    <n v="0"/>
    <n v="0"/>
    <n v="93993"/>
    <n v="-0.11"/>
    <n v="0"/>
    <n v="201743"/>
  </r>
  <r>
    <x v="80"/>
    <x v="80"/>
    <x v="0"/>
    <x v="0"/>
    <x v="0"/>
    <x v="0"/>
    <x v="0"/>
    <x v="0"/>
    <x v="1"/>
    <x v="0"/>
    <x v="0"/>
    <x v="0"/>
    <n v="28"/>
    <n v="0"/>
    <n v="1923"/>
    <n v="0"/>
    <n v="646128"/>
    <n v="0"/>
    <n v="2542792"/>
    <n v="0"/>
    <n v="1666939"/>
    <n v="0"/>
    <n v="229725"/>
    <n v="0"/>
    <n v="277835.03999999998"/>
    <n v="1153688.04"/>
  </r>
  <r>
    <x v="80"/>
    <x v="80"/>
    <x v="1"/>
    <x v="0"/>
    <x v="0"/>
    <x v="0"/>
    <x v="0"/>
    <x v="0"/>
    <x v="1"/>
    <x v="0"/>
    <x v="0"/>
    <x v="0"/>
    <n v="26"/>
    <n v="-7.1428571428571397E-2"/>
    <n v="2084"/>
    <n v="8.3723348933957276E-2"/>
    <n v="650208"/>
    <n v="6.3145382958176288E-3"/>
    <n v="2699328"/>
    <n v="6.1560678183665729E-2"/>
    <n v="2010769"/>
    <n v="0.20626429641396604"/>
    <n v="38351"/>
    <n v="-0.83305691587767983"/>
    <n v="279589.44"/>
    <n v="968148.44"/>
  </r>
  <r>
    <x v="80"/>
    <x v="80"/>
    <x v="2"/>
    <x v="0"/>
    <x v="0"/>
    <x v="0"/>
    <x v="0"/>
    <x v="0"/>
    <x v="1"/>
    <x v="0"/>
    <x v="0"/>
    <x v="0"/>
    <n v="30"/>
    <n v="0.15384615384615374"/>
    <n v="2229"/>
    <n v="6.9577735124760176E-2"/>
    <n v="802440"/>
    <n v="0.2341281559131847"/>
    <n v="3544935"/>
    <n v="0.31326574614126179"/>
    <n v="2512159"/>
    <n v="0.24935236220570345"/>
    <n v="230336"/>
    <n v="5.0059972360564258"/>
    <n v="345049.2"/>
    <n v="1377825.2"/>
  </r>
  <r>
    <x v="80"/>
    <x v="80"/>
    <x v="3"/>
    <x v="0"/>
    <x v="0"/>
    <x v="0"/>
    <x v="0"/>
    <x v="0"/>
    <x v="1"/>
    <x v="0"/>
    <x v="0"/>
    <x v="0"/>
    <n v="43"/>
    <n v="0.43333333333333335"/>
    <n v="2748"/>
    <n v="0.2328398384925976"/>
    <n v="1417968"/>
    <n v="0.76707043517272311"/>
    <n v="5294859"/>
    <n v="0.49364064503298383"/>
    <n v="3736077"/>
    <n v="0.48719766543439325"/>
    <n v="140814"/>
    <n v="-0.38865830786329542"/>
    <n v="609726.24"/>
    <n v="2168508.2400000002"/>
  </r>
  <r>
    <x v="80"/>
    <x v="80"/>
    <x v="4"/>
    <x v="0"/>
    <x v="0"/>
    <x v="0"/>
    <x v="0"/>
    <x v="0"/>
    <x v="1"/>
    <x v="0"/>
    <x v="0"/>
    <x v="0"/>
    <n v="40"/>
    <n v="-6.9767441860465129E-2"/>
    <n v="3185"/>
    <n v="0.15902474526928681"/>
    <n v="1528800"/>
    <n v="7.8162553738871487E-2"/>
    <n v="5094797"/>
    <n v="-3.7784197841717833E-2"/>
    <n v="3485355"/>
    <n v="-6.7108359918706117E-2"/>
    <n v="80642"/>
    <n v="-0.42731546579175361"/>
    <n v="657384"/>
    <n v="2266826"/>
  </r>
  <r>
    <x v="80"/>
    <x v="80"/>
    <x v="5"/>
    <x v="0"/>
    <x v="0"/>
    <x v="0"/>
    <x v="0"/>
    <x v="0"/>
    <x v="1"/>
    <x v="0"/>
    <x v="0"/>
    <x v="0"/>
    <n v="43"/>
    <n v="7.4999999999999956E-2"/>
    <n v="3281"/>
    <n v="3.014128728414445E-2"/>
    <n v="1692996"/>
    <n v="0.10740188383045535"/>
    <n v="5026701"/>
    <n v="-1.336579259193249E-2"/>
    <n v="3486642"/>
    <n v="3.6925937243115214E-4"/>
    <n v="-152937"/>
    <n v="-2.8964931425311868"/>
    <n v="727988.28"/>
    <n v="2268047.2800000003"/>
  </r>
  <r>
    <x v="81"/>
    <x v="81"/>
    <x v="0"/>
    <x v="0"/>
    <x v="0"/>
    <x v="0"/>
    <x v="0"/>
    <x v="1"/>
    <x v="0"/>
    <x v="0"/>
    <x v="1"/>
    <x v="0"/>
    <n v="3"/>
    <n v="0"/>
    <n v="0"/>
    <n v="0"/>
    <n v="0"/>
    <n v="0"/>
    <n v="1507524"/>
    <n v="0"/>
    <n v="0"/>
    <n v="0"/>
    <n v="112348"/>
    <n v="0"/>
    <n v="0"/>
    <n v="1507524"/>
  </r>
  <r>
    <x v="81"/>
    <x v="81"/>
    <x v="1"/>
    <x v="0"/>
    <x v="0"/>
    <x v="0"/>
    <x v="0"/>
    <x v="1"/>
    <x v="0"/>
    <x v="0"/>
    <x v="1"/>
    <x v="0"/>
    <n v="3"/>
    <n v="0"/>
    <n v="464"/>
    <n v="0"/>
    <n v="16704"/>
    <n v="0"/>
    <n v="1539395"/>
    <n v="0.02"/>
    <n v="1412698"/>
    <n v="0"/>
    <n v="109993"/>
    <n v="-0.02"/>
    <n v="7182.72"/>
    <n v="133879.72"/>
  </r>
  <r>
    <x v="81"/>
    <x v="81"/>
    <x v="2"/>
    <x v="0"/>
    <x v="0"/>
    <x v="0"/>
    <x v="0"/>
    <x v="1"/>
    <x v="0"/>
    <x v="0"/>
    <x v="1"/>
    <x v="0"/>
    <n v="4"/>
    <n v="0.33333333333333326"/>
    <n v="443"/>
    <n v="-0.05"/>
    <n v="21264"/>
    <n v="0.27298850574712641"/>
    <n v="1457975"/>
    <n v="-0.05"/>
    <n v="1363756"/>
    <n v="-3.4644347199472181E-2"/>
    <n v="72955"/>
    <n v="-0.34"/>
    <n v="9143.52"/>
    <n v="103362.52"/>
  </r>
  <r>
    <x v="81"/>
    <x v="81"/>
    <x v="3"/>
    <x v="0"/>
    <x v="0"/>
    <x v="0"/>
    <x v="0"/>
    <x v="1"/>
    <x v="0"/>
    <x v="0"/>
    <x v="1"/>
    <x v="0"/>
    <n v="4"/>
    <n v="0"/>
    <n v="727"/>
    <n v="0.64"/>
    <n v="34896"/>
    <n v="0.64108352144469527"/>
    <n v="1560444"/>
    <n v="7.0000000000000007E-2"/>
    <n v="1462660"/>
    <n v="7.2523237294648046E-2"/>
    <n v="62888"/>
    <n v="-0.14000000000000001"/>
    <n v="15005.28"/>
    <n v="112789.28"/>
  </r>
  <r>
    <x v="81"/>
    <x v="81"/>
    <x v="4"/>
    <x v="0"/>
    <x v="0"/>
    <x v="0"/>
    <x v="0"/>
    <x v="1"/>
    <x v="0"/>
    <x v="0"/>
    <x v="1"/>
    <x v="0"/>
    <n v="3"/>
    <n v="-0.25"/>
    <n v="824"/>
    <n v="0.13"/>
    <n v="29664"/>
    <n v="-0.14993122420907845"/>
    <n v="1741263"/>
    <n v="0.12"/>
    <n v="1657612"/>
    <n v="0.13328593111180997"/>
    <n v="53987"/>
    <n v="-0.14000000000000001"/>
    <n v="12755.52"/>
    <n v="96406.52"/>
  </r>
  <r>
    <x v="81"/>
    <x v="81"/>
    <x v="5"/>
    <x v="0"/>
    <x v="0"/>
    <x v="0"/>
    <x v="0"/>
    <x v="1"/>
    <x v="0"/>
    <x v="0"/>
    <x v="1"/>
    <x v="0"/>
    <n v="3"/>
    <n v="0"/>
    <n v="1055"/>
    <n v="0.28033980582524265"/>
    <n v="37980"/>
    <n v="0.28033980582524265"/>
    <m/>
    <m/>
    <n v="-37980"/>
    <n v="-1.0229124789154518"/>
    <m/>
    <m/>
    <n v="16331.4"/>
    <n v="54311.4"/>
  </r>
  <r>
    <x v="82"/>
    <x v="82"/>
    <x v="0"/>
    <x v="0"/>
    <x v="0"/>
    <x v="0"/>
    <x v="0"/>
    <x v="0"/>
    <x v="1"/>
    <x v="0"/>
    <x v="1"/>
    <x v="0"/>
    <n v="15"/>
    <n v="0"/>
    <n v="2045"/>
    <n v="0"/>
    <n v="368100"/>
    <n v="0"/>
    <n v="1489138"/>
    <n v="0"/>
    <n v="1080274"/>
    <n v="0"/>
    <n v="40764"/>
    <n v="0"/>
    <n v="158283"/>
    <n v="567147"/>
  </r>
  <r>
    <x v="82"/>
    <x v="82"/>
    <x v="1"/>
    <x v="0"/>
    <x v="0"/>
    <x v="0"/>
    <x v="0"/>
    <x v="0"/>
    <x v="1"/>
    <x v="0"/>
    <x v="1"/>
    <x v="0"/>
    <n v="14"/>
    <n v="-6.6666666666666652E-2"/>
    <n v="1657"/>
    <n v="-0.1897310513447433"/>
    <n v="278376"/>
    <n v="-0.2437489812550937"/>
    <n v="924221"/>
    <n v="-0.37935839391648052"/>
    <n v="614841"/>
    <n v="-0.4308471739577181"/>
    <n v="31004"/>
    <n v="-0.23942694534393091"/>
    <n v="119701.68"/>
    <n v="429081.68"/>
  </r>
  <r>
    <x v="82"/>
    <x v="82"/>
    <x v="2"/>
    <x v="0"/>
    <x v="0"/>
    <x v="0"/>
    <x v="0"/>
    <x v="0"/>
    <x v="1"/>
    <x v="0"/>
    <x v="1"/>
    <x v="0"/>
    <n v="15"/>
    <n v="7.1428571428571397E-2"/>
    <n v="2046"/>
    <n v="0.2347616173808087"/>
    <n v="368280"/>
    <n v="0.32295887576515225"/>
    <n v="641943"/>
    <n v="-0.30542262078009491"/>
    <n v="343272"/>
    <n v="-0.44168980272948621"/>
    <n v="-69609"/>
    <n v="-3.245161914591665"/>
    <n v="158360.4"/>
    <n v="457031.4"/>
  </r>
  <r>
    <x v="82"/>
    <x v="82"/>
    <x v="3"/>
    <x v="0"/>
    <x v="0"/>
    <x v="0"/>
    <x v="0"/>
    <x v="0"/>
    <x v="1"/>
    <x v="0"/>
    <x v="1"/>
    <x v="0"/>
    <n v="16"/>
    <n v="6.6666666666666652E-2"/>
    <n v="2269"/>
    <n v="0.1089931573802541"/>
    <n v="435648"/>
    <n v="0.18292603453893785"/>
    <n v="1895806"/>
    <n v="1.9532310501088099"/>
    <n v="1420712"/>
    <n v="3.1387354634225924"/>
    <n v="39446"/>
    <n v="-1.566679596029249"/>
    <n v="187328.63999999998"/>
    <n v="662422.64"/>
  </r>
  <r>
    <x v="82"/>
    <x v="82"/>
    <x v="4"/>
    <x v="0"/>
    <x v="0"/>
    <x v="0"/>
    <x v="0"/>
    <x v="0"/>
    <x v="1"/>
    <x v="0"/>
    <x v="1"/>
    <x v="0"/>
    <n v="18"/>
    <n v="0.125"/>
    <n v="2874"/>
    <n v="0.26663728514764218"/>
    <n v="620784"/>
    <n v="0.42496694579109739"/>
    <n v="1885334"/>
    <n v="-5.5237719471296076E-3"/>
    <n v="1222834"/>
    <n v="-0.13928086762130543"/>
    <n v="41716"/>
    <n v="5.7547026314455303E-2"/>
    <n v="266937.12"/>
    <n v="929437.12"/>
  </r>
  <r>
    <x v="82"/>
    <x v="82"/>
    <x v="5"/>
    <x v="0"/>
    <x v="0"/>
    <x v="0"/>
    <x v="0"/>
    <x v="0"/>
    <x v="1"/>
    <x v="0"/>
    <x v="1"/>
    <x v="0"/>
    <n v="18"/>
    <n v="0"/>
    <n v="3260"/>
    <n v="0.13430758524704259"/>
    <n v="704160"/>
    <n v="0.13430758524704256"/>
    <n v="1795590"/>
    <n v="-4.7601114709648229E-2"/>
    <n v="1076698"/>
    <n v="-0.11950599999672895"/>
    <n v="14732"/>
    <n v="-0.64685012944673503"/>
    <n v="302788.8"/>
    <n v="1021680.8"/>
  </r>
  <r>
    <x v="83"/>
    <x v="83"/>
    <x v="0"/>
    <x v="0"/>
    <x v="1"/>
    <x v="0"/>
    <x v="0"/>
    <x v="0"/>
    <x v="0"/>
    <x v="0"/>
    <x v="1"/>
    <x v="0"/>
    <n v="4"/>
    <n v="0"/>
    <n v="1062"/>
    <n v="0"/>
    <n v="50976"/>
    <n v="0"/>
    <n v="653976"/>
    <n v="0"/>
    <n v="542435"/>
    <n v="0"/>
    <n v="60565"/>
    <n v="0"/>
    <n v="21919.68"/>
    <n v="133460.68"/>
  </r>
  <r>
    <x v="83"/>
    <x v="83"/>
    <x v="1"/>
    <x v="0"/>
    <x v="1"/>
    <x v="0"/>
    <x v="0"/>
    <x v="0"/>
    <x v="0"/>
    <x v="0"/>
    <x v="1"/>
    <x v="0"/>
    <n v="4"/>
    <n v="0"/>
    <n v="1060"/>
    <n v="0"/>
    <n v="50880"/>
    <n v="-1.8832391713747842E-3"/>
    <n v="196389"/>
    <n v="-0.7"/>
    <n v="148480"/>
    <n v="-0.72627135048438984"/>
    <n v="-2971"/>
    <n v="-1.05"/>
    <n v="21878.400000000001"/>
    <n v="69787.399999999994"/>
  </r>
  <r>
    <x v="83"/>
    <x v="83"/>
    <x v="2"/>
    <x v="0"/>
    <x v="1"/>
    <x v="0"/>
    <x v="0"/>
    <x v="0"/>
    <x v="0"/>
    <x v="0"/>
    <x v="1"/>
    <x v="0"/>
    <n v="3"/>
    <n v="-0.25"/>
    <n v="1055"/>
    <n v="0"/>
    <n v="37980"/>
    <n v="-0.25353773584905659"/>
    <n v="399946"/>
    <n v="1.04"/>
    <n v="342249"/>
    <n v="1.3050175107758619"/>
    <n v="19717"/>
    <n v="7.64"/>
    <n v="16331.4"/>
    <n v="74028.399999999994"/>
  </r>
  <r>
    <x v="83"/>
    <x v="83"/>
    <x v="3"/>
    <x v="0"/>
    <x v="1"/>
    <x v="0"/>
    <x v="0"/>
    <x v="0"/>
    <x v="0"/>
    <x v="0"/>
    <x v="1"/>
    <x v="0"/>
    <n v="4"/>
    <n v="0.33333333333333326"/>
    <n v="1559"/>
    <n v="0.48"/>
    <n v="74832"/>
    <n v="0.97030015797788316"/>
    <n v="928031"/>
    <n v="1.32"/>
    <n v="697824"/>
    <n v="1.0389365637299157"/>
    <n v="155375"/>
    <n v="6.88"/>
    <n v="32177.759999999998"/>
    <n v="262384.76"/>
  </r>
  <r>
    <x v="83"/>
    <x v="83"/>
    <x v="4"/>
    <x v="0"/>
    <x v="1"/>
    <x v="0"/>
    <x v="0"/>
    <x v="0"/>
    <x v="0"/>
    <x v="0"/>
    <x v="1"/>
    <x v="0"/>
    <n v="4"/>
    <n v="0"/>
    <n v="1982"/>
    <n v="0.27"/>
    <n v="95136"/>
    <n v="0.27132777421423993"/>
    <n v="1228001"/>
    <n v="0.32"/>
    <n v="976468"/>
    <n v="0.39930412252946312"/>
    <n v="156397"/>
    <n v="0.01"/>
    <n v="40908.479999999996"/>
    <n v="292441.48"/>
  </r>
  <r>
    <x v="83"/>
    <x v="83"/>
    <x v="5"/>
    <x v="0"/>
    <x v="1"/>
    <x v="0"/>
    <x v="0"/>
    <x v="0"/>
    <x v="0"/>
    <x v="0"/>
    <x v="1"/>
    <x v="0"/>
    <n v="4"/>
    <n v="0"/>
    <n v="2195"/>
    <n v="0.11"/>
    <n v="105360"/>
    <n v="0.10746720484359229"/>
    <n v="1064448"/>
    <n v="-0.13"/>
    <n v="876070"/>
    <n v="-0.10281750144397972"/>
    <n v="83018"/>
    <n v="-0.47"/>
    <n v="45304.800000000003"/>
    <n v="233682.8"/>
  </r>
  <r>
    <x v="84"/>
    <x v="84"/>
    <x v="0"/>
    <x v="0"/>
    <x v="0"/>
    <x v="0"/>
    <x v="1"/>
    <x v="0"/>
    <x v="0"/>
    <x v="0"/>
    <x v="0"/>
    <x v="0"/>
    <n v="16"/>
    <n v="0"/>
    <n v="2194"/>
    <n v="0"/>
    <n v="421248"/>
    <n v="0"/>
    <n v="1161676"/>
    <n v="0"/>
    <n v="724977"/>
    <n v="0"/>
    <n v="15451"/>
    <n v="0"/>
    <n v="181136.63999999998"/>
    <n v="617835.64"/>
  </r>
  <r>
    <x v="84"/>
    <x v="84"/>
    <x v="1"/>
    <x v="0"/>
    <x v="0"/>
    <x v="0"/>
    <x v="1"/>
    <x v="0"/>
    <x v="0"/>
    <x v="0"/>
    <x v="0"/>
    <x v="0"/>
    <n v="27"/>
    <n v="0.6875"/>
    <n v="2182"/>
    <n v="-5.4694621695533518E-3"/>
    <n v="706968"/>
    <n v="0.67827028258887867"/>
    <n v="1881602"/>
    <n v="0.61973045840664698"/>
    <n v="1098150"/>
    <n v="0.51473770892042103"/>
    <n v="76484"/>
    <n v="3.9501003171315769"/>
    <n v="303996.24"/>
    <n v="1087448.24"/>
  </r>
  <r>
    <x v="84"/>
    <x v="84"/>
    <x v="2"/>
    <x v="0"/>
    <x v="0"/>
    <x v="0"/>
    <x v="1"/>
    <x v="0"/>
    <x v="0"/>
    <x v="0"/>
    <x v="0"/>
    <x v="0"/>
    <n v="41"/>
    <n v="0.5185185185185186"/>
    <n v="2407"/>
    <n v="0.10311640696608609"/>
    <n v="1184244"/>
    <n v="0.67510269205961237"/>
    <n v="2745328"/>
    <n v="0.45903756479850683"/>
    <n v="1533018"/>
    <n v="0.39600054637344617"/>
    <n v="28066"/>
    <n v="-0.63304743475759628"/>
    <n v="509224.92"/>
    <n v="1721534.92"/>
  </r>
  <r>
    <x v="84"/>
    <x v="84"/>
    <x v="3"/>
    <x v="0"/>
    <x v="0"/>
    <x v="0"/>
    <x v="1"/>
    <x v="0"/>
    <x v="0"/>
    <x v="0"/>
    <x v="0"/>
    <x v="0"/>
    <n v="52"/>
    <n v="0.26829268292682928"/>
    <n v="2574"/>
    <n v="6.9380972164520216E-2"/>
    <n v="1606176"/>
    <n v="0.35628806225744025"/>
    <n v="3189523"/>
    <n v="0.16180033861163401"/>
    <n v="1538476"/>
    <n v="3.5602974002915122E-3"/>
    <n v="44871"/>
    <n v="0.59876719161975345"/>
    <n v="690655.67999999993"/>
    <n v="2341702.6799999997"/>
  </r>
  <r>
    <x v="84"/>
    <x v="84"/>
    <x v="4"/>
    <x v="0"/>
    <x v="0"/>
    <x v="0"/>
    <x v="1"/>
    <x v="0"/>
    <x v="0"/>
    <x v="0"/>
    <x v="0"/>
    <x v="0"/>
    <n v="56"/>
    <n v="7.6923076923076872E-2"/>
    <n v="2787"/>
    <n v="8.275058275058278E-2"/>
    <n v="1872864"/>
    <n v="0.16603908911601217"/>
    <n v="3156815"/>
    <n v="-1.025482493777286E-2"/>
    <n v="1275452"/>
    <n v="-0.17096399293846642"/>
    <n v="8499"/>
    <n v="-0.81059035902921706"/>
    <n v="805331.52"/>
    <n v="2686694.52"/>
  </r>
  <r>
    <x v="84"/>
    <x v="84"/>
    <x v="5"/>
    <x v="0"/>
    <x v="0"/>
    <x v="0"/>
    <x v="1"/>
    <x v="0"/>
    <x v="0"/>
    <x v="0"/>
    <x v="0"/>
    <x v="0"/>
    <n v="50"/>
    <n v="-0.1071428571428571"/>
    <n v="3005"/>
    <n v="7.8220308575529307E-2"/>
    <n v="1803000"/>
    <n v="-3.7303295914706047E-2"/>
    <n v="3457966"/>
    <n v="9.5397101192182587E-2"/>
    <n v="1644962"/>
    <n v="0.28970906000382612"/>
    <n v="10004"/>
    <n v="0.17707965643016821"/>
    <n v="775290"/>
    <n v="2588294"/>
  </r>
  <r>
    <x v="85"/>
    <x v="85"/>
    <x v="0"/>
    <x v="0"/>
    <x v="0"/>
    <x v="0"/>
    <x v="0"/>
    <x v="0"/>
    <x v="1"/>
    <x v="0"/>
    <x v="1"/>
    <x v="0"/>
    <n v="8"/>
    <n v="0"/>
    <n v="1348"/>
    <n v="0"/>
    <n v="129408"/>
    <n v="0"/>
    <n v="310625"/>
    <n v="0"/>
    <n v="263493"/>
    <n v="0"/>
    <n v="-82276"/>
    <n v="0"/>
    <n v="55645.440000000002"/>
    <n v="102777.44"/>
  </r>
  <r>
    <x v="85"/>
    <x v="85"/>
    <x v="1"/>
    <x v="0"/>
    <x v="0"/>
    <x v="0"/>
    <x v="0"/>
    <x v="0"/>
    <x v="1"/>
    <x v="0"/>
    <x v="1"/>
    <x v="0"/>
    <n v="7"/>
    <n v="-0.125"/>
    <n v="1361"/>
    <n v="9.6439169139466152E-3"/>
    <n v="114324"/>
    <n v="-0.11656157270029677"/>
    <n v="253884"/>
    <n v="-0.18266720321931579"/>
    <n v="137079"/>
    <n v="-0.47976227072445943"/>
    <n v="2481"/>
    <n v="-1.030154601584909"/>
    <n v="49159.32"/>
    <n v="165964.32"/>
  </r>
  <r>
    <x v="85"/>
    <x v="85"/>
    <x v="2"/>
    <x v="0"/>
    <x v="0"/>
    <x v="0"/>
    <x v="0"/>
    <x v="0"/>
    <x v="1"/>
    <x v="0"/>
    <x v="1"/>
    <x v="0"/>
    <n v="7"/>
    <n v="0"/>
    <n v="1516"/>
    <n v="0.1138868479059516"/>
    <n v="127344"/>
    <n v="0.1138868479059516"/>
    <n v="351527"/>
    <n v="0.38459690252241191"/>
    <n v="206579"/>
    <n v="0.50700690842506879"/>
    <n v="17604"/>
    <n v="6.0955259975816203"/>
    <n v="54757.919999999998"/>
    <n v="199705.91999999998"/>
  </r>
  <r>
    <x v="85"/>
    <x v="85"/>
    <x v="3"/>
    <x v="0"/>
    <x v="0"/>
    <x v="0"/>
    <x v="0"/>
    <x v="0"/>
    <x v="1"/>
    <x v="0"/>
    <x v="1"/>
    <x v="0"/>
    <n v="7"/>
    <n v="0"/>
    <n v="1660"/>
    <n v="9.4986807387862804E-2"/>
    <n v="139440"/>
    <n v="9.4986807387862804E-2"/>
    <n v="322775"/>
    <n v="-8.1791725813379901E-2"/>
    <n v="191320"/>
    <n v="-7.3865204110776017E-2"/>
    <n v="-7985"/>
    <n v="-1.4535900931606449"/>
    <n v="59959.199999999997"/>
    <n v="191414.2"/>
  </r>
  <r>
    <x v="85"/>
    <x v="85"/>
    <x v="4"/>
    <x v="0"/>
    <x v="0"/>
    <x v="0"/>
    <x v="0"/>
    <x v="0"/>
    <x v="1"/>
    <x v="0"/>
    <x v="1"/>
    <x v="0"/>
    <n v="6"/>
    <n v="-0.1428571428571429"/>
    <n v="1793"/>
    <n v="8.0120481927710818E-2"/>
    <n v="129096"/>
    <n v="-7.4182444061962172E-2"/>
    <n v="684432"/>
    <n v="1.1204616218728221"/>
    <n v="496163"/>
    <n v="1.5933671335981603"/>
    <n v="59173"/>
    <n v="-8.4105197244834073"/>
    <n v="55511.28"/>
    <n v="243780.28"/>
  </r>
  <r>
    <x v="85"/>
    <x v="85"/>
    <x v="5"/>
    <x v="0"/>
    <x v="0"/>
    <x v="0"/>
    <x v="0"/>
    <x v="0"/>
    <x v="1"/>
    <x v="0"/>
    <x v="1"/>
    <x v="0"/>
    <n v="6"/>
    <n v="0"/>
    <n v="1977"/>
    <n v="0.10262130507529291"/>
    <n v="142344"/>
    <n v="0.10262130507529288"/>
    <n v="316507"/>
    <n v="-0.53756253360450712"/>
    <n v="176396"/>
    <n v="-0.64447973750561816"/>
    <n v="-2233"/>
    <n v="-1.0377368056377061"/>
    <n v="61207.92"/>
    <n v="201318.91999999998"/>
  </r>
  <r>
    <x v="86"/>
    <x v="86"/>
    <x v="0"/>
    <x v="0"/>
    <x v="1"/>
    <x v="0"/>
    <x v="0"/>
    <x v="0"/>
    <x v="0"/>
    <x v="0"/>
    <x v="1"/>
    <x v="0"/>
    <n v="5"/>
    <n v="0"/>
    <n v="1330"/>
    <n v="0"/>
    <n v="79800"/>
    <n v="0"/>
    <n v="821314"/>
    <n v="0"/>
    <n v="736822"/>
    <n v="0"/>
    <n v="4692"/>
    <n v="0"/>
    <n v="34314"/>
    <n v="118806"/>
  </r>
  <r>
    <x v="86"/>
    <x v="86"/>
    <x v="1"/>
    <x v="0"/>
    <x v="1"/>
    <x v="0"/>
    <x v="0"/>
    <x v="0"/>
    <x v="0"/>
    <x v="0"/>
    <x v="1"/>
    <x v="0"/>
    <n v="4"/>
    <n v="-0.19999999999999996"/>
    <n v="991"/>
    <n v="-0.25"/>
    <n v="47568"/>
    <n v="-0.40390977443609022"/>
    <n v="376895"/>
    <n v="-0.54"/>
    <n v="313237"/>
    <n v="-0.57488104318274968"/>
    <n v="16090"/>
    <n v="2.4300000000000002"/>
    <n v="20454.239999999998"/>
    <n v="84112.239999999991"/>
  </r>
  <r>
    <x v="86"/>
    <x v="86"/>
    <x v="2"/>
    <x v="0"/>
    <x v="1"/>
    <x v="0"/>
    <x v="0"/>
    <x v="0"/>
    <x v="0"/>
    <x v="0"/>
    <x v="1"/>
    <x v="0"/>
    <n v="3"/>
    <n v="-0.25"/>
    <n v="0"/>
    <n v="0"/>
    <n v="0"/>
    <n v="-1"/>
    <n v="930793"/>
    <n v="1.47"/>
    <n v="0"/>
    <n v="-1"/>
    <n v="92764"/>
    <n v="4.7699999999999996"/>
    <n v="0"/>
    <n v="930793"/>
  </r>
  <r>
    <x v="86"/>
    <x v="86"/>
    <x v="3"/>
    <x v="0"/>
    <x v="1"/>
    <x v="0"/>
    <x v="0"/>
    <x v="0"/>
    <x v="0"/>
    <x v="0"/>
    <x v="1"/>
    <x v="0"/>
    <n v="5"/>
    <n v="0.66666666666666674"/>
    <n v="2720"/>
    <n v="0"/>
    <n v="163200"/>
    <n v="0"/>
    <n v="1249429"/>
    <n v="0.34"/>
    <n v="1053337"/>
    <n v="0"/>
    <n v="32892"/>
    <n v="-0.65"/>
    <n v="70176"/>
    <n v="266268"/>
  </r>
  <r>
    <x v="86"/>
    <x v="86"/>
    <x v="4"/>
    <x v="0"/>
    <x v="1"/>
    <x v="0"/>
    <x v="0"/>
    <x v="0"/>
    <x v="0"/>
    <x v="0"/>
    <x v="1"/>
    <x v="0"/>
    <n v="4"/>
    <n v="-0.19999999999999996"/>
    <n v="3087"/>
    <n v="0.13"/>
    <n v="148176"/>
    <n v="-9.2058823529411749E-2"/>
    <n v="1249338"/>
    <n v="0"/>
    <n v="1058762"/>
    <n v="5.1502985274418656E-3"/>
    <n v="42400"/>
    <n v="0.28999999999999998"/>
    <n v="63715.68"/>
    <n v="254291.68"/>
  </r>
  <r>
    <x v="86"/>
    <x v="86"/>
    <x v="5"/>
    <x v="0"/>
    <x v="1"/>
    <x v="0"/>
    <x v="0"/>
    <x v="0"/>
    <x v="0"/>
    <x v="0"/>
    <x v="1"/>
    <x v="0"/>
    <n v="3"/>
    <n v="-0.25"/>
    <n v="3618"/>
    <n v="0.17"/>
    <n v="130248"/>
    <n v="-0.12099125364431484"/>
    <n v="1063817"/>
    <n v="-0.15"/>
    <n v="905362"/>
    <n v="-0.14488619727568608"/>
    <n v="28207"/>
    <n v="-0.33"/>
    <n v="56006.64"/>
    <n v="214461.64"/>
  </r>
  <r>
    <x v="87"/>
    <x v="87"/>
    <x v="0"/>
    <x v="0"/>
    <x v="0"/>
    <x v="1"/>
    <x v="0"/>
    <x v="1"/>
    <x v="1"/>
    <x v="0"/>
    <x v="1"/>
    <x v="0"/>
    <n v="17"/>
    <n v="0"/>
    <n v="2079"/>
    <n v="0"/>
    <n v="424116"/>
    <n v="0"/>
    <n v="872145"/>
    <n v="0"/>
    <n v="453930"/>
    <n v="0"/>
    <n v="-5901"/>
    <n v="0"/>
    <n v="182369.88"/>
    <n v="600584.88"/>
  </r>
  <r>
    <x v="87"/>
    <x v="87"/>
    <x v="1"/>
    <x v="0"/>
    <x v="0"/>
    <x v="1"/>
    <x v="0"/>
    <x v="1"/>
    <x v="1"/>
    <x v="0"/>
    <x v="1"/>
    <x v="0"/>
    <n v="12"/>
    <n v="-0.29411764705882348"/>
    <n v="1929"/>
    <n v="-7.0000000000000007E-2"/>
    <n v="277776"/>
    <n v="-0.34504710975299213"/>
    <n v="1143759"/>
    <n v="0.31"/>
    <n v="766636"/>
    <n v="0.68888595157843713"/>
    <n v="99347"/>
    <n v="17.84"/>
    <n v="119443.68"/>
    <n v="496566.68"/>
  </r>
  <r>
    <x v="87"/>
    <x v="87"/>
    <x v="2"/>
    <x v="0"/>
    <x v="0"/>
    <x v="1"/>
    <x v="0"/>
    <x v="1"/>
    <x v="1"/>
    <x v="0"/>
    <x v="1"/>
    <x v="0"/>
    <n v="15"/>
    <n v="0.25"/>
    <n v="2230"/>
    <n v="0.16"/>
    <n v="401400"/>
    <n v="0.44504924831518933"/>
    <n v="1618544"/>
    <n v="0.42"/>
    <n v="1117923"/>
    <n v="0.45821876353315005"/>
    <n v="99221"/>
    <n v="0"/>
    <n v="172602"/>
    <n v="673223"/>
  </r>
  <r>
    <x v="87"/>
    <x v="87"/>
    <x v="3"/>
    <x v="0"/>
    <x v="0"/>
    <x v="1"/>
    <x v="0"/>
    <x v="1"/>
    <x v="1"/>
    <x v="0"/>
    <x v="1"/>
    <x v="0"/>
    <n v="23"/>
    <n v="0.53333333333333344"/>
    <n v="2450"/>
    <n v="0.1"/>
    <n v="676200"/>
    <n v="0.68460388639760827"/>
    <n v="1813270"/>
    <n v="0.12"/>
    <n v="1121781"/>
    <n v="3.4510426925646875E-3"/>
    <n v="15289"/>
    <n v="-0.85"/>
    <n v="290766"/>
    <n v="982255"/>
  </r>
  <r>
    <x v="87"/>
    <x v="87"/>
    <x v="4"/>
    <x v="0"/>
    <x v="0"/>
    <x v="1"/>
    <x v="0"/>
    <x v="1"/>
    <x v="1"/>
    <x v="0"/>
    <x v="1"/>
    <x v="0"/>
    <n v="27"/>
    <n v="0.17391304347826098"/>
    <n v="2646"/>
    <n v="0.08"/>
    <n v="857304"/>
    <n v="0.26782608695652166"/>
    <n v="1905999"/>
    <n v="0.05"/>
    <n v="1139697"/>
    <n v="1.5971031778930111E-2"/>
    <n v="-91002"/>
    <n v="-6.95"/>
    <n v="368640.72"/>
    <n v="1134942.72"/>
  </r>
  <r>
    <x v="87"/>
    <x v="87"/>
    <x v="5"/>
    <x v="0"/>
    <x v="0"/>
    <x v="1"/>
    <x v="0"/>
    <x v="1"/>
    <x v="1"/>
    <x v="0"/>
    <x v="1"/>
    <x v="0"/>
    <n v="26"/>
    <n v="-3.703703703703709E-2"/>
    <n v="2529"/>
    <n v="-0.04"/>
    <n v="789048"/>
    <n v="-7.9617031997984422E-2"/>
    <n v="2631602"/>
    <n v="0.38069432355420973"/>
    <n v="1759902"/>
    <n v="0.54418411209295092"/>
    <n v="82652"/>
    <n v="1.90824377486209"/>
    <n v="339290.64"/>
    <n v="1210990.6400000001"/>
  </r>
  <r>
    <x v="88"/>
    <x v="88"/>
    <x v="0"/>
    <x v="0"/>
    <x v="1"/>
    <x v="0"/>
    <x v="0"/>
    <x v="0"/>
    <x v="0"/>
    <x v="0"/>
    <x v="1"/>
    <x v="0"/>
    <n v="12"/>
    <n v="0"/>
    <n v="1176"/>
    <n v="0"/>
    <n v="169344"/>
    <n v="0"/>
    <n v="829120"/>
    <n v="0"/>
    <n v="658842"/>
    <n v="0"/>
    <n v="934"/>
    <n v="0"/>
    <n v="72817.919999999998"/>
    <n v="243095.91999999998"/>
  </r>
  <r>
    <x v="88"/>
    <x v="88"/>
    <x v="1"/>
    <x v="0"/>
    <x v="1"/>
    <x v="0"/>
    <x v="0"/>
    <x v="0"/>
    <x v="0"/>
    <x v="0"/>
    <x v="1"/>
    <x v="0"/>
    <n v="12"/>
    <n v="0"/>
    <n v="1278"/>
    <n v="0.09"/>
    <n v="184032"/>
    <n v="8.6734693877551061E-2"/>
    <n v="824661"/>
    <n v="-0.01"/>
    <n v="563462"/>
    <n v="-0.14476915557903114"/>
    <n v="77167"/>
    <n v="81.62"/>
    <n v="79133.759999999995"/>
    <n v="340332.76"/>
  </r>
  <r>
    <x v="88"/>
    <x v="88"/>
    <x v="2"/>
    <x v="0"/>
    <x v="1"/>
    <x v="0"/>
    <x v="0"/>
    <x v="0"/>
    <x v="0"/>
    <x v="0"/>
    <x v="1"/>
    <x v="0"/>
    <n v="11"/>
    <n v="-8.333333333333337E-2"/>
    <n v="1653"/>
    <n v="0.28999999999999998"/>
    <n v="218196"/>
    <n v="0.18564162754303593"/>
    <n v="917347"/>
    <n v="0.11"/>
    <n v="596052"/>
    <n v="5.7838860473288456E-2"/>
    <n v="103099"/>
    <n v="0.34"/>
    <n v="93824.28"/>
    <n v="415119.28"/>
  </r>
  <r>
    <x v="88"/>
    <x v="88"/>
    <x v="3"/>
    <x v="0"/>
    <x v="1"/>
    <x v="0"/>
    <x v="0"/>
    <x v="0"/>
    <x v="0"/>
    <x v="0"/>
    <x v="1"/>
    <x v="0"/>
    <n v="11"/>
    <n v="0"/>
    <n v="1709"/>
    <n v="0.03"/>
    <n v="225588"/>
    <n v="3.3877797943133725E-2"/>
    <n v="1167788"/>
    <n v="0.27"/>
    <n v="822182"/>
    <n v="0.37937965143980734"/>
    <n v="120018"/>
    <n v="0.16"/>
    <n v="97002.84"/>
    <n v="442608.83999999997"/>
  </r>
  <r>
    <x v="88"/>
    <x v="88"/>
    <x v="4"/>
    <x v="0"/>
    <x v="1"/>
    <x v="0"/>
    <x v="0"/>
    <x v="0"/>
    <x v="0"/>
    <x v="0"/>
    <x v="1"/>
    <x v="0"/>
    <n v="12"/>
    <n v="9.0909090909090828E-2"/>
    <n v="1889"/>
    <n v="0.11"/>
    <n v="272016"/>
    <n v="0.20580881961806474"/>
    <n v="1503595"/>
    <n v="0.28999999999999998"/>
    <n v="1124963"/>
    <n v="0.36826517729651109"/>
    <n v="106616"/>
    <n v="-0.11"/>
    <n v="116966.88"/>
    <n v="495598.88"/>
  </r>
  <r>
    <x v="88"/>
    <x v="88"/>
    <x v="5"/>
    <x v="0"/>
    <x v="1"/>
    <x v="0"/>
    <x v="0"/>
    <x v="0"/>
    <x v="0"/>
    <x v="0"/>
    <x v="1"/>
    <x v="0"/>
    <n v="13"/>
    <n v="8.3333333333333259E-2"/>
    <n v="2139"/>
    <n v="0.13"/>
    <n v="333684"/>
    <n v="0.22670725251455792"/>
    <n v="1851227"/>
    <n v="0.23"/>
    <n v="1396915"/>
    <n v="0.24174306177180949"/>
    <n v="120628"/>
    <n v="0.13"/>
    <n v="143484.12"/>
    <n v="597796.12"/>
  </r>
  <r>
    <x v="89"/>
    <x v="89"/>
    <x v="0"/>
    <x v="0"/>
    <x v="0"/>
    <x v="0"/>
    <x v="1"/>
    <x v="0"/>
    <x v="0"/>
    <x v="0"/>
    <x v="1"/>
    <x v="0"/>
    <n v="21"/>
    <n v="0"/>
    <n v="2175"/>
    <n v="0"/>
    <n v="548100"/>
    <n v="0"/>
    <n v="6385159"/>
    <n v="0"/>
    <n v="5779960"/>
    <n v="0"/>
    <n v="57099"/>
    <n v="0"/>
    <n v="235683"/>
    <n v="840882"/>
  </r>
  <r>
    <x v="89"/>
    <x v="89"/>
    <x v="1"/>
    <x v="0"/>
    <x v="0"/>
    <x v="0"/>
    <x v="1"/>
    <x v="0"/>
    <x v="0"/>
    <x v="0"/>
    <x v="1"/>
    <x v="0"/>
    <n v="20"/>
    <n v="-4.7619047619047672E-2"/>
    <n v="2572"/>
    <n v="0.18252873563218391"/>
    <n v="617280"/>
    <n v="0.12621784345922271"/>
    <n v="5903710"/>
    <n v="-7.54012546907602E-2"/>
    <n v="5043570"/>
    <n v="-0.12740399587540396"/>
    <n v="242860"/>
    <n v="3.253314418816442"/>
    <n v="265430.40000000002"/>
    <n v="1125570.3999999999"/>
  </r>
  <r>
    <x v="89"/>
    <x v="89"/>
    <x v="2"/>
    <x v="0"/>
    <x v="0"/>
    <x v="0"/>
    <x v="1"/>
    <x v="0"/>
    <x v="0"/>
    <x v="0"/>
    <x v="1"/>
    <x v="0"/>
    <n v="19"/>
    <n v="-5.0000000000000044E-2"/>
    <n v="2688"/>
    <n v="4.510108864696738E-2"/>
    <n v="612864"/>
    <n v="-7.1539657853810779E-3"/>
    <n v="7141593"/>
    <n v="0.20967882907527649"/>
    <n v="6188641"/>
    <n v="0.22703580995207751"/>
    <n v="340088"/>
    <n v="0.40034587828378498"/>
    <n v="263531.52000000002"/>
    <n v="1216483.52"/>
  </r>
  <r>
    <x v="89"/>
    <x v="89"/>
    <x v="3"/>
    <x v="0"/>
    <x v="0"/>
    <x v="0"/>
    <x v="1"/>
    <x v="0"/>
    <x v="0"/>
    <x v="0"/>
    <x v="1"/>
    <x v="0"/>
    <n v="20"/>
    <n v="5.2631578947368363E-2"/>
    <n v="2915"/>
    <n v="8.4449404761904656E-2"/>
    <n v="699600"/>
    <n v="0.14152568922305764"/>
    <n v="7598409"/>
    <n v="6.3965560624919426E-2"/>
    <n v="6799474"/>
    <n v="9.870228374856449E-2"/>
    <n v="99335"/>
    <n v="-0.7079138340664769"/>
    <n v="300828"/>
    <n v="1099763"/>
  </r>
  <r>
    <x v="89"/>
    <x v="89"/>
    <x v="4"/>
    <x v="0"/>
    <x v="0"/>
    <x v="0"/>
    <x v="1"/>
    <x v="0"/>
    <x v="0"/>
    <x v="0"/>
    <x v="1"/>
    <x v="0"/>
    <n v="20"/>
    <n v="0"/>
    <n v="3033"/>
    <n v="4.0480274442538537E-2"/>
    <n v="727920"/>
    <n v="4.0480274442538544E-2"/>
    <n v="7543028"/>
    <n v="-7.2884994740346487E-3"/>
    <n v="6748356"/>
    <n v="-7.5179344755197386E-3"/>
    <n v="66752"/>
    <n v="-0.32801127497860771"/>
    <n v="313005.59999999998"/>
    <n v="1107677.6000000001"/>
  </r>
  <r>
    <x v="89"/>
    <x v="89"/>
    <x v="5"/>
    <x v="0"/>
    <x v="0"/>
    <x v="0"/>
    <x v="1"/>
    <x v="0"/>
    <x v="0"/>
    <x v="0"/>
    <x v="1"/>
    <x v="0"/>
    <n v="24"/>
    <n v="0.19999999999999996"/>
    <n v="2672"/>
    <n v="-0.11902406857896471"/>
    <n v="769536"/>
    <n v="5.7171117705242303E-2"/>
    <n v="8271381"/>
    <n v="9.6559763532628962E-2"/>
    <n v="7370369"/>
    <n v="9.2172523204170131E-2"/>
    <n v="131476"/>
    <n v="0.96961888782358585"/>
    <n v="330900.47999999998"/>
    <n v="1231912.48"/>
  </r>
  <r>
    <x v="90"/>
    <x v="90"/>
    <x v="0"/>
    <x v="0"/>
    <x v="0"/>
    <x v="0"/>
    <x v="0"/>
    <x v="0"/>
    <x v="1"/>
    <x v="0"/>
    <x v="0"/>
    <x v="0"/>
    <n v="11"/>
    <n v="0"/>
    <n v="2115"/>
    <n v="0"/>
    <n v="279180"/>
    <n v="0"/>
    <n v="696612"/>
    <n v="0"/>
    <n v="298546"/>
    <n v="0"/>
    <n v="118886"/>
    <n v="0"/>
    <n v="120047.4"/>
    <n v="518113.4"/>
  </r>
  <r>
    <x v="90"/>
    <x v="90"/>
    <x v="1"/>
    <x v="0"/>
    <x v="0"/>
    <x v="0"/>
    <x v="0"/>
    <x v="0"/>
    <x v="1"/>
    <x v="0"/>
    <x v="0"/>
    <x v="0"/>
    <n v="11"/>
    <n v="0"/>
    <n v="1562"/>
    <n v="-0.26"/>
    <n v="206184"/>
    <n v="-0.26146572104018917"/>
    <n v="883128"/>
    <n v="0.27"/>
    <n v="523145"/>
    <n v="0.75230952684008501"/>
    <n v="153799"/>
    <n v="0.28999999999999998"/>
    <n v="88659.12"/>
    <n v="448642.12"/>
  </r>
  <r>
    <x v="90"/>
    <x v="90"/>
    <x v="2"/>
    <x v="0"/>
    <x v="0"/>
    <x v="0"/>
    <x v="0"/>
    <x v="0"/>
    <x v="1"/>
    <x v="0"/>
    <x v="0"/>
    <x v="0"/>
    <n v="14"/>
    <n v="0.27272727272727271"/>
    <n v="2120"/>
    <n v="0.36"/>
    <n v="356160"/>
    <n v="0.72738912815737389"/>
    <n v="2308986"/>
    <n v="1.61"/>
    <n v="1800484"/>
    <n v="2.4416538435806516"/>
    <n v="152342"/>
    <n v="-0.01"/>
    <n v="153148.79999999999"/>
    <n v="661650.80000000005"/>
  </r>
  <r>
    <x v="90"/>
    <x v="90"/>
    <x v="3"/>
    <x v="0"/>
    <x v="0"/>
    <x v="0"/>
    <x v="0"/>
    <x v="0"/>
    <x v="1"/>
    <x v="0"/>
    <x v="0"/>
    <x v="0"/>
    <n v="16"/>
    <n v="0.14285714285714279"/>
    <n v="2689"/>
    <n v="0.27"/>
    <n v="516288"/>
    <n v="0.44959568733153632"/>
    <n v="3091351"/>
    <n v="0.34"/>
    <n v="2404840"/>
    <n v="0.33566307726144751"/>
    <n v="170223"/>
    <n v="0.12"/>
    <n v="222003.84"/>
    <n v="908514.84"/>
  </r>
  <r>
    <x v="90"/>
    <x v="90"/>
    <x v="4"/>
    <x v="0"/>
    <x v="0"/>
    <x v="0"/>
    <x v="0"/>
    <x v="0"/>
    <x v="1"/>
    <x v="0"/>
    <x v="0"/>
    <x v="0"/>
    <n v="17"/>
    <n v="6.25E-2"/>
    <n v="2813"/>
    <n v="0.05"/>
    <n v="573852"/>
    <n v="0.1114959092599479"/>
    <n v="3630118"/>
    <n v="0.17"/>
    <n v="2871010"/>
    <n v="0.19384657607158906"/>
    <n v="185256"/>
    <n v="0.09"/>
    <n v="246756.36"/>
    <n v="1005864.36"/>
  </r>
  <r>
    <x v="90"/>
    <x v="90"/>
    <x v="5"/>
    <x v="0"/>
    <x v="0"/>
    <x v="0"/>
    <x v="0"/>
    <x v="0"/>
    <x v="1"/>
    <x v="0"/>
    <x v="0"/>
    <x v="0"/>
    <n v="15"/>
    <n v="-0.11764705882352944"/>
    <n v="2848"/>
    <n v="0.01"/>
    <n v="512640"/>
    <n v="-0.10666861838941055"/>
    <n v="3855674"/>
    <n v="0.06"/>
    <n v="3161705"/>
    <n v="0.10125182427090129"/>
    <n v="181329"/>
    <n v="-0.02"/>
    <n v="220435.19999999998"/>
    <n v="914404.2"/>
  </r>
  <r>
    <x v="91"/>
    <x v="91"/>
    <x v="0"/>
    <x v="0"/>
    <x v="0"/>
    <x v="0"/>
    <x v="0"/>
    <x v="1"/>
    <x v="0"/>
    <x v="0"/>
    <x v="1"/>
    <x v="0"/>
    <n v="2"/>
    <n v="0"/>
    <n v="0"/>
    <n v="0"/>
    <n v="0"/>
    <n v="0"/>
    <n v="1171259"/>
    <n v="0"/>
    <n v="0"/>
    <n v="0"/>
    <n v="93664"/>
    <n v="0"/>
    <n v="0"/>
    <n v="1171259"/>
  </r>
  <r>
    <x v="91"/>
    <x v="91"/>
    <x v="1"/>
    <x v="0"/>
    <x v="0"/>
    <x v="0"/>
    <x v="0"/>
    <x v="1"/>
    <x v="0"/>
    <x v="0"/>
    <x v="1"/>
    <x v="0"/>
    <n v="2"/>
    <n v="0"/>
    <n v="0"/>
    <n v="0"/>
    <n v="0"/>
    <n v="0"/>
    <n v="607912"/>
    <n v="-0.48"/>
    <n v="0"/>
    <n v="0"/>
    <n v="-2056"/>
    <n v="-1.02"/>
    <n v="0"/>
    <n v="607912"/>
  </r>
  <r>
    <x v="91"/>
    <x v="91"/>
    <x v="2"/>
    <x v="0"/>
    <x v="0"/>
    <x v="0"/>
    <x v="0"/>
    <x v="1"/>
    <x v="0"/>
    <x v="0"/>
    <x v="1"/>
    <x v="0"/>
    <n v="2"/>
    <n v="0"/>
    <n v="0"/>
    <n v="0"/>
    <n v="0"/>
    <n v="0"/>
    <n v="882594"/>
    <n v="0.45"/>
    <n v="0"/>
    <n v="0"/>
    <n v="38215"/>
    <n v="19.59"/>
    <n v="0"/>
    <n v="882594"/>
  </r>
  <r>
    <x v="91"/>
    <x v="91"/>
    <x v="3"/>
    <x v="0"/>
    <x v="0"/>
    <x v="0"/>
    <x v="0"/>
    <x v="1"/>
    <x v="0"/>
    <x v="0"/>
    <x v="1"/>
    <x v="0"/>
    <n v="1"/>
    <n v="-0.5"/>
    <n v="0"/>
    <n v="0"/>
    <n v="0"/>
    <n v="0"/>
    <n v="1040136"/>
    <n v="0.18"/>
    <n v="0"/>
    <n v="0"/>
    <n v="40347"/>
    <n v="0.06"/>
    <n v="0"/>
    <n v="1040136"/>
  </r>
  <r>
    <x v="91"/>
    <x v="91"/>
    <x v="4"/>
    <x v="0"/>
    <x v="0"/>
    <x v="0"/>
    <x v="0"/>
    <x v="1"/>
    <x v="0"/>
    <x v="0"/>
    <x v="1"/>
    <x v="0"/>
    <n v="1"/>
    <n v="0"/>
    <n v="0"/>
    <n v="0"/>
    <n v="0"/>
    <n v="0"/>
    <n v="1946579"/>
    <n v="0.87"/>
    <n v="0"/>
    <n v="0"/>
    <n v="187358"/>
    <n v="3.64"/>
    <n v="0"/>
    <n v="1946579"/>
  </r>
  <r>
    <x v="91"/>
    <x v="91"/>
    <x v="5"/>
    <x v="0"/>
    <x v="0"/>
    <x v="0"/>
    <x v="0"/>
    <x v="1"/>
    <x v="0"/>
    <x v="0"/>
    <x v="1"/>
    <x v="0"/>
    <n v="2"/>
    <n v="1"/>
    <n v="0"/>
    <n v="0"/>
    <n v="0"/>
    <n v="0"/>
    <n v="1713642"/>
    <n v="-0.12"/>
    <n v="0"/>
    <n v="0"/>
    <n v="58387"/>
    <n v="-0.69"/>
    <n v="0"/>
    <n v="1713642"/>
  </r>
  <r>
    <x v="92"/>
    <x v="92"/>
    <x v="0"/>
    <x v="0"/>
    <x v="0"/>
    <x v="0"/>
    <x v="0"/>
    <x v="0"/>
    <x v="0"/>
    <x v="0"/>
    <x v="1"/>
    <x v="1"/>
    <n v="0"/>
    <n v="0"/>
    <n v="0"/>
    <n v="0"/>
    <n v="0"/>
    <n v="0"/>
    <n v="0"/>
    <n v="0"/>
    <n v="0"/>
    <n v="0"/>
    <n v="0"/>
    <n v="0"/>
    <n v="0"/>
    <n v="0"/>
  </r>
  <r>
    <x v="92"/>
    <x v="92"/>
    <x v="1"/>
    <x v="0"/>
    <x v="0"/>
    <x v="0"/>
    <x v="0"/>
    <x v="0"/>
    <x v="0"/>
    <x v="0"/>
    <x v="1"/>
    <x v="1"/>
    <n v="0"/>
    <n v="0"/>
    <n v="0"/>
    <n v="0"/>
    <n v="0"/>
    <n v="0"/>
    <n v="466610"/>
    <n v="0"/>
    <n v="0"/>
    <n v="0"/>
    <n v="246874"/>
    <n v="0"/>
    <n v="0"/>
    <n v="466610"/>
  </r>
  <r>
    <x v="92"/>
    <x v="92"/>
    <x v="2"/>
    <x v="0"/>
    <x v="0"/>
    <x v="0"/>
    <x v="0"/>
    <x v="0"/>
    <x v="0"/>
    <x v="0"/>
    <x v="1"/>
    <x v="1"/>
    <n v="3"/>
    <n v="0"/>
    <n v="0"/>
    <n v="0"/>
    <n v="0"/>
    <n v="0"/>
    <n v="232351"/>
    <n v="35.024530121514758"/>
    <n v="0"/>
    <n v="0"/>
    <n v="37207"/>
    <n v="0.93900127190388627"/>
    <n v="0"/>
    <n v="232351"/>
  </r>
  <r>
    <x v="92"/>
    <x v="92"/>
    <x v="3"/>
    <x v="0"/>
    <x v="0"/>
    <x v="0"/>
    <x v="0"/>
    <x v="0"/>
    <x v="0"/>
    <x v="0"/>
    <x v="1"/>
    <x v="1"/>
    <n v="3"/>
    <n v="0"/>
    <n v="0"/>
    <n v="0"/>
    <n v="0"/>
    <n v="0"/>
    <n v="266892"/>
    <n v="-1"/>
    <n v="0"/>
    <n v="0"/>
    <n v="56020"/>
    <n v="-1"/>
    <n v="0"/>
    <n v="266892"/>
  </r>
  <r>
    <x v="92"/>
    <x v="92"/>
    <x v="4"/>
    <x v="0"/>
    <x v="0"/>
    <x v="0"/>
    <x v="0"/>
    <x v="0"/>
    <x v="0"/>
    <x v="0"/>
    <x v="1"/>
    <x v="1"/>
    <n v="1"/>
    <n v="-0.66666666666666674"/>
    <n v="0"/>
    <n v="0"/>
    <n v="0"/>
    <n v="0"/>
    <n v="299971"/>
    <n v="-1"/>
    <n v="0"/>
    <n v="0"/>
    <n v="61467"/>
    <n v="-1"/>
    <n v="0"/>
    <n v="299971"/>
  </r>
  <r>
    <x v="92"/>
    <x v="92"/>
    <x v="5"/>
    <x v="0"/>
    <x v="0"/>
    <x v="0"/>
    <x v="0"/>
    <x v="0"/>
    <x v="0"/>
    <x v="0"/>
    <x v="1"/>
    <x v="1"/>
    <n v="1"/>
    <n v="0"/>
    <n v="0"/>
    <n v="0"/>
    <n v="0"/>
    <n v="0"/>
    <n v="299712"/>
    <n v="-0.76251370965860032"/>
    <n v="0"/>
    <n v="0"/>
    <n v="93548"/>
    <n v="-0.85865586412221195"/>
    <n v="0"/>
    <n v="299712"/>
  </r>
  <r>
    <x v="93"/>
    <x v="93"/>
    <x v="0"/>
    <x v="0"/>
    <x v="0"/>
    <x v="0"/>
    <x v="0"/>
    <x v="0"/>
    <x v="0"/>
    <x v="0"/>
    <x v="0"/>
    <x v="0"/>
    <n v="15"/>
    <n v="0"/>
    <n v="1899"/>
    <n v="0"/>
    <n v="341820"/>
    <n v="0"/>
    <n v="1390424"/>
    <n v="0"/>
    <n v="969025"/>
    <n v="0"/>
    <n v="79579"/>
    <n v="0"/>
    <n v="146982.6"/>
    <n v="568381.6"/>
  </r>
  <r>
    <x v="93"/>
    <x v="93"/>
    <x v="1"/>
    <x v="0"/>
    <x v="0"/>
    <x v="0"/>
    <x v="0"/>
    <x v="0"/>
    <x v="0"/>
    <x v="0"/>
    <x v="0"/>
    <x v="0"/>
    <n v="15"/>
    <n v="0"/>
    <n v="2244"/>
    <n v="0.18"/>
    <n v="403920"/>
    <n v="0.1816745655608214"/>
    <n v="1685954"/>
    <n v="0.21"/>
    <n v="1223365"/>
    <n v="0.26247000851371216"/>
    <n v="58669"/>
    <n v="-0.26"/>
    <n v="173685.6"/>
    <n v="636274.6"/>
  </r>
  <r>
    <x v="93"/>
    <x v="93"/>
    <x v="2"/>
    <x v="0"/>
    <x v="0"/>
    <x v="0"/>
    <x v="0"/>
    <x v="0"/>
    <x v="0"/>
    <x v="0"/>
    <x v="0"/>
    <x v="0"/>
    <n v="15"/>
    <n v="0"/>
    <n v="2645"/>
    <n v="0.18"/>
    <n v="476100"/>
    <n v="0.178698752228164"/>
    <n v="1951484"/>
    <n v="0.16"/>
    <n v="1410576"/>
    <n v="0.15302955373089788"/>
    <n v="64808"/>
    <n v="0.1"/>
    <n v="204723"/>
    <n v="745631"/>
  </r>
  <r>
    <x v="93"/>
    <x v="93"/>
    <x v="3"/>
    <x v="0"/>
    <x v="0"/>
    <x v="0"/>
    <x v="0"/>
    <x v="0"/>
    <x v="0"/>
    <x v="0"/>
    <x v="0"/>
    <x v="0"/>
    <n v="15"/>
    <n v="0"/>
    <n v="2804"/>
    <n v="0.06"/>
    <n v="504720"/>
    <n v="6.011342155009447E-2"/>
    <n v="2060853"/>
    <n v="0.06"/>
    <n v="1492250"/>
    <n v="5.7901169451344714E-2"/>
    <n v="63883"/>
    <n v="-0.01"/>
    <n v="217029.6"/>
    <n v="785632.6"/>
  </r>
  <r>
    <x v="93"/>
    <x v="93"/>
    <x v="4"/>
    <x v="0"/>
    <x v="0"/>
    <x v="0"/>
    <x v="0"/>
    <x v="0"/>
    <x v="0"/>
    <x v="0"/>
    <x v="0"/>
    <x v="0"/>
    <n v="15"/>
    <n v="0"/>
    <n v="3033"/>
    <n v="0.08"/>
    <n v="545940"/>
    <n v="8.1669044222539178E-2"/>
    <n v="2135316"/>
    <n v="0.04"/>
    <n v="1456449"/>
    <n v="-2.3991288323002125E-2"/>
    <n v="132927"/>
    <n v="1.08"/>
    <n v="234754.19999999998"/>
    <n v="913621.2"/>
  </r>
  <r>
    <x v="93"/>
    <x v="93"/>
    <x v="5"/>
    <x v="0"/>
    <x v="0"/>
    <x v="0"/>
    <x v="0"/>
    <x v="0"/>
    <x v="0"/>
    <x v="0"/>
    <x v="0"/>
    <x v="0"/>
    <n v="14"/>
    <n v="-6.6666666666666652E-2"/>
    <n v="3354"/>
    <n v="0.11"/>
    <n v="563472"/>
    <n v="3.2113419057039128E-2"/>
    <n v="2179847"/>
    <n v="0.02"/>
    <n v="1573882"/>
    <n v="8.0629668460756365E-2"/>
    <n v="42493"/>
    <n v="-0.68"/>
    <n v="242292.96"/>
    <n v="848257.96"/>
  </r>
  <r>
    <x v="94"/>
    <x v="94"/>
    <x v="0"/>
    <x v="0"/>
    <x v="0"/>
    <x v="0"/>
    <x v="1"/>
    <x v="0"/>
    <x v="0"/>
    <x v="0"/>
    <x v="1"/>
    <x v="0"/>
    <n v="19"/>
    <n v="0"/>
    <n v="2532"/>
    <n v="0"/>
    <n v="577296"/>
    <n v="0"/>
    <n v="6233775"/>
    <n v="0"/>
    <n v="5544226"/>
    <n v="0"/>
    <n v="112253"/>
    <n v="0"/>
    <n v="248237.28"/>
    <n v="937786.28"/>
  </r>
  <r>
    <x v="94"/>
    <x v="94"/>
    <x v="1"/>
    <x v="0"/>
    <x v="0"/>
    <x v="0"/>
    <x v="1"/>
    <x v="0"/>
    <x v="0"/>
    <x v="0"/>
    <x v="1"/>
    <x v="0"/>
    <n v="18"/>
    <n v="-5.2631578947368474E-2"/>
    <n v="2641"/>
    <n v="4.3048973143759772E-2"/>
    <n v="570456"/>
    <n v="-1.1848341232227444E-2"/>
    <n v="4829619"/>
    <n v="-0.2252497082425978"/>
    <n v="4163805"/>
    <n v="-0.2489835371068928"/>
    <n v="95358"/>
    <n v="-0.15050822695161831"/>
    <n v="245296.08"/>
    <n v="911110.08"/>
  </r>
  <r>
    <x v="94"/>
    <x v="94"/>
    <x v="2"/>
    <x v="0"/>
    <x v="0"/>
    <x v="0"/>
    <x v="1"/>
    <x v="0"/>
    <x v="0"/>
    <x v="0"/>
    <x v="1"/>
    <x v="0"/>
    <n v="24"/>
    <n v="0.33333333333333326"/>
    <n v="2528"/>
    <n v="-4.27868231730405E-2"/>
    <n v="728064"/>
    <n v="0.27628423576927941"/>
    <n v="9494507"/>
    <n v="0.96589151235325188"/>
    <n v="8574500"/>
    <n v="1.0592943233412706"/>
    <n v="191943"/>
    <n v="1.012867300069213"/>
    <n v="313067.52000000002"/>
    <n v="1233074.52"/>
  </r>
  <r>
    <x v="94"/>
    <x v="94"/>
    <x v="3"/>
    <x v="0"/>
    <x v="0"/>
    <x v="0"/>
    <x v="1"/>
    <x v="0"/>
    <x v="0"/>
    <x v="0"/>
    <x v="1"/>
    <x v="0"/>
    <n v="28"/>
    <n v="0.16666666666666674"/>
    <n v="2626"/>
    <n v="3.8765822784810222E-2"/>
    <n v="882336"/>
    <n v="0.2118934599156117"/>
    <n v="10013897"/>
    <n v="5.4704262159162242E-2"/>
    <n v="8945402"/>
    <n v="4.3256399790075228E-2"/>
    <n v="186159"/>
    <n v="-3.0133946015223231E-2"/>
    <n v="379404.48"/>
    <n v="1447899.48"/>
  </r>
  <r>
    <x v="94"/>
    <x v="94"/>
    <x v="4"/>
    <x v="0"/>
    <x v="0"/>
    <x v="0"/>
    <x v="1"/>
    <x v="0"/>
    <x v="0"/>
    <x v="0"/>
    <x v="1"/>
    <x v="0"/>
    <n v="26"/>
    <n v="-7.1428571428571397E-2"/>
    <n v="2861"/>
    <n v="8.9489718202589552E-2"/>
    <n v="892632"/>
    <n v="1.1669024045261711E-2"/>
    <n v="8389454"/>
    <n v="-0.16221886444408209"/>
    <n v="7324112"/>
    <n v="-0.18124283291013643"/>
    <n v="172710"/>
    <n v="-7.2244694051858849E-2"/>
    <n v="383831.76"/>
    <n v="1449173.76"/>
  </r>
  <r>
    <x v="94"/>
    <x v="94"/>
    <x v="5"/>
    <x v="0"/>
    <x v="0"/>
    <x v="0"/>
    <x v="1"/>
    <x v="0"/>
    <x v="0"/>
    <x v="0"/>
    <x v="1"/>
    <x v="0"/>
    <n v="25"/>
    <n v="-3.8461538461538436E-2"/>
    <n v="3073"/>
    <n v="7.40999650471863E-2"/>
    <n v="921900"/>
    <n v="3.2788427929986819E-2"/>
    <n v="8837519"/>
    <n v="5.3408124056702588E-2"/>
    <n v="7690258"/>
    <n v="4.9991862494729755E-2"/>
    <n v="225361"/>
    <n v="0.30485206415378369"/>
    <n v="396417"/>
    <n v="1543678"/>
  </r>
  <r>
    <x v="95"/>
    <x v="95"/>
    <x v="0"/>
    <x v="0"/>
    <x v="0"/>
    <x v="0"/>
    <x v="0"/>
    <x v="1"/>
    <x v="0"/>
    <x v="0"/>
    <x v="1"/>
    <x v="0"/>
    <n v="1"/>
    <n v="0"/>
    <n v="0"/>
    <n v="0"/>
    <n v="0"/>
    <n v="0"/>
    <n v="123105"/>
    <n v="0"/>
    <n v="0"/>
    <n v="0"/>
    <n v="38230"/>
    <n v="0"/>
    <n v="0"/>
    <n v="123105"/>
  </r>
  <r>
    <x v="95"/>
    <x v="95"/>
    <x v="1"/>
    <x v="0"/>
    <x v="0"/>
    <x v="0"/>
    <x v="0"/>
    <x v="1"/>
    <x v="0"/>
    <x v="0"/>
    <x v="1"/>
    <x v="0"/>
    <n v="0"/>
    <n v="-1"/>
    <n v="0"/>
    <n v="0"/>
    <n v="0"/>
    <n v="0"/>
    <n v="97942"/>
    <n v="-0.2044027456236546"/>
    <n v="0"/>
    <n v="0"/>
    <n v="-3183"/>
    <n v="-1.0832592205074549"/>
    <n v="0"/>
    <n v="97942"/>
  </r>
  <r>
    <x v="95"/>
    <x v="95"/>
    <x v="2"/>
    <x v="0"/>
    <x v="0"/>
    <x v="0"/>
    <x v="0"/>
    <x v="1"/>
    <x v="0"/>
    <x v="0"/>
    <x v="1"/>
    <x v="0"/>
    <n v="0"/>
    <n v="0"/>
    <n v="0"/>
    <n v="0"/>
    <n v="0"/>
    <n v="0"/>
    <n v="136496"/>
    <n v="0.39364113454901872"/>
    <n v="0"/>
    <n v="0"/>
    <n v="9646"/>
    <n v="-4.0304743952246307"/>
    <n v="0"/>
    <n v="136496"/>
  </r>
  <r>
    <x v="95"/>
    <x v="95"/>
    <x v="3"/>
    <x v="0"/>
    <x v="0"/>
    <x v="0"/>
    <x v="0"/>
    <x v="1"/>
    <x v="0"/>
    <x v="0"/>
    <x v="1"/>
    <x v="0"/>
    <n v="0"/>
    <n v="0"/>
    <n v="0"/>
    <n v="0"/>
    <n v="0"/>
    <n v="0"/>
    <n v="200535"/>
    <n v="0.46916393154378139"/>
    <n v="0"/>
    <n v="0"/>
    <n v="10605"/>
    <n v="9.9419448476052219E-2"/>
    <n v="0"/>
    <n v="200535"/>
  </r>
  <r>
    <x v="95"/>
    <x v="95"/>
    <x v="4"/>
    <x v="0"/>
    <x v="0"/>
    <x v="0"/>
    <x v="0"/>
    <x v="1"/>
    <x v="0"/>
    <x v="0"/>
    <x v="1"/>
    <x v="0"/>
    <n v="0"/>
    <n v="0"/>
    <n v="0"/>
    <n v="0"/>
    <n v="0"/>
    <n v="0"/>
    <n v="177910"/>
    <n v="-0.11282319794549581"/>
    <n v="0"/>
    <n v="0"/>
    <n v="42203"/>
    <n v="2.9795379537953801"/>
    <n v="0"/>
    <n v="177910"/>
  </r>
  <r>
    <x v="95"/>
    <x v="95"/>
    <x v="5"/>
    <x v="0"/>
    <x v="0"/>
    <x v="0"/>
    <x v="0"/>
    <x v="1"/>
    <x v="0"/>
    <x v="0"/>
    <x v="1"/>
    <x v="0"/>
    <n v="0"/>
    <n v="0"/>
    <n v="0"/>
    <n v="0"/>
    <n v="0"/>
    <n v="0"/>
    <n v="122111"/>
    <n v="-0.31363610814456738"/>
    <n v="0"/>
    <n v="0"/>
    <n v="-20529"/>
    <n v="-1.486434613653058"/>
    <n v="0"/>
    <n v="122111"/>
  </r>
  <r>
    <x v="96"/>
    <x v="96"/>
    <x v="0"/>
    <x v="0"/>
    <x v="0"/>
    <x v="0"/>
    <x v="0"/>
    <x v="0"/>
    <x v="0"/>
    <x v="0"/>
    <x v="0"/>
    <x v="0"/>
    <n v="2"/>
    <n v="0"/>
    <n v="0"/>
    <n v="0"/>
    <n v="0"/>
    <n v="0"/>
    <n v="106868"/>
    <n v="0"/>
    <n v="0"/>
    <n v="0"/>
    <n v="35778"/>
    <n v="0"/>
    <n v="0"/>
    <n v="106868"/>
  </r>
  <r>
    <x v="96"/>
    <x v="96"/>
    <x v="1"/>
    <x v="0"/>
    <x v="0"/>
    <x v="0"/>
    <x v="0"/>
    <x v="0"/>
    <x v="0"/>
    <x v="0"/>
    <x v="0"/>
    <x v="0"/>
    <n v="3"/>
    <n v="0.5"/>
    <n v="0"/>
    <n v="0"/>
    <n v="0"/>
    <n v="0"/>
    <n v="188503"/>
    <n v="0.76"/>
    <n v="0"/>
    <n v="0"/>
    <n v="84072"/>
    <n v="1.35"/>
    <n v="0"/>
    <n v="188503"/>
  </r>
  <r>
    <x v="96"/>
    <x v="96"/>
    <x v="2"/>
    <x v="0"/>
    <x v="0"/>
    <x v="0"/>
    <x v="0"/>
    <x v="0"/>
    <x v="0"/>
    <x v="0"/>
    <x v="0"/>
    <x v="0"/>
    <n v="5"/>
    <n v="0.66666666666666674"/>
    <n v="1467"/>
    <n v="0"/>
    <n v="88020"/>
    <n v="0"/>
    <n v="334901"/>
    <n v="0.78"/>
    <n v="180247"/>
    <n v="0"/>
    <n v="66634"/>
    <n v="-0.21"/>
    <n v="37848.6"/>
    <n v="192502.6"/>
  </r>
  <r>
    <x v="96"/>
    <x v="96"/>
    <x v="3"/>
    <x v="0"/>
    <x v="0"/>
    <x v="0"/>
    <x v="0"/>
    <x v="0"/>
    <x v="0"/>
    <x v="0"/>
    <x v="0"/>
    <x v="0"/>
    <n v="7"/>
    <n v="0.39999999999999991"/>
    <n v="1828"/>
    <n v="0.25"/>
    <n v="153552"/>
    <n v="0.74451261077027953"/>
    <n v="557757"/>
    <n v="0.67"/>
    <n v="315467"/>
    <n v="0.75019279100345626"/>
    <n v="88738"/>
    <n v="0.33"/>
    <n v="66027.360000000001"/>
    <n v="308317.36"/>
  </r>
  <r>
    <x v="96"/>
    <x v="96"/>
    <x v="4"/>
    <x v="0"/>
    <x v="0"/>
    <x v="0"/>
    <x v="0"/>
    <x v="0"/>
    <x v="0"/>
    <x v="0"/>
    <x v="0"/>
    <x v="0"/>
    <n v="8"/>
    <n v="0.14285714285714279"/>
    <n v="2501"/>
    <n v="0.37"/>
    <n v="240096"/>
    <n v="0.56361362925914338"/>
    <n v="663263"/>
    <n v="0.19"/>
    <n v="322915"/>
    <n v="2.3609442509042067E-2"/>
    <n v="100252"/>
    <n v="0.13"/>
    <n v="103241.28"/>
    <n v="443589.28"/>
  </r>
  <r>
    <x v="96"/>
    <x v="96"/>
    <x v="5"/>
    <x v="0"/>
    <x v="0"/>
    <x v="0"/>
    <x v="0"/>
    <x v="0"/>
    <x v="0"/>
    <x v="0"/>
    <x v="0"/>
    <x v="0"/>
    <n v="8"/>
    <n v="0"/>
    <n v="2967"/>
    <n v="0.19"/>
    <n v="284832"/>
    <n v="0.1863254698120751"/>
    <n v="542041"/>
    <n v="-0.18"/>
    <n v="167263"/>
    <n v="-0.48202158462753353"/>
    <n v="89946"/>
    <n v="-0.1"/>
    <n v="122477.75999999999"/>
    <n v="497255.76"/>
  </r>
  <r>
    <x v="97"/>
    <x v="97"/>
    <x v="0"/>
    <x v="0"/>
    <x v="0"/>
    <x v="0"/>
    <x v="0"/>
    <x v="0"/>
    <x v="0"/>
    <x v="1"/>
    <x v="0"/>
    <x v="0"/>
    <n v="7"/>
    <n v="0"/>
    <n v="1630"/>
    <n v="0"/>
    <n v="136920"/>
    <n v="0"/>
    <n v="184041"/>
    <n v="0"/>
    <n v="81266"/>
    <n v="0"/>
    <n v="-34145"/>
    <n v="0"/>
    <n v="58875.6"/>
    <n v="161650.6"/>
  </r>
  <r>
    <x v="97"/>
    <x v="97"/>
    <x v="1"/>
    <x v="0"/>
    <x v="0"/>
    <x v="0"/>
    <x v="0"/>
    <x v="0"/>
    <x v="0"/>
    <x v="1"/>
    <x v="0"/>
    <x v="0"/>
    <n v="8"/>
    <n v="0.14285714285714279"/>
    <n v="1620"/>
    <n v="-6.1349693251533388E-3"/>
    <n v="155520"/>
    <n v="0.1358457493426819"/>
    <n v="185268"/>
    <n v="6.6669926809785904E-3"/>
    <n v="75161"/>
    <n v="-7.5123667954618223E-2"/>
    <n v="-45413"/>
    <n v="0.33000439302972612"/>
    <n v="66873.600000000006"/>
    <n v="176980.6"/>
  </r>
  <r>
    <x v="97"/>
    <x v="97"/>
    <x v="2"/>
    <x v="0"/>
    <x v="0"/>
    <x v="0"/>
    <x v="0"/>
    <x v="0"/>
    <x v="0"/>
    <x v="1"/>
    <x v="0"/>
    <x v="0"/>
    <n v="7"/>
    <n v="-0.125"/>
    <n v="1770"/>
    <n v="9.259259259259256E-2"/>
    <n v="148680"/>
    <n v="-4.398148148148151E-2"/>
    <n v="137096"/>
    <n v="-0.26001252239998268"/>
    <n v="57715"/>
    <n v="-0.23211505967190427"/>
    <n v="-69299"/>
    <n v="0.52597273908352227"/>
    <n v="63932.4"/>
    <n v="143313.4"/>
  </r>
  <r>
    <x v="97"/>
    <x v="97"/>
    <x v="3"/>
    <x v="0"/>
    <x v="0"/>
    <x v="0"/>
    <x v="0"/>
    <x v="0"/>
    <x v="0"/>
    <x v="1"/>
    <x v="0"/>
    <x v="0"/>
    <n v="6"/>
    <n v="-0.1428571428571429"/>
    <n v="1272"/>
    <n v="-0.28135593220338978"/>
    <n v="91584"/>
    <n v="-0.38401937046004841"/>
    <n v="176468"/>
    <n v="0.28718562175409929"/>
    <n v="59283"/>
    <n v="2.7167980594299479E-2"/>
    <n v="25601"/>
    <n v="-1.36942813027605"/>
    <n v="39381.120000000003"/>
    <n v="156566.12"/>
  </r>
  <r>
    <x v="97"/>
    <x v="97"/>
    <x v="4"/>
    <x v="0"/>
    <x v="0"/>
    <x v="0"/>
    <x v="0"/>
    <x v="0"/>
    <x v="0"/>
    <x v="1"/>
    <x v="0"/>
    <x v="0"/>
    <n v="6"/>
    <n v="0"/>
    <n v="939"/>
    <n v="-0.2617924528301887"/>
    <n v="67608"/>
    <n v="-0.2617924528301887"/>
    <n v="145013"/>
    <n v="-0.17824761429834299"/>
    <n v="42361"/>
    <n v="-0.28544439383971798"/>
    <n v="35044"/>
    <n v="0.36885277918831288"/>
    <n v="29071.439999999999"/>
    <n v="131723.44"/>
  </r>
  <r>
    <x v="97"/>
    <x v="97"/>
    <x v="5"/>
    <x v="0"/>
    <x v="0"/>
    <x v="0"/>
    <x v="0"/>
    <x v="0"/>
    <x v="0"/>
    <x v="1"/>
    <x v="0"/>
    <x v="0"/>
    <n v="5"/>
    <n v="-0.16666666666666663"/>
    <n v="116"/>
    <n v="-0.87646432374866878"/>
    <n v="6960"/>
    <n v="-0.89705360312389071"/>
    <n v="87681"/>
    <n v="-0.39535765758931962"/>
    <n v="-5984"/>
    <n v="-1.141262009867567"/>
    <n v="86705"/>
    <n v="1.4741753224517751"/>
    <n v="2992.7999999999997"/>
    <n v="96657.8"/>
  </r>
  <r>
    <x v="98"/>
    <x v="98"/>
    <x v="0"/>
    <x v="0"/>
    <x v="0"/>
    <x v="0"/>
    <x v="0"/>
    <x v="0"/>
    <x v="0"/>
    <x v="0"/>
    <x v="0"/>
    <x v="0"/>
    <n v="0"/>
    <n v="0"/>
    <n v="0"/>
    <n v="0"/>
    <n v="0"/>
    <n v="0"/>
    <n v="0"/>
    <n v="0"/>
    <n v="0"/>
    <n v="0"/>
    <n v="0"/>
    <n v="0"/>
    <n v="0"/>
    <n v="0"/>
  </r>
  <r>
    <x v="98"/>
    <x v="98"/>
    <x v="1"/>
    <x v="0"/>
    <x v="0"/>
    <x v="0"/>
    <x v="0"/>
    <x v="0"/>
    <x v="0"/>
    <x v="0"/>
    <x v="0"/>
    <x v="0"/>
    <n v="0"/>
    <n v="0"/>
    <n v="0"/>
    <n v="0"/>
    <n v="0"/>
    <n v="0"/>
    <n v="0"/>
    <n v="0"/>
    <n v="0"/>
    <n v="0"/>
    <n v="0"/>
    <n v="0"/>
    <n v="0"/>
    <n v="0"/>
  </r>
  <r>
    <x v="98"/>
    <x v="98"/>
    <x v="2"/>
    <x v="0"/>
    <x v="0"/>
    <x v="0"/>
    <x v="0"/>
    <x v="0"/>
    <x v="0"/>
    <x v="0"/>
    <x v="0"/>
    <x v="0"/>
    <n v="0"/>
    <n v="0"/>
    <n v="0"/>
    <n v="0"/>
    <n v="0"/>
    <n v="0"/>
    <n v="20541"/>
    <n v="0"/>
    <n v="0"/>
    <n v="0"/>
    <n v="8091"/>
    <n v="0"/>
    <n v="0"/>
    <n v="20541"/>
  </r>
  <r>
    <x v="98"/>
    <x v="98"/>
    <x v="3"/>
    <x v="0"/>
    <x v="0"/>
    <x v="0"/>
    <x v="0"/>
    <x v="0"/>
    <x v="0"/>
    <x v="0"/>
    <x v="0"/>
    <x v="0"/>
    <n v="1"/>
    <n v="0"/>
    <n v="0"/>
    <n v="0"/>
    <n v="0"/>
    <n v="0"/>
    <n v="109420"/>
    <n v="4.3269071612871821"/>
    <n v="0"/>
    <n v="0"/>
    <n v="-1170"/>
    <n v="-1.1446051167964399"/>
    <n v="0"/>
    <n v="109420"/>
  </r>
  <r>
    <x v="98"/>
    <x v="98"/>
    <x v="4"/>
    <x v="0"/>
    <x v="0"/>
    <x v="0"/>
    <x v="0"/>
    <x v="0"/>
    <x v="0"/>
    <x v="0"/>
    <x v="0"/>
    <x v="0"/>
    <n v="1"/>
    <n v="0"/>
    <n v="0"/>
    <n v="0"/>
    <n v="0"/>
    <n v="0"/>
    <n v="87472"/>
    <n v="-0.2005849022116615"/>
    <n v="0"/>
    <n v="0"/>
    <n v="-8800"/>
    <n v="6.5213675213675213"/>
    <n v="0"/>
    <n v="87472"/>
  </r>
  <r>
    <x v="98"/>
    <x v="98"/>
    <x v="5"/>
    <x v="0"/>
    <x v="0"/>
    <x v="0"/>
    <x v="0"/>
    <x v="0"/>
    <x v="0"/>
    <x v="0"/>
    <x v="0"/>
    <x v="0"/>
    <n v="1"/>
    <n v="0"/>
    <n v="0"/>
    <n v="0"/>
    <n v="0"/>
    <n v="0"/>
    <n v="124520"/>
    <n v="0.4235412474849094"/>
    <n v="0"/>
    <n v="0"/>
    <n v="4937"/>
    <n v="-1.5610227272727271"/>
    <n v="0"/>
    <n v="124520"/>
  </r>
  <r>
    <x v="99"/>
    <x v="99"/>
    <x v="0"/>
    <x v="0"/>
    <x v="0"/>
    <x v="1"/>
    <x v="0"/>
    <x v="0"/>
    <x v="0"/>
    <x v="0"/>
    <x v="0"/>
    <x v="0"/>
    <n v="10"/>
    <n v="0"/>
    <n v="2052"/>
    <n v="0"/>
    <n v="246240"/>
    <n v="0"/>
    <n v="338919"/>
    <n v="0"/>
    <n v="96194"/>
    <n v="0"/>
    <n v="-3515"/>
    <n v="0"/>
    <n v="105883.2"/>
    <n v="348608.2"/>
  </r>
  <r>
    <x v="99"/>
    <x v="99"/>
    <x v="1"/>
    <x v="0"/>
    <x v="0"/>
    <x v="1"/>
    <x v="0"/>
    <x v="0"/>
    <x v="0"/>
    <x v="0"/>
    <x v="0"/>
    <x v="0"/>
    <n v="10"/>
    <n v="0"/>
    <n v="2182"/>
    <n v="6.3352826510721272E-2"/>
    <n v="261840"/>
    <n v="6.3352826510721272E-2"/>
    <n v="514461"/>
    <n v="0.51794676604144363"/>
    <n v="160132"/>
    <n v="0.66467763062145258"/>
    <n v="92489"/>
    <n v="-27.3126600284495"/>
    <n v="112591.2"/>
    <n v="466920.2"/>
  </r>
  <r>
    <x v="99"/>
    <x v="99"/>
    <x v="2"/>
    <x v="0"/>
    <x v="0"/>
    <x v="1"/>
    <x v="0"/>
    <x v="0"/>
    <x v="0"/>
    <x v="0"/>
    <x v="0"/>
    <x v="0"/>
    <n v="17"/>
    <n v="0.7"/>
    <n v="2301"/>
    <n v="5.4537121906507828E-2"/>
    <n v="469404"/>
    <n v="0.79271310724106314"/>
    <n v="747732"/>
    <n v="0.45342795663811247"/>
    <n v="234089"/>
    <n v="0.46185022356555838"/>
    <n v="44239"/>
    <n v="-0.52168365967844821"/>
    <n v="201843.72"/>
    <n v="715486.71999999997"/>
  </r>
  <r>
    <x v="99"/>
    <x v="99"/>
    <x v="3"/>
    <x v="0"/>
    <x v="0"/>
    <x v="1"/>
    <x v="0"/>
    <x v="0"/>
    <x v="0"/>
    <x v="0"/>
    <x v="0"/>
    <x v="0"/>
    <n v="21"/>
    <n v="0.23529411764705888"/>
    <n v="2659"/>
    <n v="0.1555845284658843"/>
    <n v="670068"/>
    <n v="0.4274867704578571"/>
    <n v="966637"/>
    <n v="0.29275863544692488"/>
    <n v="327694"/>
    <n v="0.39986928048733605"/>
    <n v="-31125"/>
    <n v="-1.7035647279549719"/>
    <n v="288129.24"/>
    <n v="927072.24"/>
  </r>
  <r>
    <x v="99"/>
    <x v="99"/>
    <x v="4"/>
    <x v="0"/>
    <x v="0"/>
    <x v="1"/>
    <x v="0"/>
    <x v="0"/>
    <x v="0"/>
    <x v="0"/>
    <x v="0"/>
    <x v="0"/>
    <n v="22"/>
    <n v="4.7619047619047672E-2"/>
    <n v="2964"/>
    <n v="0.114704776231666"/>
    <n v="782496"/>
    <n v="0.16778595605222146"/>
    <n v="1097125"/>
    <n v="0.13499172905651241"/>
    <n v="305611"/>
    <n v="-6.7389088600950942E-2"/>
    <n v="9018"/>
    <n v="-1.2897349397590361"/>
    <n v="336473.27999999997"/>
    <n v="1127987.28"/>
  </r>
  <r>
    <x v="99"/>
    <x v="99"/>
    <x v="5"/>
    <x v="0"/>
    <x v="0"/>
    <x v="1"/>
    <x v="0"/>
    <x v="0"/>
    <x v="0"/>
    <x v="0"/>
    <x v="0"/>
    <x v="0"/>
    <n v="23"/>
    <n v="4.5454545454545414E-2"/>
    <n v="3336"/>
    <n v="0.12550607287449389"/>
    <n v="920736"/>
    <n v="0.17666543982333449"/>
    <n v="1247022"/>
    <n v="0.13662709353993391"/>
    <n v="215072"/>
    <n v="-0.29625569760250781"/>
    <n v="111214"/>
    <n v="11.332446218673759"/>
    <n v="395916.48"/>
    <n v="1427866.48"/>
  </r>
  <r>
    <x v="100"/>
    <x v="100"/>
    <x v="0"/>
    <x v="0"/>
    <x v="0"/>
    <x v="0"/>
    <x v="1"/>
    <x v="0"/>
    <x v="1"/>
    <x v="0"/>
    <x v="0"/>
    <x v="0"/>
    <n v="17"/>
    <n v="0"/>
    <n v="972"/>
    <n v="0"/>
    <n v="198288"/>
    <n v="0"/>
    <n v="1140388"/>
    <n v="0"/>
    <n v="841767"/>
    <n v="0"/>
    <n v="100333"/>
    <n v="0"/>
    <n v="85263.84"/>
    <n v="383884.83999999997"/>
  </r>
  <r>
    <x v="100"/>
    <x v="100"/>
    <x v="1"/>
    <x v="0"/>
    <x v="0"/>
    <x v="0"/>
    <x v="1"/>
    <x v="0"/>
    <x v="1"/>
    <x v="0"/>
    <x v="0"/>
    <x v="0"/>
    <n v="20"/>
    <n v="0.17647058823529416"/>
    <n v="1273"/>
    <n v="0.30967078189300401"/>
    <n v="305520"/>
    <n v="0.54078915516824022"/>
    <n v="1946452"/>
    <n v="0.70683311294050788"/>
    <n v="1517334"/>
    <n v="0.80255819009298301"/>
    <n v="123598"/>
    <n v="0.23187784677025511"/>
    <n v="131373.6"/>
    <n v="560491.6"/>
  </r>
  <r>
    <x v="100"/>
    <x v="100"/>
    <x v="2"/>
    <x v="0"/>
    <x v="0"/>
    <x v="0"/>
    <x v="1"/>
    <x v="0"/>
    <x v="1"/>
    <x v="0"/>
    <x v="0"/>
    <x v="0"/>
    <n v="21"/>
    <n v="5.0000000000000044E-2"/>
    <n v="1535"/>
    <n v="0.20581304006284371"/>
    <n v="386820"/>
    <n v="0.26610369206598583"/>
    <n v="6988301"/>
    <n v="2.5902765647444679"/>
    <n v="6458179"/>
    <n v="3.2562672424133385"/>
    <n v="143302"/>
    <n v="0.15942005534070119"/>
    <n v="166332.6"/>
    <n v="696454.6"/>
  </r>
  <r>
    <x v="100"/>
    <x v="100"/>
    <x v="3"/>
    <x v="0"/>
    <x v="0"/>
    <x v="0"/>
    <x v="1"/>
    <x v="0"/>
    <x v="1"/>
    <x v="0"/>
    <x v="0"/>
    <x v="0"/>
    <n v="30"/>
    <n v="0.4285714285714286"/>
    <n v="1938"/>
    <n v="0.26254071661237788"/>
    <n v="697680"/>
    <n v="0.80362959516053989"/>
    <n v="7033233"/>
    <n v="6.4296028462424992E-3"/>
    <n v="6420840"/>
    <n v="-5.7816607436864675E-3"/>
    <n v="-85287"/>
    <n v="-1.5951556851962989"/>
    <n v="300002.40000000002"/>
    <n v="912395.4"/>
  </r>
  <r>
    <x v="100"/>
    <x v="100"/>
    <x v="4"/>
    <x v="0"/>
    <x v="0"/>
    <x v="0"/>
    <x v="1"/>
    <x v="0"/>
    <x v="1"/>
    <x v="0"/>
    <x v="0"/>
    <x v="0"/>
    <n v="35"/>
    <n v="0.16666666666666674"/>
    <n v="2374"/>
    <n v="0.22497420020639841"/>
    <n v="997080"/>
    <n v="0.42913656690746471"/>
    <n v="8766185"/>
    <n v="0.24639479454185589"/>
    <n v="7719153"/>
    <n v="0.20220298278729887"/>
    <n v="49952"/>
    <n v="-1.5856930130031539"/>
    <n v="428744.39999999997"/>
    <n v="1475776.4"/>
  </r>
  <r>
    <x v="100"/>
    <x v="100"/>
    <x v="5"/>
    <x v="0"/>
    <x v="0"/>
    <x v="0"/>
    <x v="1"/>
    <x v="0"/>
    <x v="1"/>
    <x v="0"/>
    <x v="0"/>
    <x v="0"/>
    <n v="36"/>
    <n v="2.857142857142847E-2"/>
    <n v="2497"/>
    <n v="5.1811288963774287E-2"/>
    <n v="1078704"/>
    <n v="8.1863040077024829E-2"/>
    <n v="11931673"/>
    <n v="0.36110212139031977"/>
    <n v="11235900"/>
    <n v="0.45558716092296647"/>
    <n v="-382931"/>
    <n v="-8.6659793401665599"/>
    <n v="463842.72"/>
    <n v="1159615.72"/>
  </r>
  <r>
    <x v="101"/>
    <x v="101"/>
    <x v="0"/>
    <x v="0"/>
    <x v="0"/>
    <x v="0"/>
    <x v="0"/>
    <x v="1"/>
    <x v="0"/>
    <x v="0"/>
    <x v="1"/>
    <x v="0"/>
    <n v="14"/>
    <n v="0"/>
    <n v="1019"/>
    <n v="0"/>
    <n v="171192"/>
    <n v="0"/>
    <n v="542303"/>
    <n v="0"/>
    <n v="366930"/>
    <n v="0"/>
    <n v="4181"/>
    <n v="0"/>
    <n v="73612.56"/>
    <n v="248985.56"/>
  </r>
  <r>
    <x v="101"/>
    <x v="101"/>
    <x v="1"/>
    <x v="0"/>
    <x v="0"/>
    <x v="0"/>
    <x v="0"/>
    <x v="1"/>
    <x v="0"/>
    <x v="0"/>
    <x v="1"/>
    <x v="0"/>
    <n v="16"/>
    <n v="0.14285714285714279"/>
    <n v="974"/>
    <n v="-0.04"/>
    <n v="187008"/>
    <n v="9.2387494742744991E-2"/>
    <n v="658028"/>
    <n v="0.21"/>
    <n v="379764"/>
    <n v="3.4976698552857455E-2"/>
    <n v="91256"/>
    <n v="20.83"/>
    <n v="80413.440000000002"/>
    <n v="358677.44"/>
  </r>
  <r>
    <x v="101"/>
    <x v="101"/>
    <x v="2"/>
    <x v="0"/>
    <x v="0"/>
    <x v="0"/>
    <x v="0"/>
    <x v="1"/>
    <x v="0"/>
    <x v="0"/>
    <x v="1"/>
    <x v="0"/>
    <n v="16"/>
    <n v="0"/>
    <n v="1437"/>
    <n v="0.48"/>
    <n v="275904"/>
    <n v="0.47535934291581117"/>
    <n v="752783"/>
    <n v="0.14000000000000001"/>
    <n v="427656"/>
    <n v="0.12610989983252763"/>
    <n v="49223"/>
    <n v="-0.46"/>
    <n v="118638.72"/>
    <n v="443765.72"/>
  </r>
  <r>
    <x v="101"/>
    <x v="101"/>
    <x v="3"/>
    <x v="0"/>
    <x v="0"/>
    <x v="0"/>
    <x v="0"/>
    <x v="1"/>
    <x v="0"/>
    <x v="0"/>
    <x v="1"/>
    <x v="0"/>
    <n v="13"/>
    <n v="-0.1875"/>
    <n v="1826"/>
    <n v="0.27"/>
    <n v="284856"/>
    <n v="3.2446068197633959E-2"/>
    <n v="684723"/>
    <n v="-0.09"/>
    <n v="369811"/>
    <n v="-0.13526058327253676"/>
    <n v="30056"/>
    <n v="-0.39"/>
    <n v="122488.08"/>
    <n v="437400.08"/>
  </r>
  <r>
    <x v="101"/>
    <x v="101"/>
    <x v="4"/>
    <x v="0"/>
    <x v="0"/>
    <x v="0"/>
    <x v="0"/>
    <x v="1"/>
    <x v="0"/>
    <x v="0"/>
    <x v="1"/>
    <x v="0"/>
    <n v="11"/>
    <n v="-0.15384615384615385"/>
    <n v="2196"/>
    <n v="0.2"/>
    <n v="289872"/>
    <n v="1.7608897126969447E-2"/>
    <n v="670301"/>
    <n v="-0.02"/>
    <n v="360868"/>
    <n v="-2.4182623015540416E-2"/>
    <n v="19561"/>
    <n v="-0.35"/>
    <n v="124644.95999999999"/>
    <n v="434077.95999999996"/>
  </r>
  <r>
    <x v="101"/>
    <x v="101"/>
    <x v="5"/>
    <x v="0"/>
    <x v="0"/>
    <x v="0"/>
    <x v="0"/>
    <x v="1"/>
    <x v="0"/>
    <x v="0"/>
    <x v="1"/>
    <x v="0"/>
    <n v="8"/>
    <n v="-0.27272727272727271"/>
    <n v="2276"/>
    <n v="0.04"/>
    <n v="218496"/>
    <n v="-0.24623282000331181"/>
    <n v="808733"/>
    <n v="0.21"/>
    <n v="568793"/>
    <n v="0.57618020993826002"/>
    <n v="21444"/>
    <n v="0.1"/>
    <n v="93953.279999999999"/>
    <n v="333893.28000000003"/>
  </r>
  <r>
    <x v="102"/>
    <x v="102"/>
    <x v="1"/>
    <x v="0"/>
    <x v="0"/>
    <x v="0"/>
    <x v="0"/>
    <x v="1"/>
    <x v="0"/>
    <x v="0"/>
    <x v="1"/>
    <x v="0"/>
    <n v="3"/>
    <n v="-0.625"/>
    <n v="0"/>
    <n v="0"/>
    <n v="0"/>
    <n v="-1"/>
    <n v="312761"/>
    <n v="0"/>
    <n v="0"/>
    <n v="-1"/>
    <n v="15166"/>
    <n v="0"/>
    <n v="0"/>
    <n v="312761"/>
  </r>
  <r>
    <x v="102"/>
    <x v="102"/>
    <x v="2"/>
    <x v="0"/>
    <x v="0"/>
    <x v="0"/>
    <x v="0"/>
    <x v="1"/>
    <x v="0"/>
    <x v="0"/>
    <x v="1"/>
    <x v="0"/>
    <n v="6"/>
    <n v="1"/>
    <n v="0"/>
    <n v="0"/>
    <n v="0"/>
    <n v="0"/>
    <n v="762774"/>
    <n v="21.942870114880051"/>
    <n v="0"/>
    <n v="0"/>
    <n v="-22892"/>
    <n v="29.915205063958854"/>
    <n v="0"/>
    <n v="762774"/>
  </r>
  <r>
    <x v="102"/>
    <x v="102"/>
    <x v="3"/>
    <x v="0"/>
    <x v="0"/>
    <x v="0"/>
    <x v="0"/>
    <x v="1"/>
    <x v="0"/>
    <x v="0"/>
    <x v="1"/>
    <x v="0"/>
    <n v="5"/>
    <n v="-0.16666666666666663"/>
    <n v="3500"/>
    <n v="0"/>
    <n v="210000"/>
    <n v="0"/>
    <n v="1178640"/>
    <n v="13.989576204747408"/>
    <n v="940979"/>
    <n v="0"/>
    <n v="27661"/>
    <n v="-26.660449065175609"/>
    <n v="90300"/>
    <n v="327961"/>
  </r>
  <r>
    <x v="102"/>
    <x v="102"/>
    <x v="4"/>
    <x v="0"/>
    <x v="0"/>
    <x v="0"/>
    <x v="0"/>
    <x v="1"/>
    <x v="0"/>
    <x v="0"/>
    <x v="1"/>
    <x v="0"/>
    <n v="3"/>
    <n v="-0.4"/>
    <n v="3435"/>
    <n v="-5.514285714285716E-2"/>
    <n v="123660"/>
    <n v="-0.41114285714285714"/>
    <n v="1337678"/>
    <n v="15.75298479603611"/>
    <n v="1141604"/>
    <n v="0.21320879637058843"/>
    <n v="72414"/>
    <n v="11.485918802646324"/>
    <n v="53173.799999999996"/>
    <n v="249247.8"/>
  </r>
  <r>
    <x v="102"/>
    <x v="102"/>
    <x v="5"/>
    <x v="0"/>
    <x v="0"/>
    <x v="0"/>
    <x v="0"/>
    <x v="1"/>
    <x v="0"/>
    <x v="0"/>
    <x v="1"/>
    <x v="0"/>
    <n v="2"/>
    <n v="-0.33333333333333337"/>
    <n v="0"/>
    <n v="0"/>
    <n v="0"/>
    <n v="-1"/>
    <n v="844981"/>
    <n v="7.6169556500144289"/>
    <n v="0"/>
    <n v="-1"/>
    <n v="38886"/>
    <n v="0.31691385643660075"/>
    <n v="0"/>
    <n v="844981"/>
  </r>
  <r>
    <x v="103"/>
    <x v="103"/>
    <x v="1"/>
    <x v="0"/>
    <x v="0"/>
    <x v="0"/>
    <x v="0"/>
    <x v="0"/>
    <x v="1"/>
    <x v="0"/>
    <x v="1"/>
    <x v="0"/>
    <n v="7"/>
    <n v="0"/>
    <n v="0"/>
    <n v="0"/>
    <n v="0"/>
    <n v="0"/>
    <n v="536042"/>
    <n v="0"/>
    <n v="0"/>
    <n v="0"/>
    <n v="98117"/>
    <n v="0"/>
    <n v="0"/>
    <n v="536042"/>
  </r>
  <r>
    <x v="103"/>
    <x v="103"/>
    <x v="2"/>
    <x v="0"/>
    <x v="0"/>
    <x v="0"/>
    <x v="0"/>
    <x v="0"/>
    <x v="1"/>
    <x v="0"/>
    <x v="1"/>
    <x v="0"/>
    <n v="8"/>
    <n v="0.14285714285714279"/>
    <n v="0"/>
    <n v="0"/>
    <n v="0"/>
    <n v="0"/>
    <n v="677713"/>
    <n v="0.26429085780591821"/>
    <n v="0"/>
    <n v="0"/>
    <n v="96906"/>
    <n v="-1.234240753386262E-2"/>
    <n v="0"/>
    <n v="677713"/>
  </r>
  <r>
    <x v="103"/>
    <x v="103"/>
    <x v="3"/>
    <x v="0"/>
    <x v="0"/>
    <x v="0"/>
    <x v="0"/>
    <x v="0"/>
    <x v="1"/>
    <x v="0"/>
    <x v="1"/>
    <x v="0"/>
    <n v="10"/>
    <n v="0.25"/>
    <n v="0"/>
    <n v="0"/>
    <n v="0"/>
    <n v="0"/>
    <n v="648818"/>
    <n v="-4.263604210041716E-2"/>
    <n v="0"/>
    <n v="0"/>
    <n v="-44496"/>
    <n v="-1.4591666150702742"/>
    <n v="0"/>
    <n v="648818"/>
  </r>
  <r>
    <x v="103"/>
    <x v="103"/>
    <x v="4"/>
    <x v="0"/>
    <x v="0"/>
    <x v="0"/>
    <x v="0"/>
    <x v="0"/>
    <x v="1"/>
    <x v="0"/>
    <x v="1"/>
    <x v="0"/>
    <n v="9"/>
    <n v="-9.9999999999999978E-2"/>
    <n v="2750"/>
    <n v="0"/>
    <n v="297000"/>
    <n v="0"/>
    <n v="764293"/>
    <n v="0.17797749137662633"/>
    <n v="484799"/>
    <n v="0"/>
    <n v="-17506"/>
    <n v="-0.60657137720244514"/>
    <n v="127710"/>
    <n v="407204"/>
  </r>
  <r>
    <x v="103"/>
    <x v="103"/>
    <x v="5"/>
    <x v="0"/>
    <x v="0"/>
    <x v="0"/>
    <x v="0"/>
    <x v="0"/>
    <x v="1"/>
    <x v="0"/>
    <x v="1"/>
    <x v="0"/>
    <n v="9"/>
    <n v="0"/>
    <n v="2850"/>
    <n v="3.6363636363636376E-2"/>
    <n v="307800"/>
    <n v="3.6363636363636376E-2"/>
    <n v="671087"/>
    <n v="-0.12195061318107059"/>
    <n v="374019"/>
    <n v="-0.22850707200303633"/>
    <n v="-10732"/>
    <n v="-0.3869530446703987"/>
    <n v="132354"/>
    <n v="429422"/>
  </r>
  <r>
    <x v="104"/>
    <x v="104"/>
    <x v="1"/>
    <x v="0"/>
    <x v="0"/>
    <x v="0"/>
    <x v="0"/>
    <x v="0"/>
    <x v="1"/>
    <x v="0"/>
    <x v="1"/>
    <x v="0"/>
    <n v="9"/>
    <n v="0"/>
    <n v="0"/>
    <n v="0"/>
    <n v="0"/>
    <n v="-1"/>
    <n v="617121"/>
    <n v="0"/>
    <n v="0"/>
    <n v="-1"/>
    <n v="-28657"/>
    <n v="0"/>
    <n v="0"/>
    <n v="617121"/>
  </r>
  <r>
    <x v="104"/>
    <x v="104"/>
    <x v="2"/>
    <x v="0"/>
    <x v="0"/>
    <x v="0"/>
    <x v="0"/>
    <x v="0"/>
    <x v="1"/>
    <x v="0"/>
    <x v="1"/>
    <x v="0"/>
    <n v="9"/>
    <n v="0"/>
    <n v="0"/>
    <n v="0"/>
    <n v="0"/>
    <n v="0"/>
    <n v="662748"/>
    <n v="7.3935257429256218E-2"/>
    <n v="0"/>
    <n v="0"/>
    <n v="30759"/>
    <n v="2.07335031580417"/>
    <n v="0"/>
    <n v="662748"/>
  </r>
  <r>
    <x v="104"/>
    <x v="104"/>
    <x v="3"/>
    <x v="0"/>
    <x v="0"/>
    <x v="0"/>
    <x v="0"/>
    <x v="0"/>
    <x v="1"/>
    <x v="0"/>
    <x v="1"/>
    <x v="0"/>
    <n v="10"/>
    <n v="0.11111111111111116"/>
    <n v="0"/>
    <n v="0"/>
    <n v="0"/>
    <n v="0"/>
    <n v="566996"/>
    <n v="-0.14447723720026318"/>
    <n v="0"/>
    <n v="0"/>
    <n v="10453"/>
    <n v="-0.66016450469781196"/>
    <n v="0"/>
    <n v="566996"/>
  </r>
  <r>
    <x v="104"/>
    <x v="104"/>
    <x v="4"/>
    <x v="0"/>
    <x v="0"/>
    <x v="0"/>
    <x v="0"/>
    <x v="0"/>
    <x v="1"/>
    <x v="0"/>
    <x v="1"/>
    <x v="0"/>
    <n v="8"/>
    <n v="-0.19999999999999996"/>
    <n v="2100"/>
    <n v="0"/>
    <n v="201600"/>
    <n v="0"/>
    <n v="516376"/>
    <n v="-8.9277525767377575E-2"/>
    <n v="359258"/>
    <n v="0"/>
    <n v="-44482"/>
    <n v="-5.2554290634267673"/>
    <n v="86688"/>
    <n v="243806"/>
  </r>
  <r>
    <x v="104"/>
    <x v="104"/>
    <x v="5"/>
    <x v="0"/>
    <x v="0"/>
    <x v="0"/>
    <x v="0"/>
    <x v="0"/>
    <x v="1"/>
    <x v="0"/>
    <x v="1"/>
    <x v="0"/>
    <n v="6"/>
    <n v="-0.25"/>
    <n v="2450"/>
    <n v="0.16666666666666674"/>
    <n v="176400"/>
    <n v="-0.125"/>
    <n v="568422"/>
    <n v="0.10079089655599804"/>
    <n v="435999"/>
    <n v="0.21360971780725824"/>
    <n v="-43977"/>
    <n v="-1.1352906793759221E-2"/>
    <n v="75852"/>
    <n v="208275"/>
  </r>
  <r>
    <x v="105"/>
    <x v="105"/>
    <x v="1"/>
    <x v="0"/>
    <x v="0"/>
    <x v="0"/>
    <x v="0"/>
    <x v="0"/>
    <x v="1"/>
    <x v="0"/>
    <x v="1"/>
    <x v="0"/>
    <n v="14"/>
    <n v="0"/>
    <n v="0"/>
    <n v="0"/>
    <n v="0"/>
    <n v="0"/>
    <n v="418885"/>
    <n v="0"/>
    <n v="0"/>
    <n v="0"/>
    <n v="57212"/>
    <n v="0"/>
    <n v="0"/>
    <n v="418885"/>
  </r>
  <r>
    <x v="105"/>
    <x v="105"/>
    <x v="2"/>
    <x v="0"/>
    <x v="0"/>
    <x v="0"/>
    <x v="0"/>
    <x v="0"/>
    <x v="1"/>
    <x v="0"/>
    <x v="1"/>
    <x v="0"/>
    <n v="14"/>
    <n v="0"/>
    <n v="0"/>
    <n v="0"/>
    <n v="0"/>
    <n v="0"/>
    <n v="399199"/>
    <n v="-4.6996192272342086E-2"/>
    <n v="0"/>
    <n v="0"/>
    <n v="-14547"/>
    <n v="-1.2542648395441516"/>
    <n v="0"/>
    <n v="399199"/>
  </r>
  <r>
    <x v="105"/>
    <x v="105"/>
    <x v="3"/>
    <x v="0"/>
    <x v="0"/>
    <x v="0"/>
    <x v="0"/>
    <x v="0"/>
    <x v="1"/>
    <x v="0"/>
    <x v="1"/>
    <x v="0"/>
    <n v="14"/>
    <n v="0"/>
    <n v="0"/>
    <n v="0"/>
    <n v="0"/>
    <n v="0"/>
    <n v="468548"/>
    <n v="0.17372037505103965"/>
    <n v="0"/>
    <n v="0"/>
    <n v="-14679"/>
    <n v="9.0740358836873813E-3"/>
    <n v="0"/>
    <n v="468548"/>
  </r>
  <r>
    <x v="105"/>
    <x v="105"/>
    <x v="4"/>
    <x v="0"/>
    <x v="0"/>
    <x v="0"/>
    <x v="0"/>
    <x v="0"/>
    <x v="1"/>
    <x v="0"/>
    <x v="1"/>
    <x v="0"/>
    <n v="11"/>
    <n v="-0.2142857142857143"/>
    <n v="2450"/>
    <n v="0"/>
    <n v="323400"/>
    <n v="0"/>
    <n v="434990"/>
    <n v="-7.1621263990028772E-2"/>
    <n v="132784"/>
    <n v="0"/>
    <n v="-21194"/>
    <n v="0.44383132365964983"/>
    <n v="139062"/>
    <n v="441268"/>
  </r>
  <r>
    <x v="105"/>
    <x v="105"/>
    <x v="5"/>
    <x v="0"/>
    <x v="0"/>
    <x v="0"/>
    <x v="0"/>
    <x v="0"/>
    <x v="1"/>
    <x v="0"/>
    <x v="1"/>
    <x v="0"/>
    <n v="10"/>
    <n v="-9.0909090909090939E-2"/>
    <n v="3200"/>
    <n v="0.30612244897959173"/>
    <n v="384000"/>
    <n v="0.18738404452690172"/>
    <n v="415142"/>
    <n v="-4.5628635141037766E-2"/>
    <n v="45909"/>
    <n v="-0.6542580431377274"/>
    <n v="-14767"/>
    <n v="-0.30324620175521377"/>
    <n v="165120"/>
    <n v="534353"/>
  </r>
  <r>
    <x v="106"/>
    <x v="106"/>
    <x v="1"/>
    <x v="0"/>
    <x v="0"/>
    <x v="0"/>
    <x v="0"/>
    <x v="0"/>
    <x v="1"/>
    <x v="0"/>
    <x v="1"/>
    <x v="0"/>
    <n v="2"/>
    <n v="0"/>
    <n v="700"/>
    <n v="0"/>
    <n v="16800"/>
    <n v="-0.95625000000000004"/>
    <n v="167284"/>
    <n v="0"/>
    <n v="41771"/>
    <n v="-9.0134831950162253E-2"/>
    <n v="108713"/>
    <n v="0"/>
    <n v="7224"/>
    <n v="132737"/>
  </r>
  <r>
    <x v="106"/>
    <x v="106"/>
    <x v="2"/>
    <x v="0"/>
    <x v="0"/>
    <x v="0"/>
    <x v="0"/>
    <x v="0"/>
    <x v="1"/>
    <x v="0"/>
    <x v="1"/>
    <x v="0"/>
    <n v="2"/>
    <n v="0"/>
    <n v="700"/>
    <n v="0"/>
    <n v="16800"/>
    <n v="0"/>
    <n v="188202"/>
    <n v="0.12504483393510446"/>
    <n v="44817"/>
    <n v="7.2921404802374745E-2"/>
    <n v="126585"/>
    <n v="0.16439616237248544"/>
    <n v="7224"/>
    <n v="150609"/>
  </r>
  <r>
    <x v="106"/>
    <x v="106"/>
    <x v="3"/>
    <x v="0"/>
    <x v="0"/>
    <x v="0"/>
    <x v="0"/>
    <x v="0"/>
    <x v="1"/>
    <x v="0"/>
    <x v="1"/>
    <x v="0"/>
    <n v="2"/>
    <n v="0"/>
    <n v="700"/>
    <n v="0"/>
    <n v="16800"/>
    <n v="0"/>
    <n v="154432"/>
    <n v="-0.17943486254131202"/>
    <n v="53152"/>
    <n v="0.1859785349309413"/>
    <n v="84480"/>
    <n v="-0.33262234861950468"/>
    <n v="7224"/>
    <n v="108504"/>
  </r>
  <r>
    <x v="106"/>
    <x v="106"/>
    <x v="4"/>
    <x v="0"/>
    <x v="0"/>
    <x v="0"/>
    <x v="0"/>
    <x v="0"/>
    <x v="1"/>
    <x v="0"/>
    <x v="1"/>
    <x v="0"/>
    <n v="2"/>
    <n v="0"/>
    <n v="700"/>
    <n v="0"/>
    <n v="16800"/>
    <n v="0"/>
    <n v="204198"/>
    <n v="0.32225186489846669"/>
    <n v="66817"/>
    <n v="0.25709286574352808"/>
    <n v="120581"/>
    <n v="0.4273319128787878"/>
    <n v="7224"/>
    <n v="144605"/>
  </r>
  <r>
    <x v="106"/>
    <x v="106"/>
    <x v="5"/>
    <x v="0"/>
    <x v="0"/>
    <x v="0"/>
    <x v="0"/>
    <x v="0"/>
    <x v="1"/>
    <x v="0"/>
    <x v="1"/>
    <x v="0"/>
    <n v="2"/>
    <n v="0"/>
    <n v="700"/>
    <n v="0"/>
    <n v="16800"/>
    <n v="0"/>
    <n v="220696"/>
    <n v="8.0794131186397555E-2"/>
    <n v="70415"/>
    <n v="5.3848571471332152E-2"/>
    <n v="133481"/>
    <n v="0.10698202867781825"/>
    <n v="7224"/>
    <n v="157505"/>
  </r>
  <r>
    <x v="107"/>
    <x v="107"/>
    <x v="1"/>
    <x v="0"/>
    <x v="0"/>
    <x v="0"/>
    <x v="0"/>
    <x v="0"/>
    <x v="1"/>
    <x v="0"/>
    <x v="1"/>
    <x v="0"/>
    <n v="0"/>
    <n v="-1"/>
    <n v="0"/>
    <n v="0"/>
    <n v="0"/>
    <n v="-1"/>
    <n v="68621"/>
    <n v="0"/>
    <n v="0"/>
    <n v="-1"/>
    <n v="20617"/>
    <n v="0"/>
    <n v="0"/>
    <n v="68621"/>
  </r>
  <r>
    <x v="107"/>
    <x v="107"/>
    <x v="2"/>
    <x v="0"/>
    <x v="0"/>
    <x v="0"/>
    <x v="0"/>
    <x v="0"/>
    <x v="1"/>
    <x v="0"/>
    <x v="1"/>
    <x v="0"/>
    <n v="0"/>
    <n v="0"/>
    <n v="0"/>
    <n v="0"/>
    <n v="0"/>
    <n v="0"/>
    <n v="212369"/>
    <n v="2.094810626484604"/>
    <n v="0"/>
    <n v="0"/>
    <n v="27768"/>
    <n v="0.34684968715137998"/>
    <n v="0"/>
    <n v="212369"/>
  </r>
  <r>
    <x v="107"/>
    <x v="107"/>
    <x v="3"/>
    <x v="0"/>
    <x v="0"/>
    <x v="0"/>
    <x v="0"/>
    <x v="0"/>
    <x v="1"/>
    <x v="0"/>
    <x v="1"/>
    <x v="0"/>
    <n v="0"/>
    <n v="0"/>
    <n v="0"/>
    <n v="0"/>
    <n v="0"/>
    <n v="0"/>
    <n v="335052"/>
    <n v="0.57768789230066542"/>
    <n v="0"/>
    <n v="0"/>
    <n v="53306"/>
    <n v="0.91969173148948435"/>
    <n v="0"/>
    <n v="335052"/>
  </r>
  <r>
    <x v="107"/>
    <x v="107"/>
    <x v="4"/>
    <x v="0"/>
    <x v="0"/>
    <x v="0"/>
    <x v="0"/>
    <x v="0"/>
    <x v="1"/>
    <x v="0"/>
    <x v="1"/>
    <x v="0"/>
    <n v="0"/>
    <n v="0"/>
    <n v="0"/>
    <n v="0"/>
    <n v="0"/>
    <n v="0"/>
    <n v="373656"/>
    <n v="0.11521793632033228"/>
    <n v="0"/>
    <n v="0"/>
    <n v="50120"/>
    <n v="-5.9768131167223237E-2"/>
    <n v="0"/>
    <n v="373656"/>
  </r>
  <r>
    <x v="107"/>
    <x v="107"/>
    <x v="5"/>
    <x v="0"/>
    <x v="0"/>
    <x v="0"/>
    <x v="0"/>
    <x v="0"/>
    <x v="1"/>
    <x v="0"/>
    <x v="1"/>
    <x v="0"/>
    <n v="0"/>
    <n v="0"/>
    <n v="0"/>
    <n v="0"/>
    <n v="0"/>
    <n v="0"/>
    <n v="390217"/>
    <n v="4.4321514976341847E-2"/>
    <n v="0"/>
    <n v="0"/>
    <n v="92018"/>
    <n v="0.83595371109337591"/>
    <n v="0"/>
    <n v="390217"/>
  </r>
  <r>
    <x v="108"/>
    <x v="108"/>
    <x v="1"/>
    <x v="0"/>
    <x v="0"/>
    <x v="0"/>
    <x v="0"/>
    <x v="0"/>
    <x v="1"/>
    <x v="0"/>
    <x v="1"/>
    <x v="0"/>
    <n v="3"/>
    <n v="0"/>
    <n v="800"/>
    <n v="0"/>
    <n v="28800"/>
    <n v="0"/>
    <n v="121041"/>
    <n v="0"/>
    <n v="80041"/>
    <n v="0"/>
    <n v="12200"/>
    <n v="0"/>
    <n v="12384"/>
    <n v="53384"/>
  </r>
  <r>
    <x v="108"/>
    <x v="108"/>
    <x v="2"/>
    <x v="0"/>
    <x v="0"/>
    <x v="0"/>
    <x v="0"/>
    <x v="0"/>
    <x v="1"/>
    <x v="0"/>
    <x v="1"/>
    <x v="0"/>
    <n v="2"/>
    <n v="-0.33333333333333337"/>
    <n v="1400"/>
    <n v="0.75"/>
    <n v="33600"/>
    <n v="0.16666666666666674"/>
    <n v="133934"/>
    <n v="0.10651762625887096"/>
    <n v="76977"/>
    <n v="-3.8280381304581446E-2"/>
    <n v="23357"/>
    <n v="0.91450819672131156"/>
    <n v="14448"/>
    <n v="71405"/>
  </r>
  <r>
    <x v="108"/>
    <x v="108"/>
    <x v="3"/>
    <x v="0"/>
    <x v="0"/>
    <x v="0"/>
    <x v="0"/>
    <x v="0"/>
    <x v="1"/>
    <x v="0"/>
    <x v="1"/>
    <x v="0"/>
    <n v="0"/>
    <n v="-1"/>
    <n v="0"/>
    <n v="0"/>
    <n v="0"/>
    <n v="-1"/>
    <n v="328212"/>
    <n v="1.4505502710290141"/>
    <n v="0"/>
    <n v="-1"/>
    <n v="80738"/>
    <n v="2.4566939247334845"/>
    <n v="0"/>
    <n v="328212"/>
  </r>
  <r>
    <x v="108"/>
    <x v="108"/>
    <x v="4"/>
    <x v="0"/>
    <x v="0"/>
    <x v="0"/>
    <x v="0"/>
    <x v="0"/>
    <x v="1"/>
    <x v="0"/>
    <x v="1"/>
    <x v="0"/>
    <n v="0"/>
    <n v="0"/>
    <n v="0"/>
    <n v="0"/>
    <n v="0"/>
    <n v="0"/>
    <n v="249885"/>
    <n v="-0.23864758144126352"/>
    <n v="0"/>
    <n v="0"/>
    <n v="272"/>
    <n v="-0.99663107830265796"/>
    <n v="0"/>
    <n v="249885"/>
  </r>
  <r>
    <x v="108"/>
    <x v="108"/>
    <x v="5"/>
    <x v="0"/>
    <x v="0"/>
    <x v="0"/>
    <x v="0"/>
    <x v="0"/>
    <x v="1"/>
    <x v="0"/>
    <x v="1"/>
    <x v="0"/>
    <n v="0"/>
    <n v="0"/>
    <n v="0"/>
    <n v="0"/>
    <n v="0"/>
    <n v="0"/>
    <n v="212585"/>
    <n v="-0.14926866358524926"/>
    <n v="0"/>
    <n v="0"/>
    <n v="27478"/>
    <n v="100.02205882352941"/>
    <n v="0"/>
    <n v="212585"/>
  </r>
  <r>
    <x v="109"/>
    <x v="109"/>
    <x v="1"/>
    <x v="0"/>
    <x v="0"/>
    <x v="0"/>
    <x v="0"/>
    <x v="0"/>
    <x v="1"/>
    <x v="0"/>
    <x v="1"/>
    <x v="0"/>
    <n v="0"/>
    <n v="0"/>
    <n v="0"/>
    <n v="0"/>
    <n v="0"/>
    <n v="0"/>
    <n v="115045"/>
    <n v="0"/>
    <n v="0"/>
    <n v="0"/>
    <n v="8039"/>
    <n v="0"/>
    <n v="0"/>
    <n v="115045"/>
  </r>
  <r>
    <x v="109"/>
    <x v="109"/>
    <x v="2"/>
    <x v="0"/>
    <x v="0"/>
    <x v="0"/>
    <x v="0"/>
    <x v="0"/>
    <x v="1"/>
    <x v="0"/>
    <x v="1"/>
    <x v="0"/>
    <n v="0"/>
    <n v="0"/>
    <n v="0"/>
    <n v="0"/>
    <n v="0"/>
    <n v="0"/>
    <n v="186316"/>
    <n v="0.61950541092615929"/>
    <n v="0"/>
    <n v="0"/>
    <n v="3076"/>
    <n v="-0.61736534394825227"/>
    <n v="0"/>
    <n v="186316"/>
  </r>
  <r>
    <x v="109"/>
    <x v="109"/>
    <x v="3"/>
    <x v="0"/>
    <x v="0"/>
    <x v="0"/>
    <x v="0"/>
    <x v="0"/>
    <x v="1"/>
    <x v="0"/>
    <x v="1"/>
    <x v="0"/>
    <n v="0"/>
    <n v="0"/>
    <n v="0"/>
    <n v="0"/>
    <n v="0"/>
    <n v="0"/>
    <n v="224635"/>
    <n v="0.20566671676077197"/>
    <n v="0"/>
    <n v="0"/>
    <n v="12731"/>
    <n v="3.138816644993498"/>
    <n v="0"/>
    <n v="224635"/>
  </r>
  <r>
    <x v="109"/>
    <x v="109"/>
    <x v="4"/>
    <x v="0"/>
    <x v="0"/>
    <x v="0"/>
    <x v="0"/>
    <x v="0"/>
    <x v="1"/>
    <x v="0"/>
    <x v="1"/>
    <x v="0"/>
    <n v="0"/>
    <n v="0"/>
    <n v="0"/>
    <n v="0"/>
    <n v="0"/>
    <n v="0"/>
    <n v="511114"/>
    <n v="1.2753088343312484"/>
    <n v="0"/>
    <n v="0"/>
    <n v="6299"/>
    <n v="-0.50522347026942116"/>
    <n v="0"/>
    <n v="511114"/>
  </r>
  <r>
    <x v="109"/>
    <x v="109"/>
    <x v="5"/>
    <x v="0"/>
    <x v="0"/>
    <x v="0"/>
    <x v="0"/>
    <x v="0"/>
    <x v="1"/>
    <x v="0"/>
    <x v="1"/>
    <x v="0"/>
    <n v="0"/>
    <n v="0"/>
    <n v="0"/>
    <n v="0"/>
    <n v="0"/>
    <n v="0"/>
    <n v="165035"/>
    <n v="-0.67710725982853148"/>
    <n v="0"/>
    <n v="0"/>
    <n v="2248"/>
    <n v="-0.64311795523098902"/>
    <n v="0"/>
    <n v="165035"/>
  </r>
  <r>
    <x v="110"/>
    <x v="110"/>
    <x v="1"/>
    <x v="0"/>
    <x v="0"/>
    <x v="0"/>
    <x v="0"/>
    <x v="0"/>
    <x v="1"/>
    <x v="0"/>
    <x v="1"/>
    <x v="0"/>
    <n v="1"/>
    <n v="0"/>
    <n v="0"/>
    <n v="0"/>
    <n v="0"/>
    <n v="0"/>
    <n v="6163"/>
    <n v="0"/>
    <n v="0"/>
    <n v="0"/>
    <n v="-7439"/>
    <n v="0"/>
    <n v="0"/>
    <n v="6163"/>
  </r>
  <r>
    <x v="110"/>
    <x v="110"/>
    <x v="2"/>
    <x v="0"/>
    <x v="0"/>
    <x v="0"/>
    <x v="0"/>
    <x v="0"/>
    <x v="1"/>
    <x v="0"/>
    <x v="1"/>
    <x v="0"/>
    <n v="1"/>
    <n v="0"/>
    <n v="0"/>
    <n v="0"/>
    <n v="0"/>
    <n v="0"/>
    <n v="0"/>
    <n v="0"/>
    <n v="0"/>
    <n v="0"/>
    <n v="778367"/>
    <n v="105.633284043554"/>
    <n v="0"/>
    <n v="0"/>
  </r>
  <r>
    <x v="110"/>
    <x v="110"/>
    <x v="3"/>
    <x v="0"/>
    <x v="0"/>
    <x v="0"/>
    <x v="0"/>
    <x v="0"/>
    <x v="1"/>
    <x v="0"/>
    <x v="1"/>
    <x v="0"/>
    <n v="1"/>
    <n v="0"/>
    <n v="0"/>
    <n v="0"/>
    <n v="0"/>
    <n v="0"/>
    <n v="0"/>
    <n v="0"/>
    <n v="0"/>
    <n v="0"/>
    <n v="970"/>
    <n v="-0.99875380122744151"/>
    <n v="0"/>
    <n v="0"/>
  </r>
  <r>
    <x v="110"/>
    <x v="110"/>
    <x v="4"/>
    <x v="0"/>
    <x v="0"/>
    <x v="0"/>
    <x v="0"/>
    <x v="0"/>
    <x v="1"/>
    <x v="0"/>
    <x v="1"/>
    <x v="0"/>
    <n v="1"/>
    <n v="0"/>
    <n v="0"/>
    <n v="0"/>
    <n v="0"/>
    <n v="0"/>
    <n v="0"/>
    <n v="0"/>
    <n v="0"/>
    <n v="0"/>
    <n v="8291"/>
    <n v="7.547422680412371"/>
    <n v="0"/>
    <n v="0"/>
  </r>
  <r>
    <x v="110"/>
    <x v="110"/>
    <x v="5"/>
    <x v="0"/>
    <x v="0"/>
    <x v="0"/>
    <x v="0"/>
    <x v="0"/>
    <x v="1"/>
    <x v="0"/>
    <x v="1"/>
    <x v="0"/>
    <n v="1"/>
    <n v="0"/>
    <n v="0"/>
    <n v="0"/>
    <n v="0"/>
    <n v="0"/>
    <n v="0"/>
    <n v="0"/>
    <n v="0"/>
    <n v="0"/>
    <n v="-1940"/>
    <n v="-1.2339886624050176"/>
    <n v="0"/>
    <n v="0"/>
  </r>
  <r>
    <x v="111"/>
    <x v="111"/>
    <x v="1"/>
    <x v="0"/>
    <x v="0"/>
    <x v="0"/>
    <x v="0"/>
    <x v="0"/>
    <x v="1"/>
    <x v="0"/>
    <x v="1"/>
    <x v="0"/>
    <n v="12"/>
    <n v="11"/>
    <n v="0"/>
    <n v="0"/>
    <n v="0"/>
    <n v="0"/>
    <n v="1101114"/>
    <n v="0"/>
    <n v="0"/>
    <n v="0"/>
    <n v="147777"/>
    <n v="0"/>
    <n v="0"/>
    <n v="1101114"/>
  </r>
  <r>
    <x v="111"/>
    <x v="111"/>
    <x v="2"/>
    <x v="0"/>
    <x v="0"/>
    <x v="0"/>
    <x v="0"/>
    <x v="0"/>
    <x v="1"/>
    <x v="0"/>
    <x v="1"/>
    <x v="0"/>
    <n v="13"/>
    <n v="8.3333333333333259E-2"/>
    <n v="0"/>
    <n v="0"/>
    <n v="0"/>
    <n v="0"/>
    <n v="1676343"/>
    <n v="0.52240639933739841"/>
    <n v="0"/>
    <n v="0"/>
    <n v="112474"/>
    <n v="-0.23889373853847351"/>
    <n v="0"/>
    <n v="1676343"/>
  </r>
  <r>
    <x v="111"/>
    <x v="111"/>
    <x v="3"/>
    <x v="0"/>
    <x v="0"/>
    <x v="0"/>
    <x v="0"/>
    <x v="0"/>
    <x v="1"/>
    <x v="0"/>
    <x v="1"/>
    <x v="0"/>
    <n v="11"/>
    <n v="-0.15384615384615385"/>
    <n v="0"/>
    <n v="0"/>
    <n v="0"/>
    <n v="0"/>
    <n v="2096869"/>
    <n v="0.25085916187796897"/>
    <n v="0"/>
    <n v="0"/>
    <n v="142133"/>
    <n v="0.26369649874637702"/>
    <n v="0"/>
    <n v="2096869"/>
  </r>
  <r>
    <x v="111"/>
    <x v="111"/>
    <x v="4"/>
    <x v="0"/>
    <x v="0"/>
    <x v="0"/>
    <x v="0"/>
    <x v="0"/>
    <x v="1"/>
    <x v="0"/>
    <x v="1"/>
    <x v="0"/>
    <n v="9"/>
    <n v="-0.18181818181818177"/>
    <n v="3450"/>
    <n v="0"/>
    <n v="372600"/>
    <n v="0"/>
    <n v="2316830"/>
    <n v="0.10489973384126516"/>
    <n v="1824343"/>
    <n v="0"/>
    <n v="119887"/>
    <n v="-0.15651537644319058"/>
    <n v="160218"/>
    <n v="652705"/>
  </r>
  <r>
    <x v="111"/>
    <x v="111"/>
    <x v="5"/>
    <x v="0"/>
    <x v="0"/>
    <x v="0"/>
    <x v="0"/>
    <x v="0"/>
    <x v="1"/>
    <x v="0"/>
    <x v="1"/>
    <x v="0"/>
    <n v="7"/>
    <n v="-0.22222222222222221"/>
    <n v="3000"/>
    <n v="-0.13043478260869568"/>
    <n v="252000"/>
    <n v="-0.32367149758454106"/>
    <n v="1247369"/>
    <n v="-0.4616052968927371"/>
    <n v="982845"/>
    <n v="-0.46126084842598125"/>
    <n v="12524"/>
    <n v="-0.89553496208930072"/>
    <n v="108360"/>
    <n v="372884"/>
  </r>
  <r>
    <x v="112"/>
    <x v="112"/>
    <x v="1"/>
    <x v="0"/>
    <x v="0"/>
    <x v="0"/>
    <x v="0"/>
    <x v="0"/>
    <x v="1"/>
    <x v="0"/>
    <x v="1"/>
    <x v="0"/>
    <n v="10"/>
    <n v="0"/>
    <n v="0"/>
    <n v="0"/>
    <n v="0"/>
    <n v="-1"/>
    <n v="440087"/>
    <n v="0"/>
    <n v="0"/>
    <n v="-1"/>
    <n v="24362"/>
    <n v="0"/>
    <n v="0"/>
    <n v="440087"/>
  </r>
  <r>
    <x v="112"/>
    <x v="112"/>
    <x v="2"/>
    <x v="0"/>
    <x v="0"/>
    <x v="0"/>
    <x v="0"/>
    <x v="0"/>
    <x v="1"/>
    <x v="0"/>
    <x v="1"/>
    <x v="0"/>
    <n v="10"/>
    <n v="0"/>
    <n v="0"/>
    <n v="0"/>
    <n v="0"/>
    <n v="0"/>
    <n v="434920"/>
    <n v="-1.1740860329889302E-2"/>
    <n v="0"/>
    <n v="0"/>
    <n v="73525"/>
    <n v="2.018019867005993"/>
    <n v="0"/>
    <n v="434920"/>
  </r>
  <r>
    <x v="112"/>
    <x v="112"/>
    <x v="3"/>
    <x v="0"/>
    <x v="0"/>
    <x v="0"/>
    <x v="0"/>
    <x v="0"/>
    <x v="1"/>
    <x v="0"/>
    <x v="1"/>
    <x v="0"/>
    <n v="9"/>
    <n v="-9.9999999999999978E-2"/>
    <n v="0"/>
    <n v="0"/>
    <n v="0"/>
    <n v="0"/>
    <n v="680849"/>
    <n v="0.56545801526717554"/>
    <n v="0"/>
    <n v="0"/>
    <n v="59054"/>
    <n v="-0.1968174090445427"/>
    <n v="0"/>
    <n v="680849"/>
  </r>
  <r>
    <x v="112"/>
    <x v="112"/>
    <x v="4"/>
    <x v="0"/>
    <x v="0"/>
    <x v="0"/>
    <x v="0"/>
    <x v="0"/>
    <x v="1"/>
    <x v="0"/>
    <x v="1"/>
    <x v="0"/>
    <n v="8"/>
    <n v="-0.11111111111111116"/>
    <n v="2100"/>
    <n v="0"/>
    <n v="201600"/>
    <n v="0"/>
    <n v="596611"/>
    <n v="-0.12372493754121694"/>
    <n v="388658"/>
    <n v="0"/>
    <n v="6353"/>
    <n v="-0.89242049649473365"/>
    <n v="86688"/>
    <n v="294641"/>
  </r>
  <r>
    <x v="112"/>
    <x v="112"/>
    <x v="5"/>
    <x v="0"/>
    <x v="0"/>
    <x v="0"/>
    <x v="0"/>
    <x v="0"/>
    <x v="1"/>
    <x v="0"/>
    <x v="1"/>
    <x v="0"/>
    <n v="8"/>
    <n v="0"/>
    <n v="2900"/>
    <n v="0.38095238095238093"/>
    <n v="278400"/>
    <n v="0.38095238095238093"/>
    <n v="645958"/>
    <n v="8.2712185997241061E-2"/>
    <n v="365564"/>
    <n v="-5.9419849842277772E-2"/>
    <n v="1994"/>
    <n v="-0.68613253580985356"/>
    <n v="119712"/>
    <n v="4001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1">
  <r>
    <x v="0"/>
    <x v="0"/>
    <x v="0"/>
    <x v="0"/>
    <x v="0"/>
    <x v="0"/>
    <x v="0"/>
    <x v="0"/>
    <x v="0"/>
    <x v="0"/>
    <x v="0"/>
    <x v="0"/>
    <n v="0"/>
    <n v="0"/>
    <n v="0"/>
    <n v="0"/>
    <n v="0"/>
    <n v="0"/>
    <n v="3060"/>
    <n v="0"/>
    <n v="0"/>
    <n v="0"/>
    <n v="-3087"/>
    <n v="0"/>
    <n v="0"/>
    <n v="3060"/>
  </r>
  <r>
    <x v="0"/>
    <x v="0"/>
    <x v="1"/>
    <x v="0"/>
    <x v="0"/>
    <x v="0"/>
    <x v="0"/>
    <x v="0"/>
    <x v="0"/>
    <x v="0"/>
    <x v="0"/>
    <x v="0"/>
    <n v="0"/>
    <n v="0"/>
    <n v="0"/>
    <n v="0"/>
    <n v="0"/>
    <n v="0"/>
    <n v="4301"/>
    <n v="0.40555555555555539"/>
    <n v="0"/>
    <n v="0"/>
    <n v="1"/>
    <n v="-1.0003239390994489"/>
    <n v="0"/>
    <n v="4301"/>
  </r>
  <r>
    <x v="0"/>
    <x v="0"/>
    <x v="2"/>
    <x v="0"/>
    <x v="0"/>
    <x v="0"/>
    <x v="0"/>
    <x v="0"/>
    <x v="0"/>
    <x v="0"/>
    <x v="0"/>
    <x v="0"/>
    <n v="0"/>
    <n v="0"/>
    <n v="0"/>
    <n v="0"/>
    <n v="0"/>
    <n v="0"/>
    <n v="0"/>
    <n v="0"/>
    <n v="0"/>
    <n v="0"/>
    <n v="0"/>
    <n v="-1"/>
    <n v="0"/>
    <n v="0"/>
  </r>
  <r>
    <x v="0"/>
    <x v="0"/>
    <x v="3"/>
    <x v="0"/>
    <x v="0"/>
    <x v="0"/>
    <x v="0"/>
    <x v="0"/>
    <x v="0"/>
    <x v="0"/>
    <x v="0"/>
    <x v="0"/>
    <n v="0"/>
    <n v="0"/>
    <n v="0"/>
    <n v="0"/>
    <n v="0"/>
    <n v="0"/>
    <n v="0"/>
    <n v="-1"/>
    <n v="0"/>
    <n v="0"/>
    <n v="0"/>
    <n v="0"/>
    <n v="0"/>
    <n v="0"/>
  </r>
  <r>
    <x v="0"/>
    <x v="0"/>
    <x v="4"/>
    <x v="0"/>
    <x v="0"/>
    <x v="0"/>
    <x v="0"/>
    <x v="0"/>
    <x v="0"/>
    <x v="0"/>
    <x v="0"/>
    <x v="0"/>
    <n v="0"/>
    <n v="0"/>
    <n v="0"/>
    <n v="0"/>
    <n v="0"/>
    <n v="0"/>
    <n v="23740"/>
    <n v="0"/>
    <n v="0"/>
    <n v="0"/>
    <n v="18605"/>
    <n v="0"/>
    <n v="0"/>
    <n v="23740"/>
  </r>
  <r>
    <x v="0"/>
    <x v="0"/>
    <x v="5"/>
    <x v="0"/>
    <x v="0"/>
    <x v="0"/>
    <x v="0"/>
    <x v="0"/>
    <x v="0"/>
    <x v="0"/>
    <x v="0"/>
    <x v="0"/>
    <n v="1"/>
    <n v="0"/>
    <n v="0"/>
    <n v="0"/>
    <n v="0"/>
    <n v="0"/>
    <n v="60840"/>
    <n v="1.562763268744735"/>
    <n v="0"/>
    <n v="0"/>
    <n v="31289"/>
    <n v="0.68175221714592849"/>
    <n v="0"/>
    <n v="60840"/>
  </r>
  <r>
    <x v="1"/>
    <x v="1"/>
    <x v="0"/>
    <x v="0"/>
    <x v="0"/>
    <x v="0"/>
    <x v="0"/>
    <x v="0"/>
    <x v="0"/>
    <x v="0"/>
    <x v="0"/>
    <x v="0"/>
    <n v="0"/>
    <n v="0"/>
    <n v="0"/>
    <n v="0"/>
    <n v="0"/>
    <n v="0"/>
    <n v="0"/>
    <n v="0"/>
    <n v="0"/>
    <n v="0"/>
    <n v="0"/>
    <n v="0"/>
    <n v="0"/>
    <n v="0"/>
  </r>
  <r>
    <x v="1"/>
    <x v="1"/>
    <x v="1"/>
    <x v="0"/>
    <x v="0"/>
    <x v="0"/>
    <x v="0"/>
    <x v="0"/>
    <x v="0"/>
    <x v="0"/>
    <x v="0"/>
    <x v="0"/>
    <n v="1"/>
    <n v="0"/>
    <n v="0"/>
    <n v="0"/>
    <n v="0"/>
    <n v="0"/>
    <n v="9992"/>
    <n v="0"/>
    <n v="0"/>
    <n v="0"/>
    <n v="-49"/>
    <n v="0"/>
    <n v="0"/>
    <n v="9992"/>
  </r>
  <r>
    <x v="1"/>
    <x v="1"/>
    <x v="2"/>
    <x v="0"/>
    <x v="0"/>
    <x v="0"/>
    <x v="0"/>
    <x v="0"/>
    <x v="0"/>
    <x v="0"/>
    <x v="0"/>
    <x v="0"/>
    <n v="1"/>
    <n v="0"/>
    <n v="0"/>
    <n v="0"/>
    <n v="0"/>
    <n v="0"/>
    <n v="30202"/>
    <n v="6.7955364291433149"/>
    <n v="0"/>
    <n v="0"/>
    <n v="457"/>
    <n v="0"/>
    <n v="0"/>
    <n v="30202"/>
  </r>
  <r>
    <x v="1"/>
    <x v="1"/>
    <x v="3"/>
    <x v="0"/>
    <x v="0"/>
    <x v="0"/>
    <x v="0"/>
    <x v="0"/>
    <x v="0"/>
    <x v="0"/>
    <x v="0"/>
    <x v="0"/>
    <n v="1"/>
    <n v="0"/>
    <n v="0"/>
    <n v="0"/>
    <n v="0"/>
    <n v="0"/>
    <n v="30352"/>
    <n v="1.8721938944440764"/>
    <n v="0"/>
    <n v="0"/>
    <n v="1051"/>
    <n v="0"/>
    <n v="0"/>
    <n v="30352"/>
  </r>
  <r>
    <x v="1"/>
    <x v="1"/>
    <x v="4"/>
    <x v="0"/>
    <x v="0"/>
    <x v="0"/>
    <x v="0"/>
    <x v="0"/>
    <x v="0"/>
    <x v="0"/>
    <x v="0"/>
    <x v="0"/>
    <n v="1"/>
    <n v="0"/>
    <n v="0"/>
    <n v="0"/>
    <n v="0"/>
    <n v="0"/>
    <n v="29009"/>
    <n v="0.71919478123352665"/>
    <n v="0"/>
    <n v="0"/>
    <n v="179"/>
    <n v="0"/>
    <n v="0"/>
    <n v="29009"/>
  </r>
  <r>
    <x v="1"/>
    <x v="1"/>
    <x v="5"/>
    <x v="0"/>
    <x v="0"/>
    <x v="0"/>
    <x v="0"/>
    <x v="0"/>
    <x v="0"/>
    <x v="0"/>
    <x v="0"/>
    <x v="0"/>
    <n v="0"/>
    <n v="-1"/>
    <n v="0"/>
    <n v="0"/>
    <n v="0"/>
    <n v="0"/>
    <n v="0"/>
    <n v="0"/>
    <n v="0"/>
    <n v="0"/>
    <n v="0"/>
    <n v="0"/>
    <n v="0"/>
    <n v="0"/>
  </r>
  <r>
    <x v="2"/>
    <x v="2"/>
    <x v="0"/>
    <x v="0"/>
    <x v="0"/>
    <x v="0"/>
    <x v="0"/>
    <x v="0"/>
    <x v="1"/>
    <x v="0"/>
    <x v="1"/>
    <x v="0"/>
    <n v="45"/>
    <n v="0"/>
    <n v="2709"/>
    <n v="0"/>
    <n v="1462860"/>
    <n v="0"/>
    <n v="7290500"/>
    <n v="0"/>
    <n v="5189171"/>
    <n v="0"/>
    <n v="638469"/>
    <n v="0"/>
    <n v="629029.80000000005"/>
    <n v="2730358.8"/>
  </r>
  <r>
    <x v="2"/>
    <x v="2"/>
    <x v="1"/>
    <x v="0"/>
    <x v="0"/>
    <x v="0"/>
    <x v="0"/>
    <x v="0"/>
    <x v="1"/>
    <x v="0"/>
    <x v="1"/>
    <x v="0"/>
    <n v="46"/>
    <n v="2.2222222222222143E-2"/>
    <n v="2940"/>
    <n v="8.5271317829457294E-2"/>
    <n v="1622880"/>
    <n v="0.10938845822566745"/>
    <n v="6554110"/>
    <n v="-0.10100678965777379"/>
    <n v="4294186"/>
    <n v="-0.17247167225747617"/>
    <n v="637044"/>
    <n v="-2.231901627173793E-3"/>
    <n v="697838.4"/>
    <n v="2957762.4"/>
  </r>
  <r>
    <x v="2"/>
    <x v="2"/>
    <x v="2"/>
    <x v="0"/>
    <x v="0"/>
    <x v="0"/>
    <x v="0"/>
    <x v="0"/>
    <x v="1"/>
    <x v="0"/>
    <x v="1"/>
    <x v="0"/>
    <n v="50"/>
    <n v="8.6956521739130377E-2"/>
    <n v="3106"/>
    <n v="5.646258503401369E-2"/>
    <n v="1863600"/>
    <n v="0.14832889677610184"/>
    <n v="7010847"/>
    <n v="6.9687112361556336E-2"/>
    <n v="4457547"/>
    <n v="3.8042367051636772E-2"/>
    <n v="689700"/>
    <n v="8.2656770960875647E-2"/>
    <n v="801348"/>
    <n v="3354648"/>
  </r>
  <r>
    <x v="2"/>
    <x v="2"/>
    <x v="3"/>
    <x v="0"/>
    <x v="0"/>
    <x v="0"/>
    <x v="0"/>
    <x v="0"/>
    <x v="1"/>
    <x v="0"/>
    <x v="1"/>
    <x v="0"/>
    <n v="49"/>
    <n v="-2.0000000000000018E-2"/>
    <n v="3263"/>
    <n v="5.0547327752736633E-2"/>
    <n v="1918644"/>
    <n v="2.9536381197681871E-2"/>
    <n v="8435901"/>
    <n v="0.20326417050607451"/>
    <n v="5368386"/>
    <n v="0"/>
    <n v="1148871"/>
    <n v="0.66575467594606352"/>
    <n v="825016.92"/>
    <n v="3892531.92"/>
  </r>
  <r>
    <x v="2"/>
    <x v="2"/>
    <x v="4"/>
    <x v="0"/>
    <x v="0"/>
    <x v="0"/>
    <x v="0"/>
    <x v="0"/>
    <x v="1"/>
    <x v="0"/>
    <x v="1"/>
    <x v="0"/>
    <n v="49"/>
    <n v="0"/>
    <n v="4041"/>
    <n v="0.23843089181734589"/>
    <n v="2376108"/>
    <n v="0.23843089181734589"/>
    <n v="7661419"/>
    <n v="-9.1807857868412612E-2"/>
    <n v="4659384"/>
    <n v="-0.13206986233851292"/>
    <n v="625927"/>
    <n v="-0.45518078182842109"/>
    <n v="1021726.44"/>
    <n v="4023761.44"/>
  </r>
  <r>
    <x v="2"/>
    <x v="2"/>
    <x v="5"/>
    <x v="0"/>
    <x v="0"/>
    <x v="0"/>
    <x v="0"/>
    <x v="0"/>
    <x v="1"/>
    <x v="0"/>
    <x v="1"/>
    <x v="0"/>
    <n v="45"/>
    <n v="-8.1632653061224469E-2"/>
    <n v="3618"/>
    <n v="-0.1046770601336303"/>
    <n v="1953720"/>
    <n v="-0.17776464706149719"/>
    <n v="7456879"/>
    <n v="-2.6697404227598032E-2"/>
    <n v="5009770"/>
    <n v="7.5200069365392475E-2"/>
    <n v="493389"/>
    <n v="-0.2117467372393266"/>
    <n v="840099.6"/>
    <n v="3287208.6"/>
  </r>
  <r>
    <x v="3"/>
    <x v="3"/>
    <x v="0"/>
    <x v="0"/>
    <x v="0"/>
    <x v="0"/>
    <x v="0"/>
    <x v="0"/>
    <x v="1"/>
    <x v="0"/>
    <x v="1"/>
    <x v="0"/>
    <n v="4"/>
    <n v="0"/>
    <n v="1065"/>
    <n v="0"/>
    <n v="51120"/>
    <n v="0"/>
    <n v="103616"/>
    <n v="0"/>
    <n v="51357"/>
    <n v="0"/>
    <n v="1139"/>
    <n v="0"/>
    <n v="21981.599999999999"/>
    <n v="74240.600000000006"/>
  </r>
  <r>
    <x v="3"/>
    <x v="3"/>
    <x v="1"/>
    <x v="0"/>
    <x v="0"/>
    <x v="0"/>
    <x v="0"/>
    <x v="0"/>
    <x v="1"/>
    <x v="0"/>
    <x v="1"/>
    <x v="0"/>
    <n v="4"/>
    <n v="0"/>
    <n v="1170"/>
    <n v="9.8591549295774739E-2"/>
    <n v="56160"/>
    <n v="9.8591549295774739E-2"/>
    <n v="110839"/>
    <n v="6.9709311303273624E-2"/>
    <n v="45761"/>
    <n v="-0.10896275093950192"/>
    <n v="8918"/>
    <n v="6.8296751536435467"/>
    <n v="24148.799999999999"/>
    <n v="89226.8"/>
  </r>
  <r>
    <x v="3"/>
    <x v="3"/>
    <x v="2"/>
    <x v="0"/>
    <x v="0"/>
    <x v="0"/>
    <x v="0"/>
    <x v="0"/>
    <x v="1"/>
    <x v="0"/>
    <x v="1"/>
    <x v="0"/>
    <n v="5"/>
    <n v="0.25"/>
    <n v="1308"/>
    <n v="0.117948717948718"/>
    <n v="78480"/>
    <n v="0.39743589743589736"/>
    <n v="162654"/>
    <n v="0.46747985817266491"/>
    <n v="46204"/>
    <n v="9.6807325014751644E-3"/>
    <n v="37970"/>
    <n v="3.2576810944157879"/>
    <n v="33746.400000000001"/>
    <n v="150196.4"/>
  </r>
  <r>
    <x v="3"/>
    <x v="3"/>
    <x v="3"/>
    <x v="0"/>
    <x v="0"/>
    <x v="0"/>
    <x v="0"/>
    <x v="0"/>
    <x v="1"/>
    <x v="0"/>
    <x v="1"/>
    <x v="0"/>
    <n v="6"/>
    <n v="0.19999999999999996"/>
    <n v="1500"/>
    <n v="0.14678899082568811"/>
    <n v="108000"/>
    <n v="0.37614678899082565"/>
    <n v="175245"/>
    <n v="7.7409716330369971E-2"/>
    <n v="32462"/>
    <n v="-0.29742013678469392"/>
    <n v="34783"/>
    <n v="-8.3934685277850973E-2"/>
    <n v="46440"/>
    <n v="189223"/>
  </r>
  <r>
    <x v="3"/>
    <x v="3"/>
    <x v="4"/>
    <x v="0"/>
    <x v="0"/>
    <x v="0"/>
    <x v="0"/>
    <x v="0"/>
    <x v="1"/>
    <x v="0"/>
    <x v="1"/>
    <x v="0"/>
    <n v="9"/>
    <n v="0.5"/>
    <n v="1529"/>
    <n v="1.9333333333333421E-2"/>
    <n v="165132"/>
    <n v="0.52899999999999991"/>
    <n v="233594"/>
    <n v="0.33295671773802388"/>
    <n v="48592"/>
    <n v="0"/>
    <n v="19870"/>
    <n v="-0.42874392663082539"/>
    <n v="71006.759999999995"/>
    <n v="256008.76"/>
  </r>
  <r>
    <x v="3"/>
    <x v="3"/>
    <x v="5"/>
    <x v="0"/>
    <x v="0"/>
    <x v="0"/>
    <x v="0"/>
    <x v="0"/>
    <x v="1"/>
    <x v="0"/>
    <x v="1"/>
    <x v="0"/>
    <n v="9"/>
    <n v="0"/>
    <n v="1848"/>
    <n v="0.20863309352517989"/>
    <n v="199584"/>
    <n v="0.20863309352517989"/>
    <n v="212639"/>
    <n v="-8.9706927403957248E-2"/>
    <n v="8368"/>
    <n v="-0.82779058281198548"/>
    <n v="4687"/>
    <n v="-0.76411675893306485"/>
    <n v="85821.119999999995"/>
    <n v="290092.12"/>
  </r>
  <r>
    <x v="4"/>
    <x v="4"/>
    <x v="0"/>
    <x v="0"/>
    <x v="0"/>
    <x v="0"/>
    <x v="0"/>
    <x v="0"/>
    <x v="0"/>
    <x v="1"/>
    <x v="1"/>
    <x v="0"/>
    <n v="11"/>
    <n v="0"/>
    <n v="1861"/>
    <n v="0"/>
    <n v="245652"/>
    <n v="0"/>
    <n v="667536"/>
    <n v="0"/>
    <n v="359287"/>
    <n v="0"/>
    <n v="62597"/>
    <n v="0"/>
    <n v="105630.36"/>
    <n v="413879.36"/>
  </r>
  <r>
    <x v="4"/>
    <x v="4"/>
    <x v="1"/>
    <x v="0"/>
    <x v="0"/>
    <x v="0"/>
    <x v="0"/>
    <x v="0"/>
    <x v="0"/>
    <x v="1"/>
    <x v="1"/>
    <x v="0"/>
    <n v="12"/>
    <n v="9.0909090909090828E-2"/>
    <n v="2035"/>
    <n v="9.3498119290703841E-2"/>
    <n v="293040"/>
    <n v="0.19290703922622243"/>
    <n v="744583"/>
    <n v="0.11541999233000171"/>
    <n v="404854"/>
    <n v="0.12682618630788189"/>
    <n v="46689"/>
    <n v="-0.25413358467658198"/>
    <n v="126007.2"/>
    <n v="465736.2"/>
  </r>
  <r>
    <x v="4"/>
    <x v="4"/>
    <x v="2"/>
    <x v="0"/>
    <x v="0"/>
    <x v="0"/>
    <x v="0"/>
    <x v="0"/>
    <x v="0"/>
    <x v="1"/>
    <x v="1"/>
    <x v="0"/>
    <n v="13"/>
    <n v="8.3333333333333259E-2"/>
    <n v="2318"/>
    <n v="0.13906633906633911"/>
    <n v="361608"/>
    <n v="0.23398853398853392"/>
    <n v="1468239"/>
    <n v="0.97189433548711168"/>
    <n v="847404"/>
    <n v="1.0931101088293556"/>
    <n v="259227"/>
    <n v="4.5522071580029557"/>
    <n v="155491.44"/>
    <n v="776326.44"/>
  </r>
  <r>
    <x v="4"/>
    <x v="4"/>
    <x v="3"/>
    <x v="0"/>
    <x v="0"/>
    <x v="0"/>
    <x v="0"/>
    <x v="0"/>
    <x v="0"/>
    <x v="1"/>
    <x v="1"/>
    <x v="0"/>
    <n v="14"/>
    <n v="7.6923076923076872E-2"/>
    <n v="2323"/>
    <n v="2.1570319240724611E-3"/>
    <n v="390264"/>
    <n v="7.9246034379770292E-2"/>
    <n v="1251440"/>
    <n v="-0.14765920262300619"/>
    <n v="660153"/>
    <n v="-0.22097016299191408"/>
    <n v="201023"/>
    <n v="-0.2245290806898973"/>
    <n v="167813.52"/>
    <n v="759100.52"/>
  </r>
  <r>
    <x v="4"/>
    <x v="4"/>
    <x v="4"/>
    <x v="0"/>
    <x v="0"/>
    <x v="0"/>
    <x v="0"/>
    <x v="0"/>
    <x v="0"/>
    <x v="1"/>
    <x v="1"/>
    <x v="0"/>
    <n v="13"/>
    <n v="-7.1428571428571397E-2"/>
    <n v="2442"/>
    <n v="5.1226861816616509E-2"/>
    <n v="380952"/>
    <n v="-2.3860771170284734E-2"/>
    <n v="1505000"/>
    <n v="0.2026145879946302"/>
    <n v="805537"/>
    <n v="0"/>
    <n v="318511"/>
    <n v="0.58445053551086201"/>
    <n v="163809.35999999999"/>
    <n v="863272.36"/>
  </r>
  <r>
    <x v="4"/>
    <x v="4"/>
    <x v="5"/>
    <x v="0"/>
    <x v="0"/>
    <x v="0"/>
    <x v="0"/>
    <x v="0"/>
    <x v="0"/>
    <x v="1"/>
    <x v="1"/>
    <x v="0"/>
    <n v="12"/>
    <n v="-7.6923076923076872E-2"/>
    <n v="2597"/>
    <n v="6.347256347256347E-2"/>
    <n v="373968"/>
    <n v="-1.8333018333018369E-2"/>
    <n v="1193265"/>
    <n v="-0.20713289036544846"/>
    <n v="699309"/>
    <n v="-0.13187227898904708"/>
    <n v="119988"/>
    <n v="-0.6232845961363972"/>
    <n v="160806.24"/>
    <n v="654762.23999999999"/>
  </r>
  <r>
    <x v="5"/>
    <x v="5"/>
    <x v="0"/>
    <x v="0"/>
    <x v="0"/>
    <x v="0"/>
    <x v="0"/>
    <x v="0"/>
    <x v="1"/>
    <x v="0"/>
    <x v="0"/>
    <x v="0"/>
    <n v="33"/>
    <n v="0"/>
    <n v="1521"/>
    <n v="0"/>
    <n v="602316"/>
    <n v="0"/>
    <n v="1402789"/>
    <n v="0"/>
    <n v="626603"/>
    <n v="0"/>
    <n v="173870"/>
    <n v="0"/>
    <n v="258995.88"/>
    <n v="1035181.88"/>
  </r>
  <r>
    <x v="5"/>
    <x v="5"/>
    <x v="1"/>
    <x v="0"/>
    <x v="0"/>
    <x v="0"/>
    <x v="0"/>
    <x v="0"/>
    <x v="1"/>
    <x v="0"/>
    <x v="0"/>
    <x v="0"/>
    <n v="32"/>
    <n v="-3.0303030303030276E-2"/>
    <n v="1588"/>
    <n v="4.4049967126890133E-2"/>
    <n v="609792"/>
    <n v="1.2412089335166243E-2"/>
    <n v="1237158"/>
    <n v="-0.1180726395772992"/>
    <n v="474989"/>
    <n v="-0.24196181633346792"/>
    <n v="152377"/>
    <n v="-0.1236153447978374"/>
    <n v="262210.56"/>
    <n v="1024379.56"/>
  </r>
  <r>
    <x v="5"/>
    <x v="5"/>
    <x v="2"/>
    <x v="0"/>
    <x v="0"/>
    <x v="0"/>
    <x v="0"/>
    <x v="0"/>
    <x v="1"/>
    <x v="0"/>
    <x v="0"/>
    <x v="0"/>
    <n v="33"/>
    <n v="3.125E-2"/>
    <n v="1897"/>
    <n v="0.19458438287153659"/>
    <n v="751212"/>
    <n v="0.23191514483627196"/>
    <n v="1603371"/>
    <n v="0.29601150378528862"/>
    <n v="848444"/>
    <n v="0.78623926027760649"/>
    <n v="3715"/>
    <n v="-0.97561968013545397"/>
    <n v="323021.15999999997"/>
    <n v="1077948.1599999999"/>
  </r>
  <r>
    <x v="5"/>
    <x v="5"/>
    <x v="3"/>
    <x v="0"/>
    <x v="0"/>
    <x v="0"/>
    <x v="0"/>
    <x v="0"/>
    <x v="1"/>
    <x v="0"/>
    <x v="0"/>
    <x v="0"/>
    <n v="35"/>
    <n v="6.0606060606060552E-2"/>
    <n v="2185"/>
    <n v="0.1518186610437533"/>
    <n v="917700"/>
    <n v="0.22162585262216261"/>
    <n v="1860439"/>
    <n v="0.1603297053520365"/>
    <n v="841932"/>
    <n v="-7.6752266501972644E-3"/>
    <n v="100807"/>
    <n v="26.13512786002692"/>
    <n v="394611"/>
    <n v="1413118"/>
  </r>
  <r>
    <x v="5"/>
    <x v="5"/>
    <x v="4"/>
    <x v="0"/>
    <x v="0"/>
    <x v="0"/>
    <x v="0"/>
    <x v="0"/>
    <x v="1"/>
    <x v="0"/>
    <x v="0"/>
    <x v="0"/>
    <n v="35"/>
    <n v="0"/>
    <n v="2334"/>
    <n v="6.8192219679633848E-2"/>
    <n v="980280"/>
    <n v="6.8192219679633848E-2"/>
    <n v="1869162"/>
    <n v="4.6886783173218927E-3"/>
    <n v="766009"/>
    <n v="0"/>
    <n v="122873"/>
    <n v="0.21889352921920111"/>
    <n v="421520.39999999997"/>
    <n v="1524673.4"/>
  </r>
  <r>
    <x v="5"/>
    <x v="5"/>
    <x v="5"/>
    <x v="0"/>
    <x v="0"/>
    <x v="0"/>
    <x v="0"/>
    <x v="0"/>
    <x v="1"/>
    <x v="0"/>
    <x v="0"/>
    <x v="0"/>
    <n v="34"/>
    <n v="-2.8571428571428581E-2"/>
    <n v="2526"/>
    <n v="8.2262210796915092E-2"/>
    <n v="1030608"/>
    <n v="5.1340433345574699E-2"/>
    <n v="1908884"/>
    <n v="2.125123451043831E-2"/>
    <n v="847272"/>
    <n v="0.10608622091907538"/>
    <n v="31004"/>
    <n v="-0.74767442806800521"/>
    <n v="443161.44"/>
    <n v="1504773.44"/>
  </r>
  <r>
    <x v="6"/>
    <x v="6"/>
    <x v="0"/>
    <x v="0"/>
    <x v="0"/>
    <x v="0"/>
    <x v="1"/>
    <x v="0"/>
    <x v="0"/>
    <x v="0"/>
    <x v="0"/>
    <x v="0"/>
    <n v="6"/>
    <n v="0"/>
    <n v="2236"/>
    <n v="0"/>
    <n v="160992"/>
    <n v="0"/>
    <n v="735306"/>
    <n v="0"/>
    <n v="563562"/>
    <n v="0"/>
    <n v="10752"/>
    <n v="0"/>
    <n v="69226.559999999998"/>
    <n v="240970.56"/>
  </r>
  <r>
    <x v="6"/>
    <x v="6"/>
    <x v="1"/>
    <x v="0"/>
    <x v="0"/>
    <x v="0"/>
    <x v="1"/>
    <x v="0"/>
    <x v="0"/>
    <x v="0"/>
    <x v="0"/>
    <x v="0"/>
    <n v="10"/>
    <n v="0.66666666666666674"/>
    <n v="2193"/>
    <n v="-0.02"/>
    <n v="263160"/>
    <n v="0.63461538461538458"/>
    <n v="1080510"/>
    <n v="0.47"/>
    <n v="808156"/>
    <n v="0.43401435866861138"/>
    <n v="9194"/>
    <n v="-0.14000000000000001"/>
    <n v="113158.8"/>
    <n v="385512.8"/>
  </r>
  <r>
    <x v="6"/>
    <x v="6"/>
    <x v="2"/>
    <x v="0"/>
    <x v="0"/>
    <x v="0"/>
    <x v="1"/>
    <x v="0"/>
    <x v="0"/>
    <x v="0"/>
    <x v="0"/>
    <x v="0"/>
    <n v="16"/>
    <n v="0.60000000000000009"/>
    <n v="2601"/>
    <n v="0.19"/>
    <n v="499392"/>
    <n v="0.89767441860465125"/>
    <n v="1699462"/>
    <n v="0.56999999999999995"/>
    <n v="1170266"/>
    <n v="0.44806943213933947"/>
    <n v="29804"/>
    <n v="2.2400000000000002"/>
    <n v="214738.56"/>
    <n v="743934.56"/>
  </r>
  <r>
    <x v="6"/>
    <x v="6"/>
    <x v="3"/>
    <x v="0"/>
    <x v="0"/>
    <x v="0"/>
    <x v="1"/>
    <x v="0"/>
    <x v="0"/>
    <x v="0"/>
    <x v="0"/>
    <x v="0"/>
    <n v="17"/>
    <n v="6.25E-2"/>
    <n v="2876"/>
    <n v="0.11"/>
    <n v="586704"/>
    <n v="0.17483660130718959"/>
    <n v="2036569"/>
    <n v="0.2"/>
    <n v="1399574"/>
    <n v="0.19594519536583999"/>
    <n v="50291"/>
    <n v="0.69"/>
    <n v="252282.72"/>
    <n v="889277.72"/>
  </r>
  <r>
    <x v="6"/>
    <x v="6"/>
    <x v="4"/>
    <x v="0"/>
    <x v="0"/>
    <x v="0"/>
    <x v="1"/>
    <x v="0"/>
    <x v="0"/>
    <x v="0"/>
    <x v="0"/>
    <x v="0"/>
    <n v="15"/>
    <n v="-0.11764705882352944"/>
    <n v="3528"/>
    <n v="0.23"/>
    <n v="635040"/>
    <n v="8.2385666366685761E-2"/>
    <n v="1760945"/>
    <n v="-0.14000000000000001"/>
    <n v="1117490"/>
    <n v="-0.20154990018391306"/>
    <n v="8415"/>
    <n v="-0.83"/>
    <n v="273067.2"/>
    <n v="916522.2"/>
  </r>
  <r>
    <x v="6"/>
    <x v="6"/>
    <x v="5"/>
    <x v="0"/>
    <x v="0"/>
    <x v="0"/>
    <x v="1"/>
    <x v="0"/>
    <x v="0"/>
    <x v="0"/>
    <x v="0"/>
    <x v="0"/>
    <n v="14"/>
    <n v="-6.6666666666666652E-2"/>
    <n v="3152"/>
    <n v="-0.11"/>
    <n v="529536"/>
    <n v="-0.16613756613756614"/>
    <n v="1136845"/>
    <n v="-0.35"/>
    <n v="515879"/>
    <n v="-0.53835917994791904"/>
    <n v="91430"/>
    <n v="9.8699999999999992"/>
    <n v="227700.48000000001"/>
    <n v="848666.48"/>
  </r>
  <r>
    <x v="7"/>
    <x v="7"/>
    <x v="0"/>
    <x v="0"/>
    <x v="0"/>
    <x v="0"/>
    <x v="1"/>
    <x v="0"/>
    <x v="0"/>
    <x v="0"/>
    <x v="1"/>
    <x v="0"/>
    <n v="16"/>
    <n v="0"/>
    <n v="2374"/>
    <n v="0"/>
    <n v="455808"/>
    <n v="0"/>
    <n v="8490273"/>
    <n v="0"/>
    <n v="7649314"/>
    <n v="0"/>
    <n v="385151"/>
    <n v="0"/>
    <n v="195997.44"/>
    <n v="1036956.44"/>
  </r>
  <r>
    <x v="7"/>
    <x v="7"/>
    <x v="1"/>
    <x v="0"/>
    <x v="0"/>
    <x v="0"/>
    <x v="1"/>
    <x v="0"/>
    <x v="0"/>
    <x v="0"/>
    <x v="1"/>
    <x v="0"/>
    <n v="11"/>
    <n v="-0.3125"/>
    <n v="2606"/>
    <n v="9.7725358045492872E-2"/>
    <n v="343992"/>
    <n v="-0.24531381634372362"/>
    <n v="8162394"/>
    <n v="-3.8618192842562293E-2"/>
    <n v="7461373"/>
    <n v="-2.4569654219973147E-2"/>
    <n v="357029"/>
    <n v="-7.3015518588813166E-2"/>
    <n v="147916.56"/>
    <n v="848937.56"/>
  </r>
  <r>
    <x v="7"/>
    <x v="7"/>
    <x v="2"/>
    <x v="0"/>
    <x v="0"/>
    <x v="0"/>
    <x v="1"/>
    <x v="0"/>
    <x v="0"/>
    <x v="0"/>
    <x v="1"/>
    <x v="0"/>
    <n v="12"/>
    <n v="9.0909090909090828E-2"/>
    <n v="3065"/>
    <n v="0.17613200306983881"/>
    <n v="441360"/>
    <n v="0.28305309425800607"/>
    <n v="13416624"/>
    <n v="0.64371188158768122"/>
    <n v="12623728"/>
    <n v="0.6918773528678972"/>
    <n v="351536"/>
    <n v="-1.5385304835181411E-2"/>
    <n v="189784.8"/>
    <n v="982680.8"/>
  </r>
  <r>
    <x v="7"/>
    <x v="7"/>
    <x v="3"/>
    <x v="0"/>
    <x v="0"/>
    <x v="0"/>
    <x v="1"/>
    <x v="0"/>
    <x v="0"/>
    <x v="0"/>
    <x v="1"/>
    <x v="0"/>
    <n v="13"/>
    <n v="8.3333333333333259E-2"/>
    <n v="3304"/>
    <n v="7.7977161500815573E-2"/>
    <n v="515424"/>
    <n v="0.16780859162588357"/>
    <n v="14637212"/>
    <n v="9.0975792419911272E-2"/>
    <n v="13641718"/>
    <n v="0"/>
    <n v="480070"/>
    <n v="0.36563538300486997"/>
    <n v="221632.32"/>
    <n v="1217126.32"/>
  </r>
  <r>
    <x v="7"/>
    <x v="7"/>
    <x v="4"/>
    <x v="0"/>
    <x v="0"/>
    <x v="0"/>
    <x v="1"/>
    <x v="0"/>
    <x v="0"/>
    <x v="0"/>
    <x v="1"/>
    <x v="0"/>
    <n v="14"/>
    <n v="7.6923076923076872E-2"/>
    <n v="3252"/>
    <n v="-1.57384987893463E-2"/>
    <n v="546336"/>
    <n v="5.9973924380704036E-2"/>
    <n v="13076706"/>
    <n v="-0.10661224282329169"/>
    <n v="12153567"/>
    <n v="-0.10908823947247703"/>
    <n v="376803"/>
    <n v="-0.215108213385548"/>
    <n v="234924.48"/>
    <n v="1158063.48"/>
  </r>
  <r>
    <x v="7"/>
    <x v="7"/>
    <x v="5"/>
    <x v="0"/>
    <x v="0"/>
    <x v="0"/>
    <x v="1"/>
    <x v="0"/>
    <x v="0"/>
    <x v="0"/>
    <x v="1"/>
    <x v="0"/>
    <n v="14"/>
    <n v="0"/>
    <n v="3314"/>
    <n v="1.906519065190659E-2"/>
    <n v="556752"/>
    <n v="1.9065190651906594E-2"/>
    <n v="10772482"/>
    <n v="-0.17620828976349251"/>
    <n v="10137538"/>
    <n v="-0.16587961377923044"/>
    <n v="78192"/>
    <n v="-0.79248572861681033"/>
    <n v="239403.36"/>
    <n v="874347.36"/>
  </r>
  <r>
    <x v="8"/>
    <x v="8"/>
    <x v="0"/>
    <x v="0"/>
    <x v="0"/>
    <x v="0"/>
    <x v="0"/>
    <x v="0"/>
    <x v="1"/>
    <x v="0"/>
    <x v="1"/>
    <x v="0"/>
    <n v="31"/>
    <n v="0"/>
    <n v="2507"/>
    <n v="0"/>
    <n v="932604"/>
    <n v="0"/>
    <n v="3492270"/>
    <n v="0"/>
    <n v="2377766"/>
    <n v="0"/>
    <n v="181900"/>
    <n v="0"/>
    <n v="401019.72"/>
    <n v="1515523.72"/>
  </r>
  <r>
    <x v="8"/>
    <x v="8"/>
    <x v="1"/>
    <x v="0"/>
    <x v="0"/>
    <x v="0"/>
    <x v="0"/>
    <x v="0"/>
    <x v="1"/>
    <x v="0"/>
    <x v="1"/>
    <x v="0"/>
    <n v="27"/>
    <n v="-0.12903225806451613"/>
    <n v="2557"/>
    <n v="1.9944156362185831E-2"/>
    <n v="828468"/>
    <n v="-0.11166154123293492"/>
    <n v="2865990"/>
    <n v="-0.1793332130677181"/>
    <n v="1822260"/>
    <n v="-0.23362517590040399"/>
    <n v="215262"/>
    <n v="0.18340846619021439"/>
    <n v="356241.24"/>
    <n v="1399971.24"/>
  </r>
  <r>
    <x v="8"/>
    <x v="8"/>
    <x v="2"/>
    <x v="0"/>
    <x v="0"/>
    <x v="0"/>
    <x v="0"/>
    <x v="0"/>
    <x v="1"/>
    <x v="0"/>
    <x v="1"/>
    <x v="0"/>
    <n v="27"/>
    <n v="0"/>
    <n v="2648"/>
    <n v="3.5588580367618361E-2"/>
    <n v="857952"/>
    <n v="3.5588580367618361E-2"/>
    <n v="2310000"/>
    <n v="-0.19399579202997921"/>
    <n v="1407477"/>
    <n v="-0.22762009811991701"/>
    <n v="44571"/>
    <n v="-0.79294534102628422"/>
    <n v="368919.36"/>
    <n v="1271442.3599999999"/>
  </r>
  <r>
    <x v="8"/>
    <x v="8"/>
    <x v="3"/>
    <x v="0"/>
    <x v="0"/>
    <x v="0"/>
    <x v="0"/>
    <x v="0"/>
    <x v="1"/>
    <x v="0"/>
    <x v="1"/>
    <x v="0"/>
    <n v="26"/>
    <n v="-3.703703703703709E-2"/>
    <n v="2759"/>
    <n v="4.1918429003021229E-2"/>
    <n v="860808"/>
    <n v="3.3288575584649038E-3"/>
    <n v="2365263"/>
    <n v="2.3923376623376621E-2"/>
    <n v="1512636"/>
    <n v="7.4714542404600515E-2"/>
    <n v="-8181"/>
    <n v="-1.183549841825402"/>
    <n v="370147.44"/>
    <n v="1222774.44"/>
  </r>
  <r>
    <x v="8"/>
    <x v="8"/>
    <x v="4"/>
    <x v="0"/>
    <x v="0"/>
    <x v="0"/>
    <x v="0"/>
    <x v="0"/>
    <x v="1"/>
    <x v="0"/>
    <x v="1"/>
    <x v="0"/>
    <n v="25"/>
    <n v="-3.8461538461538436E-2"/>
    <n v="3002"/>
    <n v="8.807538963392525E-2"/>
    <n v="900600"/>
    <n v="4.6226336186466765E-2"/>
    <n v="3544704"/>
    <n v="0.49865110137857821"/>
    <n v="2382018"/>
    <n v="0"/>
    <n v="262086"/>
    <n v="-33.035936927026043"/>
    <n v="387258"/>
    <n v="1549944"/>
  </r>
  <r>
    <x v="8"/>
    <x v="8"/>
    <x v="5"/>
    <x v="0"/>
    <x v="0"/>
    <x v="0"/>
    <x v="0"/>
    <x v="0"/>
    <x v="1"/>
    <x v="0"/>
    <x v="1"/>
    <x v="0"/>
    <n v="27"/>
    <n v="8.0000000000000071E-2"/>
    <n v="3258"/>
    <n v="8.5276482345103322E-2"/>
    <n v="1055592"/>
    <n v="0.17209860093271145"/>
    <n v="2697617"/>
    <n v="-0.23897256301231359"/>
    <n v="1635706"/>
    <n v="-0.31331081461181232"/>
    <n v="6319"/>
    <n v="-0.97588959349221249"/>
    <n v="453904.56"/>
    <n v="1515815.56"/>
  </r>
  <r>
    <x v="9"/>
    <x v="9"/>
    <x v="0"/>
    <x v="0"/>
    <x v="0"/>
    <x v="0"/>
    <x v="0"/>
    <x v="0"/>
    <x v="0"/>
    <x v="0"/>
    <x v="0"/>
    <x v="0"/>
    <n v="0"/>
    <n v="0"/>
    <n v="0"/>
    <n v="0"/>
    <n v="0"/>
    <n v="0"/>
    <n v="38589"/>
    <n v="0"/>
    <n v="0"/>
    <n v="0"/>
    <n v="2266"/>
    <n v="0"/>
    <n v="0"/>
    <n v="38589"/>
  </r>
  <r>
    <x v="9"/>
    <x v="9"/>
    <x v="1"/>
    <x v="0"/>
    <x v="0"/>
    <x v="0"/>
    <x v="0"/>
    <x v="0"/>
    <x v="0"/>
    <x v="0"/>
    <x v="0"/>
    <x v="0"/>
    <n v="0"/>
    <n v="0"/>
    <n v="0"/>
    <n v="0"/>
    <n v="0"/>
    <n v="0"/>
    <n v="23608"/>
    <n v="-0.38821944077327741"/>
    <n v="0"/>
    <n v="0"/>
    <n v="-31"/>
    <n v="-1.013680494263018"/>
    <n v="0"/>
    <n v="23608"/>
  </r>
  <r>
    <x v="9"/>
    <x v="9"/>
    <x v="2"/>
    <x v="0"/>
    <x v="0"/>
    <x v="0"/>
    <x v="0"/>
    <x v="0"/>
    <x v="0"/>
    <x v="0"/>
    <x v="0"/>
    <x v="0"/>
    <n v="0"/>
    <n v="0"/>
    <n v="0"/>
    <n v="0"/>
    <n v="0"/>
    <n v="0"/>
    <n v="42347"/>
    <n v="0.79375635377838027"/>
    <n v="0"/>
    <n v="0"/>
    <n v="1180"/>
    <n v="-39.064516129032263"/>
    <n v="0"/>
    <n v="42347"/>
  </r>
  <r>
    <x v="9"/>
    <x v="9"/>
    <x v="3"/>
    <x v="0"/>
    <x v="0"/>
    <x v="0"/>
    <x v="0"/>
    <x v="0"/>
    <x v="0"/>
    <x v="0"/>
    <x v="0"/>
    <x v="0"/>
    <n v="0"/>
    <n v="0"/>
    <n v="0"/>
    <n v="0"/>
    <n v="0"/>
    <n v="0"/>
    <n v="56054"/>
    <n v="0.32368290551869072"/>
    <n v="0"/>
    <n v="0"/>
    <n v="2003"/>
    <n v="0.69745762711864412"/>
    <n v="0"/>
    <n v="56054"/>
  </r>
  <r>
    <x v="9"/>
    <x v="9"/>
    <x v="4"/>
    <x v="0"/>
    <x v="0"/>
    <x v="0"/>
    <x v="0"/>
    <x v="0"/>
    <x v="0"/>
    <x v="0"/>
    <x v="0"/>
    <x v="0"/>
    <n v="0"/>
    <n v="0"/>
    <n v="0"/>
    <n v="0"/>
    <n v="0"/>
    <n v="0"/>
    <n v="77893"/>
    <n v="0.38960645092232488"/>
    <n v="0"/>
    <n v="0"/>
    <n v="-812"/>
    <n v="-1.4053919121318019"/>
    <n v="0"/>
    <n v="77893"/>
  </r>
  <r>
    <x v="9"/>
    <x v="9"/>
    <x v="5"/>
    <x v="0"/>
    <x v="0"/>
    <x v="0"/>
    <x v="0"/>
    <x v="0"/>
    <x v="0"/>
    <x v="0"/>
    <x v="0"/>
    <x v="0"/>
    <n v="0"/>
    <n v="0"/>
    <n v="0"/>
    <n v="0"/>
    <n v="0"/>
    <n v="0"/>
    <n v="86746"/>
    <n v="0.1136559125980512"/>
    <n v="0"/>
    <n v="0"/>
    <n v="7310"/>
    <n v="-10.002463054187199"/>
    <n v="0"/>
    <n v="86746"/>
  </r>
  <r>
    <x v="10"/>
    <x v="10"/>
    <x v="0"/>
    <x v="0"/>
    <x v="0"/>
    <x v="0"/>
    <x v="0"/>
    <x v="0"/>
    <x v="0"/>
    <x v="0"/>
    <x v="0"/>
    <x v="0"/>
    <n v="2"/>
    <n v="0"/>
    <n v="0"/>
    <n v="0"/>
    <n v="0"/>
    <n v="0"/>
    <n v="52181"/>
    <n v="0"/>
    <n v="0"/>
    <n v="0"/>
    <n v="-6006"/>
    <n v="0"/>
    <n v="0"/>
    <n v="52181"/>
  </r>
  <r>
    <x v="10"/>
    <x v="10"/>
    <x v="1"/>
    <x v="0"/>
    <x v="0"/>
    <x v="0"/>
    <x v="0"/>
    <x v="0"/>
    <x v="0"/>
    <x v="0"/>
    <x v="0"/>
    <x v="0"/>
    <n v="2"/>
    <n v="0"/>
    <n v="0"/>
    <n v="0"/>
    <n v="0"/>
    <n v="0"/>
    <n v="120421"/>
    <n v="1.30775569651789"/>
    <n v="0"/>
    <n v="0"/>
    <n v="44975"/>
    <n v="-8.4883449883449877"/>
    <n v="0"/>
    <n v="120421"/>
  </r>
  <r>
    <x v="10"/>
    <x v="10"/>
    <x v="2"/>
    <x v="0"/>
    <x v="0"/>
    <x v="0"/>
    <x v="0"/>
    <x v="0"/>
    <x v="0"/>
    <x v="0"/>
    <x v="0"/>
    <x v="0"/>
    <n v="8"/>
    <n v="3"/>
    <n v="1201"/>
    <n v="0"/>
    <n v="115296"/>
    <n v="0"/>
    <n v="470300"/>
    <n v="2.9054649936472869"/>
    <n v="307111"/>
    <n v="0"/>
    <n v="47893"/>
    <n v="6.4880489160644705E-2"/>
    <n v="49577.279999999999"/>
    <n v="212766.28"/>
  </r>
  <r>
    <x v="10"/>
    <x v="10"/>
    <x v="3"/>
    <x v="0"/>
    <x v="0"/>
    <x v="0"/>
    <x v="0"/>
    <x v="0"/>
    <x v="0"/>
    <x v="0"/>
    <x v="0"/>
    <x v="0"/>
    <n v="15"/>
    <n v="0.875"/>
    <n v="1353"/>
    <n v="0.1265611990008326"/>
    <n v="243540"/>
    <n v="1.1123022481265612"/>
    <n v="733653"/>
    <n v="0.55996810546459708"/>
    <n v="462467"/>
    <n v="0.50586270110806852"/>
    <n v="27646"/>
    <n v="-0.42275489111143588"/>
    <n v="104722.2"/>
    <n v="375908.2"/>
  </r>
  <r>
    <x v="10"/>
    <x v="10"/>
    <x v="4"/>
    <x v="0"/>
    <x v="0"/>
    <x v="0"/>
    <x v="0"/>
    <x v="0"/>
    <x v="0"/>
    <x v="0"/>
    <x v="0"/>
    <x v="0"/>
    <n v="15"/>
    <n v="0"/>
    <n v="1957"/>
    <n v="0.44641537324464159"/>
    <n v="352260"/>
    <n v="0.44641537324464164"/>
    <n v="999514"/>
    <n v="0.36237976263983113"/>
    <n v="665696"/>
    <n v="0"/>
    <n v="-18442"/>
    <n v="-1.667076611444694"/>
    <n v="151471.79999999999"/>
    <n v="485289.8"/>
  </r>
  <r>
    <x v="10"/>
    <x v="10"/>
    <x v="5"/>
    <x v="0"/>
    <x v="0"/>
    <x v="0"/>
    <x v="0"/>
    <x v="0"/>
    <x v="0"/>
    <x v="0"/>
    <x v="0"/>
    <x v="0"/>
    <n v="18"/>
    <n v="0.19999999999999996"/>
    <n v="2075"/>
    <n v="6.0296371997956122E-2"/>
    <n v="448200"/>
    <n v="0.27235564639754717"/>
    <n v="853822"/>
    <n v="-0.1457628407406"/>
    <n v="500089"/>
    <n v="-0.2487727130702303"/>
    <n v="-94467"/>
    <n v="4.1223836894046197"/>
    <n v="192726"/>
    <n v="546459"/>
  </r>
  <r>
    <x v="11"/>
    <x v="11"/>
    <x v="0"/>
    <x v="0"/>
    <x v="0"/>
    <x v="0"/>
    <x v="0"/>
    <x v="0"/>
    <x v="0"/>
    <x v="0"/>
    <x v="0"/>
    <x v="0"/>
    <n v="6"/>
    <n v="0"/>
    <n v="1039"/>
    <n v="0"/>
    <n v="74808"/>
    <n v="0"/>
    <n v="134293"/>
    <n v="0"/>
    <n v="74589"/>
    <n v="0"/>
    <n v="-15104"/>
    <n v="0"/>
    <n v="32167.439999999999"/>
    <n v="91871.44"/>
  </r>
  <r>
    <x v="11"/>
    <x v="11"/>
    <x v="1"/>
    <x v="0"/>
    <x v="0"/>
    <x v="0"/>
    <x v="0"/>
    <x v="0"/>
    <x v="0"/>
    <x v="0"/>
    <x v="0"/>
    <x v="0"/>
    <n v="3"/>
    <n v="-0.5"/>
    <n v="1263"/>
    <n v="0.2155919153031762"/>
    <n v="45468"/>
    <n v="-0.39220404234841189"/>
    <n v="297045"/>
    <n v="1.2119172257675379"/>
    <n v="227606"/>
    <n v="2.0514687152261057"/>
    <n v="23971"/>
    <n v="-2.5870630296610169"/>
    <n v="19551.239999999998"/>
    <n v="88990.239999999991"/>
  </r>
  <r>
    <x v="11"/>
    <x v="11"/>
    <x v="2"/>
    <x v="0"/>
    <x v="0"/>
    <x v="0"/>
    <x v="0"/>
    <x v="0"/>
    <x v="0"/>
    <x v="0"/>
    <x v="0"/>
    <x v="0"/>
    <n v="1"/>
    <n v="-0.66666666666666674"/>
    <n v="0"/>
    <n v="0"/>
    <n v="0"/>
    <n v="-1"/>
    <n v="924135"/>
    <n v="2.11109427864465"/>
    <n v="0"/>
    <n v="0"/>
    <n v="176024"/>
    <n v="6.3432063743690286"/>
    <n v="0"/>
    <n v="924135"/>
  </r>
  <r>
    <x v="11"/>
    <x v="11"/>
    <x v="3"/>
    <x v="0"/>
    <x v="0"/>
    <x v="0"/>
    <x v="0"/>
    <x v="0"/>
    <x v="0"/>
    <x v="0"/>
    <x v="0"/>
    <x v="0"/>
    <n v="1"/>
    <n v="0"/>
    <n v="0"/>
    <n v="0"/>
    <n v="0"/>
    <n v="0"/>
    <n v="702426"/>
    <n v="-0.23990975344511359"/>
    <n v="0"/>
    <n v="0"/>
    <n v="75777"/>
    <n v="-0.56950756714993411"/>
    <n v="0"/>
    <n v="702426"/>
  </r>
  <r>
    <x v="11"/>
    <x v="11"/>
    <x v="4"/>
    <x v="0"/>
    <x v="0"/>
    <x v="0"/>
    <x v="0"/>
    <x v="0"/>
    <x v="0"/>
    <x v="0"/>
    <x v="0"/>
    <x v="0"/>
    <n v="1"/>
    <n v="0"/>
    <n v="0"/>
    <n v="0"/>
    <n v="0"/>
    <n v="0"/>
    <n v="682575"/>
    <n v="-2.8260628165813869E-2"/>
    <n v="0"/>
    <n v="0"/>
    <n v="66010"/>
    <n v="-0.12889135225728121"/>
    <n v="0"/>
    <n v="682575"/>
  </r>
  <r>
    <x v="11"/>
    <x v="11"/>
    <x v="5"/>
    <x v="0"/>
    <x v="0"/>
    <x v="0"/>
    <x v="0"/>
    <x v="0"/>
    <x v="0"/>
    <x v="0"/>
    <x v="0"/>
    <x v="0"/>
    <n v="1"/>
    <n v="0"/>
    <n v="0"/>
    <n v="0"/>
    <n v="0"/>
    <n v="0"/>
    <n v="0"/>
    <n v="0"/>
    <n v="0"/>
    <n v="0"/>
    <n v="0"/>
    <n v="0"/>
    <n v="0"/>
    <n v="0"/>
  </r>
  <r>
    <x v="12"/>
    <x v="12"/>
    <x v="0"/>
    <x v="0"/>
    <x v="0"/>
    <x v="0"/>
    <x v="0"/>
    <x v="0"/>
    <x v="0"/>
    <x v="1"/>
    <x v="1"/>
    <x v="0"/>
    <n v="33"/>
    <n v="0"/>
    <n v="1914"/>
    <n v="0"/>
    <n v="757944"/>
    <n v="0"/>
    <n v="3084434"/>
    <n v="0"/>
    <n v="2276594"/>
    <n v="0"/>
    <n v="49896"/>
    <n v="0"/>
    <n v="325915.92"/>
    <n v="1133755.92"/>
  </r>
  <r>
    <x v="12"/>
    <x v="12"/>
    <x v="1"/>
    <x v="0"/>
    <x v="0"/>
    <x v="0"/>
    <x v="0"/>
    <x v="0"/>
    <x v="0"/>
    <x v="1"/>
    <x v="1"/>
    <x v="0"/>
    <n v="21"/>
    <n v="-0.36363636363636365"/>
    <n v="2264"/>
    <n v="0.18"/>
    <n v="570528"/>
    <n v="-0.24726892751971119"/>
    <n v="1249050"/>
    <n v="-0.6"/>
    <n v="747784"/>
    <n v="-0.67153387911942142"/>
    <n v="-69262"/>
    <n v="-2.39"/>
    <n v="245327.04"/>
    <n v="746593.04"/>
  </r>
  <r>
    <x v="12"/>
    <x v="12"/>
    <x v="2"/>
    <x v="0"/>
    <x v="0"/>
    <x v="0"/>
    <x v="0"/>
    <x v="0"/>
    <x v="0"/>
    <x v="1"/>
    <x v="1"/>
    <x v="0"/>
    <n v="22"/>
    <n v="4.7619047619047672E-2"/>
    <n v="2355"/>
    <n v="0.04"/>
    <n v="621720"/>
    <n v="8.9727410398788399E-2"/>
    <n v="1374583"/>
    <n v="0.1"/>
    <n v="749439"/>
    <n v="2.2132059525210579E-3"/>
    <n v="3424"/>
    <n v="1.05"/>
    <n v="267339.59999999998"/>
    <n v="892483.6"/>
  </r>
  <r>
    <x v="12"/>
    <x v="12"/>
    <x v="3"/>
    <x v="0"/>
    <x v="0"/>
    <x v="0"/>
    <x v="0"/>
    <x v="0"/>
    <x v="0"/>
    <x v="1"/>
    <x v="1"/>
    <x v="0"/>
    <n v="23"/>
    <n v="4.5454545454545414E-2"/>
    <n v="2689"/>
    <n v="0.14000000000000001"/>
    <n v="742164"/>
    <n v="0.19372707971434089"/>
    <n v="1467780"/>
    <n v="7.0000000000000007E-2"/>
    <n v="725193"/>
    <n v="-3.235219944518497E-2"/>
    <n v="423"/>
    <n v="-0.88"/>
    <n v="319130.52"/>
    <n v="1061717.52"/>
  </r>
  <r>
    <x v="12"/>
    <x v="12"/>
    <x v="4"/>
    <x v="0"/>
    <x v="0"/>
    <x v="0"/>
    <x v="0"/>
    <x v="0"/>
    <x v="0"/>
    <x v="1"/>
    <x v="1"/>
    <x v="0"/>
    <n v="18"/>
    <n v="-0.21739130434782605"/>
    <n v="2843"/>
    <n v="0.06"/>
    <n v="614088"/>
    <n v="-0.17257102203825569"/>
    <n v="1658335"/>
    <n v="0.13"/>
    <n v="1042758"/>
    <n v="0.43790411655931583"/>
    <n v="1489"/>
    <n v="2.52"/>
    <n v="264057.83999999997"/>
    <n v="879634.84"/>
  </r>
  <r>
    <x v="12"/>
    <x v="12"/>
    <x v="5"/>
    <x v="0"/>
    <x v="0"/>
    <x v="0"/>
    <x v="0"/>
    <x v="0"/>
    <x v="0"/>
    <x v="1"/>
    <x v="1"/>
    <x v="0"/>
    <n v="19"/>
    <n v="5.555555555555558E-2"/>
    <n v="2886"/>
    <n v="0.02"/>
    <n v="658008"/>
    <n v="7.152069410247397E-2"/>
    <n v="1526769"/>
    <n v="-0.08"/>
    <n v="916541"/>
    <n v="-0.12104150723370144"/>
    <n v="-47780"/>
    <n v="-33.090000000000003"/>
    <n v="282943.44"/>
    <n v="893171.44"/>
  </r>
  <r>
    <x v="13"/>
    <x v="13"/>
    <x v="0"/>
    <x v="0"/>
    <x v="0"/>
    <x v="0"/>
    <x v="0"/>
    <x v="0"/>
    <x v="0"/>
    <x v="1"/>
    <x v="1"/>
    <x v="0"/>
    <n v="7"/>
    <n v="0"/>
    <n v="1744"/>
    <n v="0"/>
    <n v="146496"/>
    <n v="0"/>
    <n v="231606"/>
    <n v="0"/>
    <n v="142244"/>
    <n v="0"/>
    <n v="-57134"/>
    <n v="0"/>
    <n v="62993.279999999999"/>
    <n v="152355.28"/>
  </r>
  <r>
    <x v="13"/>
    <x v="13"/>
    <x v="1"/>
    <x v="0"/>
    <x v="0"/>
    <x v="0"/>
    <x v="0"/>
    <x v="0"/>
    <x v="0"/>
    <x v="1"/>
    <x v="1"/>
    <x v="0"/>
    <n v="6"/>
    <n v="-0.1428571428571429"/>
    <n v="1741"/>
    <n v="0"/>
    <n v="125352"/>
    <n v="-0.14433158584534733"/>
    <n v="429939"/>
    <n v="0.86"/>
    <n v="200151"/>
    <n v="0.40709625713562603"/>
    <n v="104436"/>
    <n v="2.83"/>
    <n v="53901.36"/>
    <n v="283689.36"/>
  </r>
  <r>
    <x v="13"/>
    <x v="13"/>
    <x v="2"/>
    <x v="0"/>
    <x v="0"/>
    <x v="0"/>
    <x v="0"/>
    <x v="0"/>
    <x v="0"/>
    <x v="1"/>
    <x v="1"/>
    <x v="0"/>
    <n v="8"/>
    <n v="0.33333333333333326"/>
    <n v="2459"/>
    <n v="0.41"/>
    <n v="236064"/>
    <n v="0.88320888378326634"/>
    <n v="620813"/>
    <n v="0.44"/>
    <n v="287487"/>
    <n v="0.4363505553307252"/>
    <n v="97262"/>
    <n v="-7.0000000000000007E-2"/>
    <n v="101507.52"/>
    <n v="434833.52"/>
  </r>
  <r>
    <x v="13"/>
    <x v="13"/>
    <x v="3"/>
    <x v="0"/>
    <x v="0"/>
    <x v="0"/>
    <x v="0"/>
    <x v="0"/>
    <x v="0"/>
    <x v="1"/>
    <x v="1"/>
    <x v="0"/>
    <n v="9"/>
    <n v="0.125"/>
    <n v="2996"/>
    <n v="0.22"/>
    <n v="323568"/>
    <n v="0.37067913786091911"/>
    <n v="922751"/>
    <n v="0.49"/>
    <n v="621784"/>
    <n v="1.162824753814955"/>
    <n v="-22601"/>
    <n v="-1.23"/>
    <n v="139134.24"/>
    <n v="440101.24"/>
  </r>
  <r>
    <x v="13"/>
    <x v="13"/>
    <x v="4"/>
    <x v="0"/>
    <x v="0"/>
    <x v="0"/>
    <x v="0"/>
    <x v="0"/>
    <x v="0"/>
    <x v="1"/>
    <x v="1"/>
    <x v="0"/>
    <n v="11"/>
    <n v="0.22222222222222232"/>
    <n v="3036"/>
    <n v="0.01"/>
    <n v="400752"/>
    <n v="0.23854027592345339"/>
    <n v="1018276"/>
    <n v="0.1"/>
    <n v="554131"/>
    <n v="-0.1088046652856941"/>
    <n v="63393"/>
    <n v="3.8"/>
    <n v="172323.36"/>
    <n v="636468.36"/>
  </r>
  <r>
    <x v="13"/>
    <x v="13"/>
    <x v="5"/>
    <x v="0"/>
    <x v="0"/>
    <x v="0"/>
    <x v="0"/>
    <x v="0"/>
    <x v="0"/>
    <x v="1"/>
    <x v="1"/>
    <x v="0"/>
    <n v="11"/>
    <n v="0"/>
    <n v="3512"/>
    <n v="0.16"/>
    <n v="463584"/>
    <n v="0.15678524374176539"/>
    <n v="1566507"/>
    <n v="0.54"/>
    <n v="999078"/>
    <n v="0.8029635591583939"/>
    <n v="103845"/>
    <n v="0.64"/>
    <n v="199341.12"/>
    <n v="766770.12"/>
  </r>
  <r>
    <x v="14"/>
    <x v="14"/>
    <x v="0"/>
    <x v="0"/>
    <x v="0"/>
    <x v="0"/>
    <x v="1"/>
    <x v="0"/>
    <x v="0"/>
    <x v="0"/>
    <x v="1"/>
    <x v="0"/>
    <n v="28"/>
    <n v="0"/>
    <n v="2172"/>
    <n v="0"/>
    <n v="729792"/>
    <n v="0"/>
    <n v="12323796"/>
    <n v="0"/>
    <n v="11322500"/>
    <n v="0"/>
    <n v="271504"/>
    <n v="0"/>
    <n v="313810.56"/>
    <n v="1315106.56"/>
  </r>
  <r>
    <x v="14"/>
    <x v="14"/>
    <x v="1"/>
    <x v="0"/>
    <x v="0"/>
    <x v="0"/>
    <x v="1"/>
    <x v="0"/>
    <x v="0"/>
    <x v="0"/>
    <x v="1"/>
    <x v="0"/>
    <n v="27"/>
    <n v="-3.5714285714285698E-2"/>
    <n v="2392"/>
    <n v="0.1012891344383058"/>
    <n v="775008"/>
    <n v="6.1957379636937704E-2"/>
    <n v="12436858"/>
    <n v="9.1742836379309356E-3"/>
    <n v="11411693"/>
    <n v="7.8775005519982066E-3"/>
    <n v="250157"/>
    <n v="-7.862499263362599E-2"/>
    <n v="333253.44"/>
    <n v="1358418.44"/>
  </r>
  <r>
    <x v="14"/>
    <x v="14"/>
    <x v="2"/>
    <x v="0"/>
    <x v="0"/>
    <x v="0"/>
    <x v="1"/>
    <x v="0"/>
    <x v="0"/>
    <x v="0"/>
    <x v="1"/>
    <x v="0"/>
    <n v="32"/>
    <n v="0.18518518518518512"/>
    <n v="2540"/>
    <n v="6.1872909698996732E-2"/>
    <n v="975360"/>
    <n v="0.2585160411247367"/>
    <n v="16776261"/>
    <n v="0.34891473393038658"/>
    <n v="15384080"/>
    <n v="0.34809795531653376"/>
    <n v="416821"/>
    <n v="0.66623760278545063"/>
    <n v="419404.79999999999"/>
    <n v="1811585.8"/>
  </r>
  <r>
    <x v="14"/>
    <x v="14"/>
    <x v="3"/>
    <x v="0"/>
    <x v="0"/>
    <x v="0"/>
    <x v="1"/>
    <x v="0"/>
    <x v="0"/>
    <x v="0"/>
    <x v="1"/>
    <x v="0"/>
    <n v="37"/>
    <n v="0.15625"/>
    <n v="2999"/>
    <n v="0.18070866141732281"/>
    <n v="1331556"/>
    <n v="0.36519438976377949"/>
    <n v="21224833"/>
    <n v="0.26517064797692402"/>
    <n v="19467482"/>
    <n v="0.2654303669767708"/>
    <n v="425795"/>
    <n v="2.1529625426741861E-2"/>
    <n v="572569.07999999996"/>
    <n v="2329920.08"/>
  </r>
  <r>
    <x v="14"/>
    <x v="14"/>
    <x v="4"/>
    <x v="0"/>
    <x v="0"/>
    <x v="0"/>
    <x v="1"/>
    <x v="0"/>
    <x v="0"/>
    <x v="0"/>
    <x v="1"/>
    <x v="0"/>
    <n v="38"/>
    <n v="2.7027027027026973E-2"/>
    <n v="3216"/>
    <n v="7.2357452484161477E-2"/>
    <n v="1466496"/>
    <n v="0.10134008633508462"/>
    <n v="25811839"/>
    <n v="0.21611505730103969"/>
    <n v="23939519"/>
    <n v="0.22971830666133397"/>
    <n v="405824"/>
    <n v="-4.690285231155833E-2"/>
    <n v="630593.28000000003"/>
    <n v="2502913.2800000003"/>
  </r>
  <r>
    <x v="14"/>
    <x v="14"/>
    <x v="5"/>
    <x v="0"/>
    <x v="0"/>
    <x v="0"/>
    <x v="1"/>
    <x v="0"/>
    <x v="0"/>
    <x v="0"/>
    <x v="1"/>
    <x v="0"/>
    <n v="46"/>
    <n v="0.21052631578947367"/>
    <n v="3398"/>
    <n v="5.659203980099492E-2"/>
    <n v="1875696"/>
    <n v="0.27903246923278346"/>
    <n v="36438837"/>
    <n v="0.41171022335913388"/>
    <n v="34043820"/>
    <n v="0.42207619125513762"/>
    <n v="519321"/>
    <n v="0.27967049755559059"/>
    <n v="806549.28"/>
    <n v="3201566.2800000003"/>
  </r>
  <r>
    <x v="15"/>
    <x v="15"/>
    <x v="0"/>
    <x v="0"/>
    <x v="0"/>
    <x v="0"/>
    <x v="0"/>
    <x v="0"/>
    <x v="0"/>
    <x v="0"/>
    <x v="0"/>
    <x v="0"/>
    <n v="7"/>
    <n v="0"/>
    <n v="1237"/>
    <n v="0"/>
    <n v="103908"/>
    <n v="0"/>
    <n v="316051"/>
    <n v="0"/>
    <n v="153556"/>
    <n v="0"/>
    <n v="58587"/>
    <n v="0"/>
    <n v="44680.44"/>
    <n v="207175.44"/>
  </r>
  <r>
    <x v="15"/>
    <x v="15"/>
    <x v="1"/>
    <x v="0"/>
    <x v="0"/>
    <x v="0"/>
    <x v="0"/>
    <x v="0"/>
    <x v="0"/>
    <x v="0"/>
    <x v="0"/>
    <x v="0"/>
    <n v="9"/>
    <n v="0.28571428571428581"/>
    <n v="1252"/>
    <n v="0.01"/>
    <n v="135216"/>
    <n v="0.30130500057743381"/>
    <n v="516299"/>
    <n v="0.63"/>
    <n v="236260"/>
    <n v="0.53859178410482178"/>
    <n v="144823"/>
    <n v="1.47"/>
    <n v="58142.879999999997"/>
    <n v="338181.88"/>
  </r>
  <r>
    <x v="15"/>
    <x v="15"/>
    <x v="2"/>
    <x v="0"/>
    <x v="0"/>
    <x v="0"/>
    <x v="0"/>
    <x v="0"/>
    <x v="0"/>
    <x v="0"/>
    <x v="0"/>
    <x v="0"/>
    <n v="20"/>
    <n v="1.2222222222222223"/>
    <n v="1343"/>
    <n v="7.0000000000000007E-2"/>
    <n v="322320"/>
    <n v="1.3837415690450836"/>
    <n v="716566"/>
    <n v="0.39"/>
    <n v="319916"/>
    <n v="0.35408448319647845"/>
    <n v="74330"/>
    <n v="-0.49"/>
    <n v="138597.6"/>
    <n v="535247.6"/>
  </r>
  <r>
    <x v="15"/>
    <x v="15"/>
    <x v="3"/>
    <x v="0"/>
    <x v="0"/>
    <x v="0"/>
    <x v="0"/>
    <x v="0"/>
    <x v="0"/>
    <x v="0"/>
    <x v="0"/>
    <x v="0"/>
    <n v="24"/>
    <n v="0.19999999999999996"/>
    <n v="1618"/>
    <n v="0.2"/>
    <n v="465984"/>
    <n v="0.4457185405807893"/>
    <n v="716566"/>
    <n v="0.39"/>
    <n v="47327"/>
    <n v="-0.85206429187661759"/>
    <n v="203255"/>
    <n v="1.73"/>
    <n v="200373.12"/>
    <n v="869612.12"/>
  </r>
  <r>
    <x v="15"/>
    <x v="15"/>
    <x v="4"/>
    <x v="0"/>
    <x v="0"/>
    <x v="0"/>
    <x v="0"/>
    <x v="0"/>
    <x v="0"/>
    <x v="0"/>
    <x v="0"/>
    <x v="0"/>
    <n v="30"/>
    <n v="0.25"/>
    <n v="1764"/>
    <n v="0.09"/>
    <n v="635040"/>
    <n v="0.36279357231149567"/>
    <n v="1278169"/>
    <n v="0.2"/>
    <n v="487348"/>
    <n v="9.297462336509815"/>
    <n v="155781"/>
    <n v="-0.23"/>
    <n v="273067.2"/>
    <n v="1063888.2"/>
  </r>
  <r>
    <x v="15"/>
    <x v="15"/>
    <x v="5"/>
    <x v="0"/>
    <x v="0"/>
    <x v="0"/>
    <x v="0"/>
    <x v="0"/>
    <x v="0"/>
    <x v="0"/>
    <x v="0"/>
    <x v="0"/>
    <n v="30"/>
    <n v="0"/>
    <n v="2000"/>
    <n v="0.13"/>
    <n v="720000"/>
    <n v="0.13378684807256236"/>
    <n v="1258533"/>
    <n v="-0.02"/>
    <n v="533550"/>
    <n v="9.4802892389011628E-2"/>
    <n v="4983"/>
    <n v="-0.97"/>
    <n v="309600"/>
    <n v="1034583"/>
  </r>
  <r>
    <x v="16"/>
    <x v="16"/>
    <x v="0"/>
    <x v="0"/>
    <x v="0"/>
    <x v="0"/>
    <x v="0"/>
    <x v="1"/>
    <x v="0"/>
    <x v="0"/>
    <x v="1"/>
    <x v="0"/>
    <n v="6"/>
    <n v="0"/>
    <n v="1347"/>
    <n v="0"/>
    <n v="96984"/>
    <n v="0"/>
    <n v="919681"/>
    <n v="0"/>
    <n v="787872"/>
    <n v="0"/>
    <n v="34825"/>
    <n v="0"/>
    <n v="41703.120000000003"/>
    <n v="173512.12"/>
  </r>
  <r>
    <x v="16"/>
    <x v="16"/>
    <x v="1"/>
    <x v="0"/>
    <x v="0"/>
    <x v="0"/>
    <x v="0"/>
    <x v="1"/>
    <x v="0"/>
    <x v="0"/>
    <x v="1"/>
    <x v="0"/>
    <n v="6"/>
    <n v="0"/>
    <n v="1849"/>
    <n v="0.37"/>
    <n v="133128"/>
    <n v="0.37268002969561986"/>
    <n v="957226"/>
    <n v="0.04"/>
    <n v="786325"/>
    <n v="-1.9635169164534672E-3"/>
    <n v="37773"/>
    <n v="0.08"/>
    <n v="57245.04"/>
    <n v="228146.04"/>
  </r>
  <r>
    <x v="16"/>
    <x v="16"/>
    <x v="2"/>
    <x v="0"/>
    <x v="0"/>
    <x v="0"/>
    <x v="0"/>
    <x v="1"/>
    <x v="0"/>
    <x v="0"/>
    <x v="1"/>
    <x v="0"/>
    <n v="7"/>
    <n v="0.16666666666666674"/>
    <n v="1704"/>
    <n v="-0.08"/>
    <n v="143136"/>
    <n v="7.5175770686857657E-2"/>
    <n v="1539976"/>
    <n v="0.61"/>
    <n v="1350432"/>
    <n v="0.71739675070740461"/>
    <n v="46408"/>
    <n v="0.23"/>
    <n v="61548.479999999996"/>
    <n v="251092.47999999998"/>
  </r>
  <r>
    <x v="16"/>
    <x v="16"/>
    <x v="3"/>
    <x v="0"/>
    <x v="0"/>
    <x v="0"/>
    <x v="0"/>
    <x v="1"/>
    <x v="0"/>
    <x v="0"/>
    <x v="1"/>
    <x v="0"/>
    <n v="7"/>
    <n v="0"/>
    <n v="1886"/>
    <n v="0.11"/>
    <n v="158424"/>
    <n v="0.10680751173708924"/>
    <n v="1186957"/>
    <n v="-0.23"/>
    <n v="980127"/>
    <n v="-0.27421225207933464"/>
    <n v="48406"/>
    <n v="0.04"/>
    <n v="68122.319999999992"/>
    <n v="274952.32000000001"/>
  </r>
  <r>
    <x v="16"/>
    <x v="16"/>
    <x v="4"/>
    <x v="0"/>
    <x v="0"/>
    <x v="0"/>
    <x v="0"/>
    <x v="1"/>
    <x v="0"/>
    <x v="0"/>
    <x v="1"/>
    <x v="0"/>
    <n v="7"/>
    <n v="0"/>
    <n v="2051"/>
    <n v="0.09"/>
    <n v="172284"/>
    <n v="8.7486744432661689E-2"/>
    <n v="1069493"/>
    <n v="-0.1"/>
    <n v="836255"/>
    <n v="-0.14678914059096426"/>
    <n v="60954"/>
    <n v="0.26"/>
    <n v="74082.12"/>
    <n v="307320.12"/>
  </r>
  <r>
    <x v="16"/>
    <x v="16"/>
    <x v="5"/>
    <x v="0"/>
    <x v="0"/>
    <x v="0"/>
    <x v="0"/>
    <x v="1"/>
    <x v="0"/>
    <x v="0"/>
    <x v="1"/>
    <x v="0"/>
    <n v="7"/>
    <n v="0"/>
    <n v="2167"/>
    <n v="0.06"/>
    <n v="182028"/>
    <n v="5.6557776694295514E-2"/>
    <n v="848557"/>
    <n v="-0.21"/>
    <n v="626323"/>
    <n v="-0.25103825986092754"/>
    <n v="40206"/>
    <n v="-0.34"/>
    <n v="78272.039999999994"/>
    <n v="300506.03999999998"/>
  </r>
  <r>
    <x v="17"/>
    <x v="17"/>
    <x v="0"/>
    <x v="0"/>
    <x v="0"/>
    <x v="0"/>
    <x v="0"/>
    <x v="0"/>
    <x v="0"/>
    <x v="1"/>
    <x v="1"/>
    <x v="0"/>
    <n v="21"/>
    <n v="0"/>
    <n v="1975"/>
    <n v="0"/>
    <n v="497700"/>
    <n v="0"/>
    <n v="2883332"/>
    <n v="0"/>
    <n v="2291007"/>
    <n v="0"/>
    <n v="94625"/>
    <n v="0"/>
    <n v="214011"/>
    <n v="806336"/>
  </r>
  <r>
    <x v="17"/>
    <x v="17"/>
    <x v="1"/>
    <x v="0"/>
    <x v="0"/>
    <x v="0"/>
    <x v="0"/>
    <x v="0"/>
    <x v="0"/>
    <x v="1"/>
    <x v="1"/>
    <x v="0"/>
    <n v="21"/>
    <n v="0"/>
    <n v="1912"/>
    <n v="-3.1898734177215227E-2"/>
    <n v="481824"/>
    <n v="-3.1898734177215227E-2"/>
    <n v="2684538"/>
    <n v="-6.8945927836267185E-2"/>
    <n v="1997675"/>
    <n v="-0.12803627400527362"/>
    <n v="205039"/>
    <n v="1.1668586525759581"/>
    <n v="207184.32"/>
    <n v="894047.32000000007"/>
  </r>
  <r>
    <x v="17"/>
    <x v="17"/>
    <x v="2"/>
    <x v="0"/>
    <x v="0"/>
    <x v="0"/>
    <x v="0"/>
    <x v="0"/>
    <x v="0"/>
    <x v="1"/>
    <x v="1"/>
    <x v="0"/>
    <n v="26"/>
    <n v="0.23809523809523814"/>
    <n v="2050"/>
    <n v="7.2175732217573119E-2"/>
    <n v="639600"/>
    <n v="0.32745566845985263"/>
    <n v="3293875"/>
    <n v="0.22698021037511859"/>
    <n v="2434812"/>
    <n v="0.21882288159985985"/>
    <n v="219463"/>
    <n v="7.0347592409248927E-2"/>
    <n v="275028"/>
    <n v="1134091"/>
  </r>
  <r>
    <x v="17"/>
    <x v="17"/>
    <x v="3"/>
    <x v="0"/>
    <x v="0"/>
    <x v="0"/>
    <x v="0"/>
    <x v="0"/>
    <x v="0"/>
    <x v="1"/>
    <x v="1"/>
    <x v="0"/>
    <n v="27"/>
    <n v="3.8461538461538547E-2"/>
    <n v="2306"/>
    <n v="0.1248780487804879"/>
    <n v="747144"/>
    <n v="0.1681425891181989"/>
    <n v="3529291"/>
    <n v="7.1470836021403361E-2"/>
    <n v="2500174"/>
    <n v="2.6844783087975665E-2"/>
    <n v="281973"/>
    <n v="0.28483161170675692"/>
    <n v="321271.92"/>
    <n v="1350388.92"/>
  </r>
  <r>
    <x v="17"/>
    <x v="17"/>
    <x v="4"/>
    <x v="0"/>
    <x v="0"/>
    <x v="0"/>
    <x v="0"/>
    <x v="0"/>
    <x v="0"/>
    <x v="1"/>
    <x v="1"/>
    <x v="0"/>
    <n v="26"/>
    <n v="-3.703703703703709E-2"/>
    <n v="2557"/>
    <n v="0.1088464874241111"/>
    <n v="797784"/>
    <n v="6.777809900099574E-2"/>
    <n v="4148973"/>
    <n v="0.17558257451709139"/>
    <n v="3130484"/>
    <n v="0.25210645339084392"/>
    <n v="220705"/>
    <n v="-0.21728321505959791"/>
    <n v="343047.12"/>
    <n v="1361536.12"/>
  </r>
  <r>
    <x v="17"/>
    <x v="17"/>
    <x v="5"/>
    <x v="0"/>
    <x v="0"/>
    <x v="0"/>
    <x v="0"/>
    <x v="0"/>
    <x v="0"/>
    <x v="1"/>
    <x v="1"/>
    <x v="0"/>
    <n v="24"/>
    <n v="-7.6923076923076872E-2"/>
    <n v="2745"/>
    <n v="7.3523660539694946E-2"/>
    <n v="790560"/>
    <n v="-9.0550825787431011E-3"/>
    <n v="3374832"/>
    <n v="-0.1865861744581129"/>
    <n v="2302493"/>
    <n v="-0.26449296658280319"/>
    <n v="281779"/>
    <n v="0.2767223216510728"/>
    <n v="339940.8"/>
    <n v="1412279.8"/>
  </r>
  <r>
    <x v="18"/>
    <x v="18"/>
    <x v="0"/>
    <x v="0"/>
    <x v="0"/>
    <x v="0"/>
    <x v="0"/>
    <x v="0"/>
    <x v="0"/>
    <x v="0"/>
    <x v="0"/>
    <x v="0"/>
    <n v="4"/>
    <n v="0"/>
    <n v="825"/>
    <n v="0"/>
    <n v="39600"/>
    <n v="0"/>
    <n v="76508"/>
    <n v="0"/>
    <n v="39617"/>
    <n v="0"/>
    <n v="-2709"/>
    <n v="0"/>
    <n v="17028"/>
    <n v="53919"/>
  </r>
  <r>
    <x v="18"/>
    <x v="18"/>
    <x v="1"/>
    <x v="0"/>
    <x v="0"/>
    <x v="0"/>
    <x v="0"/>
    <x v="0"/>
    <x v="0"/>
    <x v="0"/>
    <x v="0"/>
    <x v="0"/>
    <n v="6"/>
    <n v="0.5"/>
    <n v="915"/>
    <n v="0.1090909090909091"/>
    <n v="65880"/>
    <n v="0.66363636363636358"/>
    <n v="111249"/>
    <n v="0.45408323312594773"/>
    <n v="45369"/>
    <n v="0.14519019612792494"/>
    <n v="0"/>
    <n v="-1"/>
    <n v="28328.399999999998"/>
    <n v="94208.4"/>
  </r>
  <r>
    <x v="18"/>
    <x v="18"/>
    <x v="2"/>
    <x v="0"/>
    <x v="0"/>
    <x v="0"/>
    <x v="0"/>
    <x v="0"/>
    <x v="0"/>
    <x v="0"/>
    <x v="0"/>
    <x v="0"/>
    <n v="8"/>
    <n v="0.33333333333333326"/>
    <n v="1144"/>
    <n v="0.25027322404371583"/>
    <n v="109824"/>
    <n v="0.6670309653916211"/>
    <n v="205766"/>
    <n v="0.84959864807773555"/>
    <n v="93280"/>
    <n v="1.0560294474200447"/>
    <n v="2662"/>
    <n v="0"/>
    <n v="47224.32"/>
    <n v="159710.32"/>
  </r>
  <r>
    <x v="18"/>
    <x v="18"/>
    <x v="3"/>
    <x v="0"/>
    <x v="0"/>
    <x v="0"/>
    <x v="0"/>
    <x v="0"/>
    <x v="0"/>
    <x v="0"/>
    <x v="0"/>
    <x v="0"/>
    <n v="10"/>
    <n v="0.25"/>
    <n v="1415"/>
    <n v="0.2368881118881119"/>
    <n v="169800"/>
    <n v="0.54611013986013979"/>
    <n v="370276"/>
    <n v="0.79950040337081929"/>
    <n v="187120"/>
    <n v="1.0060034305317322"/>
    <n v="13356"/>
    <n v="4.0172802404207362"/>
    <n v="73014"/>
    <n v="256170"/>
  </r>
  <r>
    <x v="18"/>
    <x v="18"/>
    <x v="4"/>
    <x v="0"/>
    <x v="0"/>
    <x v="0"/>
    <x v="0"/>
    <x v="0"/>
    <x v="0"/>
    <x v="0"/>
    <x v="0"/>
    <x v="0"/>
    <n v="12"/>
    <n v="0.19999999999999996"/>
    <n v="1933"/>
    <n v="0.36607773851590109"/>
    <n v="278352"/>
    <n v="0.63929328621908121"/>
    <n v="534736"/>
    <n v="0.44415517073750399"/>
    <n v="205067"/>
    <n v="9.59117144078665E-2"/>
    <n v="51317"/>
    <n v="2.8422431865828091"/>
    <n v="119691.36"/>
    <n v="449360.36"/>
  </r>
  <r>
    <x v="18"/>
    <x v="18"/>
    <x v="5"/>
    <x v="0"/>
    <x v="0"/>
    <x v="0"/>
    <x v="0"/>
    <x v="0"/>
    <x v="0"/>
    <x v="0"/>
    <x v="0"/>
    <x v="0"/>
    <n v="12"/>
    <n v="0"/>
    <n v="2028"/>
    <n v="4.914640455250896E-2"/>
    <n v="292032"/>
    <n v="4.914640455250896E-2"/>
    <n v="514040"/>
    <n v="-3.8703210556237037E-2"/>
    <n v="204686"/>
    <n v="-1.8579293596726609E-3"/>
    <n v="17322"/>
    <n v="-0.66245103961650131"/>
    <n v="125573.75999999999"/>
    <n v="434927.76"/>
  </r>
  <r>
    <x v="19"/>
    <x v="19"/>
    <x v="0"/>
    <x v="0"/>
    <x v="0"/>
    <x v="0"/>
    <x v="0"/>
    <x v="1"/>
    <x v="0"/>
    <x v="0"/>
    <x v="1"/>
    <x v="0"/>
    <n v="6"/>
    <n v="0"/>
    <n v="1883"/>
    <n v="0"/>
    <n v="135576"/>
    <n v="0"/>
    <n v="4843320"/>
    <n v="0"/>
    <n v="4256072"/>
    <n v="0"/>
    <n v="451672"/>
    <n v="0"/>
    <n v="58297.68"/>
    <n v="645545.68000000005"/>
  </r>
  <r>
    <x v="19"/>
    <x v="19"/>
    <x v="1"/>
    <x v="0"/>
    <x v="0"/>
    <x v="0"/>
    <x v="0"/>
    <x v="1"/>
    <x v="0"/>
    <x v="0"/>
    <x v="1"/>
    <x v="0"/>
    <n v="5"/>
    <n v="-0.16666666666666663"/>
    <n v="1962"/>
    <n v="0.04"/>
    <n v="117720"/>
    <n v="-0.13170472650026555"/>
    <n v="4939175"/>
    <n v="0.02"/>
    <n v="4609031"/>
    <n v="8.2930692901811875E-2"/>
    <n v="212424"/>
    <n v="-0.53"/>
    <n v="50619.6"/>
    <n v="380763.6"/>
  </r>
  <r>
    <x v="19"/>
    <x v="19"/>
    <x v="2"/>
    <x v="0"/>
    <x v="0"/>
    <x v="0"/>
    <x v="0"/>
    <x v="1"/>
    <x v="0"/>
    <x v="0"/>
    <x v="1"/>
    <x v="0"/>
    <n v="5"/>
    <n v="0"/>
    <n v="1999"/>
    <n v="0.02"/>
    <n v="119940"/>
    <n v="1.885830784913356E-2"/>
    <n v="4099596"/>
    <n v="-0.17"/>
    <n v="3799927"/>
    <n v="-0.17554752831994402"/>
    <n v="179729"/>
    <n v="-0.15"/>
    <n v="51574.2"/>
    <n v="351243.2"/>
  </r>
  <r>
    <x v="19"/>
    <x v="19"/>
    <x v="3"/>
    <x v="0"/>
    <x v="0"/>
    <x v="0"/>
    <x v="0"/>
    <x v="1"/>
    <x v="0"/>
    <x v="0"/>
    <x v="1"/>
    <x v="0"/>
    <n v="5"/>
    <n v="0"/>
    <n v="2050"/>
    <n v="0.03"/>
    <n v="123000"/>
    <n v="2.5512756378189172E-2"/>
    <n v="3344864"/>
    <n v="-0.18"/>
    <n v="3176114"/>
    <n v="-0.1641644694753347"/>
    <n v="45750"/>
    <n v="-0.75"/>
    <n v="52890"/>
    <n v="221640"/>
  </r>
  <r>
    <x v="19"/>
    <x v="19"/>
    <x v="4"/>
    <x v="0"/>
    <x v="0"/>
    <x v="0"/>
    <x v="0"/>
    <x v="1"/>
    <x v="0"/>
    <x v="0"/>
    <x v="1"/>
    <x v="0"/>
    <n v="5"/>
    <n v="0"/>
    <n v="2129"/>
    <n v="0.04"/>
    <n v="127740"/>
    <n v="3.8536585365853693E-2"/>
    <n v="1037356"/>
    <n v="-0.69"/>
    <n v="1077110"/>
    <n v="-0.66087174452806163"/>
    <n v="-167494"/>
    <n v="-4.66"/>
    <n v="54928.2"/>
    <n v="15174.199999999997"/>
  </r>
  <r>
    <x v="19"/>
    <x v="19"/>
    <x v="5"/>
    <x v="0"/>
    <x v="0"/>
    <x v="0"/>
    <x v="0"/>
    <x v="1"/>
    <x v="0"/>
    <x v="0"/>
    <x v="1"/>
    <x v="0"/>
    <n v="5"/>
    <n v="0"/>
    <n v="2183"/>
    <n v="0.03"/>
    <n v="130980"/>
    <n v="2.5364020666979847E-2"/>
    <n v="6566337"/>
    <n v="5.33"/>
    <n v="6070503"/>
    <n v="4.6359174086212178"/>
    <n v="364854"/>
    <n v="3.18"/>
    <n v="56321.4"/>
    <n v="552155.4"/>
  </r>
  <r>
    <x v="20"/>
    <x v="20"/>
    <x v="0"/>
    <x v="0"/>
    <x v="0"/>
    <x v="0"/>
    <x v="0"/>
    <x v="0"/>
    <x v="1"/>
    <x v="0"/>
    <x v="1"/>
    <x v="0"/>
    <n v="8"/>
    <n v="0"/>
    <n v="1232"/>
    <n v="0"/>
    <n v="118272"/>
    <n v="0"/>
    <n v="289074"/>
    <n v="0"/>
    <n v="121930"/>
    <n v="0"/>
    <n v="48872"/>
    <n v="0"/>
    <n v="50856.959999999999"/>
    <n v="218000.96"/>
  </r>
  <r>
    <x v="20"/>
    <x v="20"/>
    <x v="1"/>
    <x v="0"/>
    <x v="0"/>
    <x v="0"/>
    <x v="0"/>
    <x v="0"/>
    <x v="1"/>
    <x v="0"/>
    <x v="1"/>
    <x v="0"/>
    <n v="10"/>
    <n v="0.25"/>
    <n v="1483"/>
    <n v="0.2"/>
    <n v="177960"/>
    <n v="0.50466720779220786"/>
    <n v="326922"/>
    <n v="0.13"/>
    <n v="98706"/>
    <n v="-0.19046994176986798"/>
    <n v="50256"/>
    <n v="0.03"/>
    <n v="76522.8"/>
    <n v="304738.8"/>
  </r>
  <r>
    <x v="20"/>
    <x v="20"/>
    <x v="2"/>
    <x v="0"/>
    <x v="0"/>
    <x v="0"/>
    <x v="0"/>
    <x v="0"/>
    <x v="1"/>
    <x v="0"/>
    <x v="1"/>
    <x v="0"/>
    <n v="10"/>
    <n v="0"/>
    <n v="1725"/>
    <n v="0.16"/>
    <n v="207000"/>
    <n v="0.16318273769386371"/>
    <n v="422449"/>
    <n v="0.28999999999999998"/>
    <n v="149331"/>
    <n v="0.51288675460458322"/>
    <n v="66118"/>
    <n v="0.32"/>
    <n v="89010"/>
    <n v="362128"/>
  </r>
  <r>
    <x v="20"/>
    <x v="20"/>
    <x v="3"/>
    <x v="0"/>
    <x v="0"/>
    <x v="0"/>
    <x v="0"/>
    <x v="0"/>
    <x v="1"/>
    <x v="0"/>
    <x v="1"/>
    <x v="0"/>
    <n v="10"/>
    <n v="0"/>
    <n v="1968"/>
    <n v="0.14000000000000001"/>
    <n v="236160"/>
    <n v="0.14086956521739125"/>
    <n v="569288"/>
    <n v="0.35"/>
    <n v="329047"/>
    <n v="1.2034741614266293"/>
    <n v="4081"/>
    <n v="-0.94"/>
    <n v="101548.8"/>
    <n v="341789.8"/>
  </r>
  <r>
    <x v="20"/>
    <x v="20"/>
    <x v="4"/>
    <x v="0"/>
    <x v="0"/>
    <x v="0"/>
    <x v="0"/>
    <x v="0"/>
    <x v="1"/>
    <x v="0"/>
    <x v="1"/>
    <x v="0"/>
    <n v="9"/>
    <n v="-9.9999999999999978E-2"/>
    <n v="2187"/>
    <n v="0.11"/>
    <n v="236196"/>
    <n v="1.524390243903273E-4"/>
    <n v="546169"/>
    <n v="-0.04"/>
    <n v="279491"/>
    <n v="-0.15060462487121895"/>
    <n v="30482"/>
    <n v="6.47"/>
    <n v="101564.28"/>
    <n v="368242.28"/>
  </r>
  <r>
    <x v="20"/>
    <x v="20"/>
    <x v="5"/>
    <x v="0"/>
    <x v="0"/>
    <x v="0"/>
    <x v="0"/>
    <x v="0"/>
    <x v="1"/>
    <x v="0"/>
    <x v="1"/>
    <x v="0"/>
    <n v="9"/>
    <n v="0"/>
    <n v="2149"/>
    <n v="-0.02"/>
    <n v="232092"/>
    <n v="-1.7375400091449444E-2"/>
    <n v="532524"/>
    <n v="-0.02"/>
    <n v="280580"/>
    <n v="3.8963687560600313E-3"/>
    <n v="19852"/>
    <n v="-0.35"/>
    <n v="99799.56"/>
    <n v="351743.56"/>
  </r>
  <r>
    <x v="21"/>
    <x v="21"/>
    <x v="0"/>
    <x v="0"/>
    <x v="0"/>
    <x v="0"/>
    <x v="1"/>
    <x v="0"/>
    <x v="0"/>
    <x v="0"/>
    <x v="1"/>
    <x v="0"/>
    <n v="18"/>
    <n v="0"/>
    <n v="3220"/>
    <n v="0"/>
    <n v="695520"/>
    <n v="0"/>
    <n v="8897302"/>
    <n v="0"/>
    <n v="8041136"/>
    <n v="0"/>
    <n v="160646"/>
    <n v="0"/>
    <n v="299073.59999999998"/>
    <n v="1155239.6000000001"/>
  </r>
  <r>
    <x v="21"/>
    <x v="21"/>
    <x v="1"/>
    <x v="0"/>
    <x v="0"/>
    <x v="0"/>
    <x v="1"/>
    <x v="0"/>
    <x v="0"/>
    <x v="0"/>
    <x v="1"/>
    <x v="0"/>
    <n v="18"/>
    <n v="0"/>
    <n v="3348"/>
    <n v="3.9751552795030953E-2"/>
    <n v="723168"/>
    <n v="3.9751552795030953E-2"/>
    <n v="8847434"/>
    <n v="-5.6048451541826916E-3"/>
    <n v="7877994"/>
    <n v="-2.0288426908834811E-2"/>
    <n v="246272"/>
    <n v="0.53301047022646064"/>
    <n v="310962.24"/>
    <n v="1280402.24"/>
  </r>
  <r>
    <x v="21"/>
    <x v="21"/>
    <x v="2"/>
    <x v="0"/>
    <x v="0"/>
    <x v="0"/>
    <x v="1"/>
    <x v="0"/>
    <x v="0"/>
    <x v="0"/>
    <x v="1"/>
    <x v="0"/>
    <n v="19"/>
    <n v="5.555555555555558E-2"/>
    <n v="3357"/>
    <n v="2.6881720430107499E-3"/>
    <n v="765396"/>
    <n v="5.8393070489844767E-2"/>
    <n v="8730690"/>
    <n v="-1.319523830299274E-2"/>
    <n v="7853907"/>
    <n v="-3.0575042326764779E-3"/>
    <n v="111387"/>
    <n v="-0.54770741294178793"/>
    <n v="329120.27999999997"/>
    <n v="1205903.28"/>
  </r>
  <r>
    <x v="21"/>
    <x v="21"/>
    <x v="3"/>
    <x v="0"/>
    <x v="0"/>
    <x v="0"/>
    <x v="1"/>
    <x v="0"/>
    <x v="0"/>
    <x v="0"/>
    <x v="1"/>
    <x v="0"/>
    <n v="63"/>
    <n v="2.3157894736842106"/>
    <n v="3112"/>
    <n v="-7.2981829014000632E-2"/>
    <n v="2352672"/>
    <n v="2.0737970932693663"/>
    <n v="29179075"/>
    <n v="2.3421270254699231"/>
    <n v="26430813"/>
    <n v="2.3653076105943196"/>
    <n v="395590"/>
    <n v="2.55149164624238"/>
    <n v="1011648.96"/>
    <n v="3759910.96"/>
  </r>
  <r>
    <x v="21"/>
    <x v="21"/>
    <x v="4"/>
    <x v="0"/>
    <x v="0"/>
    <x v="0"/>
    <x v="1"/>
    <x v="0"/>
    <x v="0"/>
    <x v="0"/>
    <x v="1"/>
    <x v="0"/>
    <n v="68"/>
    <n v="7.9365079365079305E-2"/>
    <n v="3397"/>
    <n v="9.1580976863753216E-2"/>
    <n v="2771952"/>
    <n v="0.17821438772595588"/>
    <n v="31485566"/>
    <n v="7.9046062974923004E-2"/>
    <n v="28209333"/>
    <n v="6.7289644098348367E-2"/>
    <n v="504281"/>
    <n v="0.27475669253520052"/>
    <n v="1191939.3599999999"/>
    <n v="4468172.3599999994"/>
  </r>
  <r>
    <x v="21"/>
    <x v="21"/>
    <x v="5"/>
    <x v="0"/>
    <x v="0"/>
    <x v="0"/>
    <x v="1"/>
    <x v="0"/>
    <x v="0"/>
    <x v="0"/>
    <x v="1"/>
    <x v="0"/>
    <n v="63"/>
    <n v="-7.3529411764705843E-2"/>
    <n v="3711"/>
    <n v="9.2434501030320915E-2"/>
    <n v="2805516"/>
    <n v="1.2108434778091315E-2"/>
    <n v="36638811"/>
    <n v="0.16367007663130459"/>
    <n v="31943676"/>
    <n v="0.13237969859124288"/>
    <n v="1889619"/>
    <n v="2.7471548600879272"/>
    <n v="1206371.8799999999"/>
    <n v="5901506.8799999999"/>
  </r>
  <r>
    <x v="22"/>
    <x v="22"/>
    <x v="0"/>
    <x v="0"/>
    <x v="0"/>
    <x v="0"/>
    <x v="1"/>
    <x v="0"/>
    <x v="0"/>
    <x v="0"/>
    <x v="0"/>
    <x v="0"/>
    <n v="14"/>
    <n v="0"/>
    <n v="1748"/>
    <n v="0"/>
    <n v="293664"/>
    <n v="0"/>
    <n v="4126272"/>
    <n v="0"/>
    <n v="3605318"/>
    <n v="0"/>
    <n v="227290"/>
    <n v="0"/>
    <n v="126275.52"/>
    <n v="647229.52"/>
  </r>
  <r>
    <x v="22"/>
    <x v="22"/>
    <x v="1"/>
    <x v="0"/>
    <x v="0"/>
    <x v="0"/>
    <x v="1"/>
    <x v="0"/>
    <x v="0"/>
    <x v="0"/>
    <x v="0"/>
    <x v="0"/>
    <n v="14"/>
    <n v="0"/>
    <n v="2064"/>
    <n v="0.18"/>
    <n v="346752"/>
    <n v="0.18077803203661325"/>
    <n v="4392485"/>
    <n v="0.06"/>
    <n v="3906636"/>
    <n v="8.3575984143423598E-2"/>
    <n v="139097"/>
    <n v="-0.39"/>
    <n v="149103.35999999999"/>
    <n v="634952.36"/>
  </r>
  <r>
    <x v="22"/>
    <x v="22"/>
    <x v="2"/>
    <x v="0"/>
    <x v="0"/>
    <x v="0"/>
    <x v="1"/>
    <x v="0"/>
    <x v="0"/>
    <x v="0"/>
    <x v="0"/>
    <x v="0"/>
    <n v="15"/>
    <n v="7.1428571428571397E-2"/>
    <n v="2302"/>
    <n v="0.12"/>
    <n v="414360"/>
    <n v="0.19497508305647848"/>
    <n v="4915295"/>
    <n v="0.12"/>
    <n v="4327839"/>
    <n v="0.10781731392430727"/>
    <n v="173096"/>
    <n v="0.24"/>
    <n v="178174.8"/>
    <n v="765630.8"/>
  </r>
  <r>
    <x v="22"/>
    <x v="22"/>
    <x v="3"/>
    <x v="0"/>
    <x v="0"/>
    <x v="0"/>
    <x v="1"/>
    <x v="0"/>
    <x v="0"/>
    <x v="0"/>
    <x v="0"/>
    <x v="0"/>
    <n v="21"/>
    <n v="0.39999999999999991"/>
    <n v="2523"/>
    <n v="0.1"/>
    <n v="635796"/>
    <n v="0.53440486533449172"/>
    <n v="7618331"/>
    <n v="0.55000000000000004"/>
    <n v="6724591"/>
    <n v="0.55379878964998475"/>
    <n v="257944"/>
    <n v="0.49"/>
    <n v="273392.27999999997"/>
    <n v="1167132.28"/>
  </r>
  <r>
    <x v="22"/>
    <x v="22"/>
    <x v="4"/>
    <x v="0"/>
    <x v="0"/>
    <x v="0"/>
    <x v="1"/>
    <x v="0"/>
    <x v="0"/>
    <x v="0"/>
    <x v="0"/>
    <x v="0"/>
    <n v="25"/>
    <n v="0.19047619047619047"/>
    <n v="2684"/>
    <n v="0.06"/>
    <n v="805200"/>
    <n v="0.26644395372100482"/>
    <n v="5004244"/>
    <n v="-0.34"/>
    <n v="4125374"/>
    <n v="-0.38652417671201122"/>
    <n v="73670"/>
    <n v="-0.71"/>
    <n v="346236"/>
    <n v="1225106"/>
  </r>
  <r>
    <x v="22"/>
    <x v="22"/>
    <x v="5"/>
    <x v="0"/>
    <x v="0"/>
    <x v="0"/>
    <x v="1"/>
    <x v="0"/>
    <x v="0"/>
    <x v="0"/>
    <x v="0"/>
    <x v="0"/>
    <n v="23"/>
    <n v="-7.999999999999996E-2"/>
    <n v="3002"/>
    <n v="0.12"/>
    <n v="828552"/>
    <n v="2.9001490312965617E-2"/>
    <n v="3893452"/>
    <n v="-0.22"/>
    <n v="3280462"/>
    <n v="-0.20480858220369835"/>
    <n v="-215562"/>
    <n v="-3.93"/>
    <n v="356277.36"/>
    <n v="969267.36"/>
  </r>
  <r>
    <x v="23"/>
    <x v="23"/>
    <x v="0"/>
    <x v="0"/>
    <x v="0"/>
    <x v="0"/>
    <x v="0"/>
    <x v="0"/>
    <x v="0"/>
    <x v="0"/>
    <x v="0"/>
    <x v="0"/>
    <n v="0"/>
    <n v="0"/>
    <n v="0"/>
    <n v="0"/>
    <n v="0"/>
    <n v="0"/>
    <n v="0"/>
    <n v="0"/>
    <n v="0"/>
    <n v="0"/>
    <n v="0"/>
    <n v="0"/>
    <n v="0"/>
    <n v="0"/>
  </r>
  <r>
    <x v="23"/>
    <x v="23"/>
    <x v="1"/>
    <x v="0"/>
    <x v="0"/>
    <x v="0"/>
    <x v="0"/>
    <x v="0"/>
    <x v="0"/>
    <x v="0"/>
    <x v="0"/>
    <x v="0"/>
    <n v="0"/>
    <n v="0"/>
    <n v="0"/>
    <n v="0"/>
    <n v="0"/>
    <n v="0"/>
    <n v="0"/>
    <n v="0"/>
    <n v="0"/>
    <n v="0"/>
    <n v="0"/>
    <n v="0"/>
    <n v="0"/>
    <n v="0"/>
  </r>
  <r>
    <x v="23"/>
    <x v="23"/>
    <x v="2"/>
    <x v="0"/>
    <x v="0"/>
    <x v="0"/>
    <x v="0"/>
    <x v="0"/>
    <x v="0"/>
    <x v="0"/>
    <x v="0"/>
    <x v="0"/>
    <n v="0"/>
    <n v="0"/>
    <n v="0"/>
    <n v="0"/>
    <n v="0"/>
    <n v="0"/>
    <n v="0"/>
    <n v="0"/>
    <n v="0"/>
    <n v="0"/>
    <n v="0"/>
    <n v="0"/>
    <n v="0"/>
    <n v="0"/>
  </r>
  <r>
    <x v="23"/>
    <x v="23"/>
    <x v="3"/>
    <x v="0"/>
    <x v="0"/>
    <x v="0"/>
    <x v="0"/>
    <x v="0"/>
    <x v="0"/>
    <x v="0"/>
    <x v="0"/>
    <x v="0"/>
    <n v="0"/>
    <n v="0"/>
    <n v="0"/>
    <n v="0"/>
    <n v="0"/>
    <n v="0"/>
    <n v="0"/>
    <n v="0"/>
    <n v="0"/>
    <n v="0"/>
    <n v="0"/>
    <n v="0"/>
    <n v="0"/>
    <n v="0"/>
  </r>
  <r>
    <x v="23"/>
    <x v="23"/>
    <x v="4"/>
    <x v="0"/>
    <x v="0"/>
    <x v="0"/>
    <x v="0"/>
    <x v="0"/>
    <x v="0"/>
    <x v="0"/>
    <x v="0"/>
    <x v="0"/>
    <n v="0"/>
    <n v="0"/>
    <n v="0"/>
    <n v="0"/>
    <n v="0"/>
    <n v="0"/>
    <n v="9309"/>
    <n v="0"/>
    <n v="0"/>
    <n v="0"/>
    <n v="2289"/>
    <n v="0"/>
    <n v="0"/>
    <n v="9309"/>
  </r>
  <r>
    <x v="23"/>
    <x v="23"/>
    <x v="5"/>
    <x v="0"/>
    <x v="0"/>
    <x v="0"/>
    <x v="0"/>
    <x v="0"/>
    <x v="0"/>
    <x v="0"/>
    <x v="0"/>
    <x v="0"/>
    <n v="0"/>
    <n v="0"/>
    <n v="0"/>
    <n v="0"/>
    <n v="0"/>
    <n v="0"/>
    <n v="10169"/>
    <n v="9.2383714684713736E-2"/>
    <n v="0"/>
    <n v="0"/>
    <n v="-14089"/>
    <n v="-7.1550895587592844"/>
    <n v="0"/>
    <n v="10169"/>
  </r>
  <r>
    <x v="24"/>
    <x v="24"/>
    <x v="0"/>
    <x v="0"/>
    <x v="0"/>
    <x v="0"/>
    <x v="0"/>
    <x v="0"/>
    <x v="1"/>
    <x v="0"/>
    <x v="1"/>
    <x v="0"/>
    <n v="20"/>
    <n v="0"/>
    <n v="2654"/>
    <n v="0"/>
    <n v="636960"/>
    <n v="0"/>
    <n v="1758089"/>
    <n v="0"/>
    <n v="1118561"/>
    <n v="0"/>
    <n v="2568"/>
    <n v="0"/>
    <n v="273892.8"/>
    <n v="913420.80000000005"/>
  </r>
  <r>
    <x v="24"/>
    <x v="24"/>
    <x v="1"/>
    <x v="0"/>
    <x v="0"/>
    <x v="0"/>
    <x v="0"/>
    <x v="0"/>
    <x v="1"/>
    <x v="0"/>
    <x v="1"/>
    <x v="0"/>
    <n v="18"/>
    <n v="-9.9999999999999978E-2"/>
    <n v="2194"/>
    <n v="-0.17332328560663149"/>
    <n v="473904"/>
    <n v="-0.2559909570459683"/>
    <n v="981515"/>
    <n v="-0.44171483923737648"/>
    <n v="568325"/>
    <n v="-0.49191416471698901"/>
    <n v="-60714"/>
    <n v="-24.642523364485982"/>
    <n v="203778.72"/>
    <n v="616968.72"/>
  </r>
  <r>
    <x v="24"/>
    <x v="24"/>
    <x v="2"/>
    <x v="0"/>
    <x v="0"/>
    <x v="0"/>
    <x v="0"/>
    <x v="0"/>
    <x v="1"/>
    <x v="0"/>
    <x v="1"/>
    <x v="0"/>
    <n v="19"/>
    <n v="5.555555555555558E-2"/>
    <n v="2888"/>
    <n v="0.31631722880583402"/>
    <n v="658464"/>
    <n v="0.38944596373949159"/>
    <n v="1573797"/>
    <n v="0.60343652414889237"/>
    <n v="826265"/>
    <n v="0.45386002727312724"/>
    <n v="89068"/>
    <n v="-2.467009256514149"/>
    <n v="283139.52"/>
    <n v="1030671.52"/>
  </r>
  <r>
    <x v="24"/>
    <x v="24"/>
    <x v="3"/>
    <x v="0"/>
    <x v="0"/>
    <x v="0"/>
    <x v="0"/>
    <x v="0"/>
    <x v="1"/>
    <x v="0"/>
    <x v="1"/>
    <x v="0"/>
    <n v="22"/>
    <n v="0.15789473684210531"/>
    <n v="2866"/>
    <n v="-7.6177285318559376E-3"/>
    <n v="756624"/>
    <n v="0.14907420906837721"/>
    <n v="1401240"/>
    <n v="-0.1096437469381375"/>
    <n v="599781"/>
    <n v="-0.27410576509957463"/>
    <n v="44835"/>
    <n v="-0.49662055957246148"/>
    <n v="325348.32"/>
    <n v="1126807.32"/>
  </r>
  <r>
    <x v="24"/>
    <x v="24"/>
    <x v="4"/>
    <x v="0"/>
    <x v="0"/>
    <x v="0"/>
    <x v="0"/>
    <x v="0"/>
    <x v="1"/>
    <x v="0"/>
    <x v="1"/>
    <x v="0"/>
    <n v="15"/>
    <n v="-0.31818181818181823"/>
    <n v="3251"/>
    <n v="0.13433356594556869"/>
    <n v="585180"/>
    <n v="-0.22659075049165767"/>
    <n v="1023984"/>
    <n v="-0.26923011047358059"/>
    <n v="676255"/>
    <n v="0.12750320533661452"/>
    <n v="-237451"/>
    <n v="-6.2961079513772722"/>
    <n v="251627.4"/>
    <n v="599356.4"/>
  </r>
  <r>
    <x v="24"/>
    <x v="24"/>
    <x v="5"/>
    <x v="0"/>
    <x v="0"/>
    <x v="0"/>
    <x v="0"/>
    <x v="0"/>
    <x v="1"/>
    <x v="0"/>
    <x v="1"/>
    <x v="0"/>
    <n v="10"/>
    <n v="-0.33333333333333337"/>
    <n v="3475"/>
    <n v="6.8901876345739854E-2"/>
    <n v="417000"/>
    <n v="-0.28739874910284013"/>
    <n v="970809"/>
    <n v="-5.192952233628656E-2"/>
    <n v="508399"/>
    <n v="-0.24821406126387235"/>
    <n v="45410"/>
    <n v="-1.1912394557192849"/>
    <n v="179310"/>
    <n v="641720"/>
  </r>
  <r>
    <x v="25"/>
    <x v="25"/>
    <x v="0"/>
    <x v="0"/>
    <x v="0"/>
    <x v="0"/>
    <x v="0"/>
    <x v="0"/>
    <x v="0"/>
    <x v="1"/>
    <x v="1"/>
    <x v="0"/>
    <n v="1"/>
    <n v="0"/>
    <n v="0"/>
    <n v="0"/>
    <n v="0"/>
    <n v="0"/>
    <n v="64811"/>
    <n v="0"/>
    <n v="0"/>
    <n v="0"/>
    <n v="5224"/>
    <n v="0"/>
    <n v="0"/>
    <n v="64811"/>
  </r>
  <r>
    <x v="25"/>
    <x v="25"/>
    <x v="1"/>
    <x v="0"/>
    <x v="0"/>
    <x v="0"/>
    <x v="0"/>
    <x v="0"/>
    <x v="0"/>
    <x v="1"/>
    <x v="1"/>
    <x v="0"/>
    <n v="2"/>
    <n v="1"/>
    <n v="0"/>
    <n v="0"/>
    <n v="0"/>
    <n v="0"/>
    <n v="17787"/>
    <n v="-0.72555584700128062"/>
    <n v="0"/>
    <n v="0"/>
    <n v="-4123"/>
    <n v="-1.789241960183767"/>
    <n v="0"/>
    <n v="17787"/>
  </r>
  <r>
    <x v="25"/>
    <x v="25"/>
    <x v="2"/>
    <x v="0"/>
    <x v="0"/>
    <x v="0"/>
    <x v="0"/>
    <x v="0"/>
    <x v="0"/>
    <x v="1"/>
    <x v="1"/>
    <x v="0"/>
    <n v="1"/>
    <n v="-0.5"/>
    <n v="0"/>
    <n v="0"/>
    <n v="0"/>
    <n v="0"/>
    <n v="31519"/>
    <n v="0.77202451228425262"/>
    <n v="0"/>
    <n v="0"/>
    <n v="11349"/>
    <n v="-3.7526073247635221"/>
    <n v="0"/>
    <n v="31519"/>
  </r>
  <r>
    <x v="25"/>
    <x v="25"/>
    <x v="3"/>
    <x v="0"/>
    <x v="0"/>
    <x v="0"/>
    <x v="0"/>
    <x v="0"/>
    <x v="0"/>
    <x v="1"/>
    <x v="1"/>
    <x v="0"/>
    <n v="1"/>
    <n v="0"/>
    <n v="0"/>
    <n v="0"/>
    <n v="0"/>
    <n v="0"/>
    <n v="36262"/>
    <n v="0.1504806624575652"/>
    <n v="0"/>
    <n v="0"/>
    <n v="-1098"/>
    <n v="-1.0967486122125301"/>
    <n v="0"/>
    <n v="36262"/>
  </r>
  <r>
    <x v="25"/>
    <x v="25"/>
    <x v="4"/>
    <x v="0"/>
    <x v="0"/>
    <x v="0"/>
    <x v="0"/>
    <x v="0"/>
    <x v="0"/>
    <x v="1"/>
    <x v="1"/>
    <x v="0"/>
    <n v="1"/>
    <n v="0"/>
    <n v="0"/>
    <n v="0"/>
    <n v="0"/>
    <n v="0"/>
    <n v="25807"/>
    <n v="-0.28831834978765652"/>
    <n v="0"/>
    <n v="0"/>
    <n v="1644"/>
    <n v="-2.4972677595628419"/>
    <n v="0"/>
    <n v="25807"/>
  </r>
  <r>
    <x v="25"/>
    <x v="25"/>
    <x v="5"/>
    <x v="0"/>
    <x v="0"/>
    <x v="0"/>
    <x v="0"/>
    <x v="0"/>
    <x v="0"/>
    <x v="1"/>
    <x v="1"/>
    <x v="0"/>
    <n v="1"/>
    <n v="0"/>
    <n v="0"/>
    <n v="0"/>
    <n v="0"/>
    <n v="0"/>
    <n v="16127"/>
    <n v="-0.37509202929437752"/>
    <n v="0"/>
    <n v="0"/>
    <n v="-1197"/>
    <n v="-1.728102189781022"/>
    <n v="0"/>
    <n v="16127"/>
  </r>
  <r>
    <x v="26"/>
    <x v="26"/>
    <x v="0"/>
    <x v="0"/>
    <x v="0"/>
    <x v="0"/>
    <x v="0"/>
    <x v="0"/>
    <x v="0"/>
    <x v="0"/>
    <x v="0"/>
    <x v="0"/>
    <n v="5"/>
    <n v="0"/>
    <n v="1415"/>
    <n v="0"/>
    <n v="84900"/>
    <n v="0"/>
    <n v="196226"/>
    <n v="0"/>
    <n v="110790"/>
    <n v="0"/>
    <n v="536"/>
    <n v="0"/>
    <n v="36507"/>
    <n v="121943"/>
  </r>
  <r>
    <x v="26"/>
    <x v="26"/>
    <x v="1"/>
    <x v="0"/>
    <x v="0"/>
    <x v="0"/>
    <x v="0"/>
    <x v="0"/>
    <x v="0"/>
    <x v="0"/>
    <x v="0"/>
    <x v="0"/>
    <n v="5"/>
    <n v="0"/>
    <n v="1096"/>
    <n v="-0.22544169611307421"/>
    <n v="65760"/>
    <n v="-0.22544169611307419"/>
    <n v="99713"/>
    <n v="-0.49184613659759668"/>
    <n v="55120"/>
    <n v="-0.50248217348136115"/>
    <n v="-21167"/>
    <n v="-40.490671641791053"/>
    <n v="28276.799999999999"/>
    <n v="72869.8"/>
  </r>
  <r>
    <x v="26"/>
    <x v="26"/>
    <x v="2"/>
    <x v="0"/>
    <x v="0"/>
    <x v="0"/>
    <x v="0"/>
    <x v="0"/>
    <x v="0"/>
    <x v="0"/>
    <x v="0"/>
    <x v="0"/>
    <n v="7"/>
    <n v="0.39999999999999991"/>
    <n v="1333"/>
    <n v="0.21624087591240879"/>
    <n v="111972"/>
    <n v="0.70273722627737234"/>
    <n v="416339"/>
    <n v="3.1753733214325108"/>
    <n v="296029"/>
    <n v="4.3706277213352687"/>
    <n v="8338"/>
    <n v="-1.393915056455804"/>
    <n v="48147.96"/>
    <n v="168457.96"/>
  </r>
  <r>
    <x v="26"/>
    <x v="26"/>
    <x v="3"/>
    <x v="0"/>
    <x v="0"/>
    <x v="0"/>
    <x v="0"/>
    <x v="0"/>
    <x v="0"/>
    <x v="0"/>
    <x v="0"/>
    <x v="0"/>
    <n v="6"/>
    <n v="-0.1428571428571429"/>
    <n v="1535"/>
    <n v="0.15153788447111771"/>
    <n v="110520"/>
    <n v="-1.2967527596184802E-2"/>
    <n v="265483"/>
    <n v="-0.3623393436598541"/>
    <n v="153489"/>
    <n v="-0.48150687939357295"/>
    <n v="1474"/>
    <n v="-0.82321899736147763"/>
    <n v="47523.6"/>
    <n v="159517.6"/>
  </r>
  <r>
    <x v="26"/>
    <x v="26"/>
    <x v="4"/>
    <x v="0"/>
    <x v="0"/>
    <x v="0"/>
    <x v="0"/>
    <x v="0"/>
    <x v="0"/>
    <x v="0"/>
    <x v="0"/>
    <x v="0"/>
    <n v="4"/>
    <n v="-0.33333333333333337"/>
    <n v="1735"/>
    <n v="0.13029315960912061"/>
    <n v="83280"/>
    <n v="-0.24647122692725298"/>
    <n v="197038"/>
    <n v="-0.25781311797742218"/>
    <n v="112280"/>
    <n v="-0.26848178045332238"/>
    <n v="1478"/>
    <n v="2.7137042062415069E-3"/>
    <n v="35810.400000000001"/>
    <n v="120568.4"/>
  </r>
  <r>
    <x v="26"/>
    <x v="26"/>
    <x v="5"/>
    <x v="0"/>
    <x v="0"/>
    <x v="0"/>
    <x v="0"/>
    <x v="0"/>
    <x v="0"/>
    <x v="0"/>
    <x v="0"/>
    <x v="0"/>
    <n v="2"/>
    <n v="-0.5"/>
    <n v="0"/>
    <n v="0"/>
    <n v="0"/>
    <n v="-1"/>
    <n v="46405"/>
    <n v="-0.76448705325876221"/>
    <n v="0"/>
    <n v="-1"/>
    <n v="-48434"/>
    <n v="-33.769959404600812"/>
    <n v="0"/>
    <n v="46405"/>
  </r>
  <r>
    <x v="27"/>
    <x v="27"/>
    <x v="0"/>
    <x v="0"/>
    <x v="0"/>
    <x v="0"/>
    <x v="0"/>
    <x v="0"/>
    <x v="0"/>
    <x v="0"/>
    <x v="0"/>
    <x v="0"/>
    <n v="16"/>
    <n v="0"/>
    <n v="2280"/>
    <n v="0"/>
    <n v="437760"/>
    <n v="0"/>
    <n v="531305"/>
    <n v="0"/>
    <n v="69662"/>
    <n v="0"/>
    <n v="23883"/>
    <n v="0"/>
    <n v="188236.79999999999"/>
    <n v="649879.80000000005"/>
  </r>
  <r>
    <x v="27"/>
    <x v="27"/>
    <x v="1"/>
    <x v="0"/>
    <x v="0"/>
    <x v="0"/>
    <x v="0"/>
    <x v="0"/>
    <x v="0"/>
    <x v="0"/>
    <x v="0"/>
    <x v="0"/>
    <n v="18"/>
    <n v="0.125"/>
    <n v="2496"/>
    <n v="0.09"/>
    <n v="539136"/>
    <n v="0.23157894736842111"/>
    <n v="647894"/>
    <n v="0.22"/>
    <n v="98366"/>
    <n v="0.41204673997301255"/>
    <n v="10392"/>
    <n v="-0.56000000000000005"/>
    <n v="231828.48000000001"/>
    <n v="781356.48"/>
  </r>
  <r>
    <x v="27"/>
    <x v="27"/>
    <x v="2"/>
    <x v="0"/>
    <x v="0"/>
    <x v="0"/>
    <x v="0"/>
    <x v="0"/>
    <x v="0"/>
    <x v="0"/>
    <x v="0"/>
    <x v="0"/>
    <n v="20"/>
    <n v="0.11111111111111116"/>
    <n v="2709"/>
    <n v="0.09"/>
    <n v="650160"/>
    <n v="0.20592948717948723"/>
    <n v="784600"/>
    <n v="0.21"/>
    <n v="125040"/>
    <n v="0.27117093304597106"/>
    <n v="9400"/>
    <n v="-0.1"/>
    <n v="279568.8"/>
    <n v="939128.8"/>
  </r>
  <r>
    <x v="27"/>
    <x v="27"/>
    <x v="3"/>
    <x v="0"/>
    <x v="0"/>
    <x v="0"/>
    <x v="0"/>
    <x v="0"/>
    <x v="0"/>
    <x v="0"/>
    <x v="0"/>
    <x v="0"/>
    <n v="19"/>
    <n v="-5.0000000000000044E-2"/>
    <n v="2958"/>
    <n v="0.09"/>
    <n v="674424"/>
    <n v="3.7320044296788479E-2"/>
    <n v="831603"/>
    <n v="0.06"/>
    <n v="152127"/>
    <n v="0.21662667946257197"/>
    <n v="5052"/>
    <n v="-0.46"/>
    <n v="290002.32"/>
    <n v="969478.32000000007"/>
  </r>
  <r>
    <x v="27"/>
    <x v="27"/>
    <x v="4"/>
    <x v="0"/>
    <x v="0"/>
    <x v="0"/>
    <x v="0"/>
    <x v="0"/>
    <x v="0"/>
    <x v="0"/>
    <x v="0"/>
    <x v="0"/>
    <n v="20"/>
    <n v="5.2631578947368363E-2"/>
    <n v="3278"/>
    <n v="0.11"/>
    <n v="786720"/>
    <n v="0.16650653001672544"/>
    <n v="971641"/>
    <n v="0.17"/>
    <n v="177911"/>
    <n v="0.16948996562082996"/>
    <n v="7010"/>
    <n v="0.39"/>
    <n v="338289.6"/>
    <n v="1132019.6000000001"/>
  </r>
  <r>
    <x v="27"/>
    <x v="27"/>
    <x v="5"/>
    <x v="0"/>
    <x v="0"/>
    <x v="0"/>
    <x v="0"/>
    <x v="0"/>
    <x v="0"/>
    <x v="0"/>
    <x v="0"/>
    <x v="0"/>
    <n v="20"/>
    <n v="0"/>
    <n v="3596"/>
    <n v="0.1"/>
    <n v="863040"/>
    <n v="9.7010372178157445E-2"/>
    <n v="1100235"/>
    <n v="0.13"/>
    <n v="230102"/>
    <n v="0.29335454243975922"/>
    <n v="7093"/>
    <n v="0.01"/>
    <n v="371107.2"/>
    <n v="1241240.2"/>
  </r>
  <r>
    <x v="28"/>
    <x v="28"/>
    <x v="0"/>
    <x v="0"/>
    <x v="0"/>
    <x v="0"/>
    <x v="0"/>
    <x v="0"/>
    <x v="0"/>
    <x v="0"/>
    <x v="0"/>
    <x v="0"/>
    <n v="6"/>
    <n v="0"/>
    <n v="1432"/>
    <n v="0"/>
    <n v="103104"/>
    <n v="0"/>
    <n v="235559"/>
    <n v="0"/>
    <n v="131724"/>
    <n v="0"/>
    <n v="731"/>
    <n v="0"/>
    <n v="44334.720000000001"/>
    <n v="148169.72"/>
  </r>
  <r>
    <x v="28"/>
    <x v="28"/>
    <x v="1"/>
    <x v="0"/>
    <x v="0"/>
    <x v="0"/>
    <x v="0"/>
    <x v="0"/>
    <x v="0"/>
    <x v="0"/>
    <x v="0"/>
    <x v="0"/>
    <n v="6"/>
    <n v="0"/>
    <n v="1559"/>
    <n v="0.09"/>
    <n v="112248"/>
    <n v="8.8687150837988726E-2"/>
    <n v="338165"/>
    <n v="0.44"/>
    <n v="182452"/>
    <n v="0.3851082566578603"/>
    <n v="43465"/>
    <n v="58.46"/>
    <n v="48266.64"/>
    <n v="203979.64"/>
  </r>
  <r>
    <x v="28"/>
    <x v="28"/>
    <x v="2"/>
    <x v="0"/>
    <x v="0"/>
    <x v="0"/>
    <x v="0"/>
    <x v="0"/>
    <x v="0"/>
    <x v="0"/>
    <x v="0"/>
    <x v="0"/>
    <n v="8"/>
    <n v="0.33333333333333326"/>
    <n v="1534"/>
    <n v="-0.02"/>
    <n v="147264"/>
    <n v="0.31195210605088741"/>
    <n v="382359"/>
    <n v="0.13"/>
    <n v="205116"/>
    <n v="0.12421897266130277"/>
    <n v="29979"/>
    <n v="-0.31"/>
    <n v="63323.519999999997"/>
    <n v="240566.52"/>
  </r>
  <r>
    <x v="28"/>
    <x v="28"/>
    <x v="3"/>
    <x v="0"/>
    <x v="0"/>
    <x v="0"/>
    <x v="0"/>
    <x v="0"/>
    <x v="0"/>
    <x v="0"/>
    <x v="0"/>
    <x v="0"/>
    <n v="9"/>
    <n v="0.125"/>
    <n v="1663"/>
    <n v="0.08"/>
    <n v="179604"/>
    <n v="0.21960560625814862"/>
    <n v="342212"/>
    <n v="-0.1"/>
    <n v="161831"/>
    <n v="-0.21102693110240056"/>
    <n v="777"/>
    <n v="-0.97"/>
    <n v="77229.72"/>
    <n v="257610.72"/>
  </r>
  <r>
    <x v="28"/>
    <x v="28"/>
    <x v="4"/>
    <x v="0"/>
    <x v="0"/>
    <x v="0"/>
    <x v="0"/>
    <x v="0"/>
    <x v="0"/>
    <x v="0"/>
    <x v="0"/>
    <x v="0"/>
    <n v="10"/>
    <n v="0.11111111111111116"/>
    <n v="2037"/>
    <n v="0.22"/>
    <n v="244440"/>
    <n v="0.36099418721186605"/>
    <n v="634289"/>
    <n v="0.85"/>
    <n v="336967"/>
    <n v="1.0822153975443518"/>
    <n v="52882"/>
    <n v="67.06"/>
    <n v="105109.2"/>
    <n v="402431.2"/>
  </r>
  <r>
    <x v="28"/>
    <x v="28"/>
    <x v="5"/>
    <x v="0"/>
    <x v="0"/>
    <x v="0"/>
    <x v="0"/>
    <x v="0"/>
    <x v="0"/>
    <x v="0"/>
    <x v="0"/>
    <x v="0"/>
    <n v="11"/>
    <n v="0.10000000000000009"/>
    <n v="2380"/>
    <n v="0.17"/>
    <n v="314160"/>
    <n v="0.2852233676975946"/>
    <n v="712632"/>
    <n v="0.12"/>
    <n v="258953"/>
    <n v="-0.23151821988503329"/>
    <n v="139519"/>
    <n v="1.64"/>
    <n v="135088.79999999999"/>
    <n v="588767.80000000005"/>
  </r>
  <r>
    <x v="29"/>
    <x v="29"/>
    <x v="0"/>
    <x v="0"/>
    <x v="0"/>
    <x v="0"/>
    <x v="0"/>
    <x v="0"/>
    <x v="0"/>
    <x v="0"/>
    <x v="0"/>
    <x v="0"/>
    <n v="29"/>
    <n v="0"/>
    <n v="1831"/>
    <n v="0"/>
    <n v="637188"/>
    <n v="0"/>
    <n v="1273621"/>
    <n v="0"/>
    <n v="622432"/>
    <n v="0"/>
    <n v="14001"/>
    <n v="0"/>
    <n v="273990.83999999997"/>
    <n v="925179.84"/>
  </r>
  <r>
    <x v="29"/>
    <x v="29"/>
    <x v="1"/>
    <x v="0"/>
    <x v="0"/>
    <x v="0"/>
    <x v="0"/>
    <x v="0"/>
    <x v="0"/>
    <x v="0"/>
    <x v="0"/>
    <x v="0"/>
    <n v="25"/>
    <n v="-0.13793103448275867"/>
    <n v="2014"/>
    <n v="9.9945385035499656E-2"/>
    <n v="604200"/>
    <n v="-5.1771219796982959E-2"/>
    <n v="1227723"/>
    <n v="-3.6037408302783902E-2"/>
    <n v="505753"/>
    <n v="-0.18745662176751843"/>
    <n v="117770"/>
    <n v="7.4115420327119486"/>
    <n v="259806"/>
    <n v="981776"/>
  </r>
  <r>
    <x v="29"/>
    <x v="29"/>
    <x v="2"/>
    <x v="0"/>
    <x v="0"/>
    <x v="0"/>
    <x v="0"/>
    <x v="0"/>
    <x v="0"/>
    <x v="0"/>
    <x v="0"/>
    <x v="0"/>
    <n v="25"/>
    <n v="0"/>
    <n v="2475"/>
    <n v="0.22889771598808339"/>
    <n v="742500"/>
    <n v="0.22889771598808339"/>
    <n v="1618267"/>
    <n v="0.31810432809355199"/>
    <n v="842121"/>
    <n v="0.66508354868878672"/>
    <n v="33646"/>
    <n v="-0.71430754861170076"/>
    <n v="319275"/>
    <n v="1095421"/>
  </r>
  <r>
    <x v="29"/>
    <x v="29"/>
    <x v="3"/>
    <x v="0"/>
    <x v="0"/>
    <x v="0"/>
    <x v="0"/>
    <x v="0"/>
    <x v="0"/>
    <x v="0"/>
    <x v="0"/>
    <x v="0"/>
    <n v="24"/>
    <n v="-4.0000000000000036E-2"/>
    <n v="2602"/>
    <n v="5.1313131313131422E-2"/>
    <n v="749376"/>
    <n v="9.2606060606059692E-3"/>
    <n v="1266138"/>
    <n v="-0.21759635461886079"/>
    <n v="506457"/>
    <n v="-0.39859355128301044"/>
    <n v="10305"/>
    <n v="-0.6937228793913095"/>
    <n v="322231.67999999999"/>
    <n v="1081912.68"/>
  </r>
  <r>
    <x v="29"/>
    <x v="29"/>
    <x v="4"/>
    <x v="0"/>
    <x v="0"/>
    <x v="0"/>
    <x v="0"/>
    <x v="0"/>
    <x v="0"/>
    <x v="0"/>
    <x v="0"/>
    <x v="0"/>
    <n v="19"/>
    <n v="-0.20833333333333337"/>
    <n v="2781"/>
    <n v="6.8793235972328892E-2"/>
    <n v="634068"/>
    <n v="-0.15387202152190627"/>
    <n v="988791"/>
    <n v="-0.2190495822730224"/>
    <n v="279801"/>
    <n v="-0.44753256446253087"/>
    <n v="74922"/>
    <n v="6.2704512372634644"/>
    <n v="272649.24"/>
    <n v="981639.24"/>
  </r>
  <r>
    <x v="29"/>
    <x v="29"/>
    <x v="5"/>
    <x v="0"/>
    <x v="0"/>
    <x v="0"/>
    <x v="0"/>
    <x v="0"/>
    <x v="0"/>
    <x v="0"/>
    <x v="0"/>
    <x v="0"/>
    <n v="19"/>
    <n v="0"/>
    <n v="3393"/>
    <n v="0.2200647249190939"/>
    <n v="773604"/>
    <n v="0.2200647249190939"/>
    <n v="1029834"/>
    <n v="4.1508266155335205E-2"/>
    <n v="229291"/>
    <n v="-0.18052115610737629"/>
    <n v="26939"/>
    <n v="-0.64043939029924457"/>
    <n v="332649.71999999997"/>
    <n v="1133192.72"/>
  </r>
  <r>
    <x v="30"/>
    <x v="30"/>
    <x v="0"/>
    <x v="0"/>
    <x v="0"/>
    <x v="0"/>
    <x v="0"/>
    <x v="0"/>
    <x v="0"/>
    <x v="0"/>
    <x v="0"/>
    <x v="0"/>
    <n v="5"/>
    <n v="0"/>
    <n v="831"/>
    <n v="0"/>
    <n v="49860"/>
    <n v="0"/>
    <n v="429578"/>
    <n v="0"/>
    <n v="203228"/>
    <n v="0"/>
    <n v="176490"/>
    <n v="0"/>
    <n v="21439.8"/>
    <n v="247789.8"/>
  </r>
  <r>
    <x v="30"/>
    <x v="30"/>
    <x v="1"/>
    <x v="0"/>
    <x v="0"/>
    <x v="0"/>
    <x v="0"/>
    <x v="0"/>
    <x v="0"/>
    <x v="0"/>
    <x v="0"/>
    <x v="0"/>
    <n v="9"/>
    <n v="0.8"/>
    <n v="1019"/>
    <n v="0.22623345367027681"/>
    <n v="110052"/>
    <n v="1.207220216606498"/>
    <n v="433516"/>
    <n v="9.167136119633712E-3"/>
    <n v="180751"/>
    <n v="-0.11059991733422558"/>
    <n v="142713"/>
    <n v="-0.19138194798572161"/>
    <n v="47322.36"/>
    <n v="300087.36"/>
  </r>
  <r>
    <x v="30"/>
    <x v="30"/>
    <x v="2"/>
    <x v="0"/>
    <x v="0"/>
    <x v="0"/>
    <x v="0"/>
    <x v="0"/>
    <x v="0"/>
    <x v="0"/>
    <x v="0"/>
    <x v="0"/>
    <n v="11"/>
    <n v="0.22222222222222232"/>
    <n v="1264"/>
    <n v="0.24043179587831201"/>
    <n v="166848"/>
    <n v="0.51608330607349262"/>
    <n v="727671"/>
    <n v="0.67853320292676633"/>
    <n v="297709"/>
    <n v="0.64706695951889626"/>
    <n v="263114"/>
    <n v="0.84365825117543602"/>
    <n v="71744.639999999999"/>
    <n v="501706.64"/>
  </r>
  <r>
    <x v="30"/>
    <x v="30"/>
    <x v="3"/>
    <x v="0"/>
    <x v="0"/>
    <x v="0"/>
    <x v="0"/>
    <x v="0"/>
    <x v="0"/>
    <x v="0"/>
    <x v="0"/>
    <x v="0"/>
    <n v="13"/>
    <n v="0.18181818181818188"/>
    <n v="1660"/>
    <n v="0.31329113924050622"/>
    <n v="258960"/>
    <n v="0.55207134637514388"/>
    <n v="1065013"/>
    <n v="0.46359137577284248"/>
    <n v="535225"/>
    <n v="0.7978126291109775"/>
    <n v="270828"/>
    <n v="2.9318090257455021E-2"/>
    <n v="111352.8"/>
    <n v="641140.80000000005"/>
  </r>
  <r>
    <x v="30"/>
    <x v="30"/>
    <x v="4"/>
    <x v="0"/>
    <x v="0"/>
    <x v="0"/>
    <x v="0"/>
    <x v="0"/>
    <x v="0"/>
    <x v="0"/>
    <x v="0"/>
    <x v="0"/>
    <n v="15"/>
    <n v="0.15384615384615374"/>
    <n v="1792"/>
    <n v="7.9518072289156638E-2"/>
    <n v="322560"/>
    <n v="0.24559777571825769"/>
    <n v="1326126"/>
    <n v="0.24517353309302339"/>
    <n v="739547"/>
    <n v="0.38174973142136492"/>
    <n v="264019"/>
    <n v="-2.5141418169465472E-2"/>
    <n v="138700.79999999999"/>
    <n v="725279.8"/>
  </r>
  <r>
    <x v="30"/>
    <x v="30"/>
    <x v="5"/>
    <x v="0"/>
    <x v="0"/>
    <x v="0"/>
    <x v="0"/>
    <x v="0"/>
    <x v="0"/>
    <x v="0"/>
    <x v="0"/>
    <x v="0"/>
    <n v="20"/>
    <n v="0.33333333333333326"/>
    <n v="2026"/>
    <n v="0.13058035714285721"/>
    <n v="486240"/>
    <n v="0.50744047619047628"/>
    <n v="1806257"/>
    <n v="0.36205534014113278"/>
    <n v="965978"/>
    <n v="0.30617526675113282"/>
    <n v="354039"/>
    <n v="0.34096030967468249"/>
    <n v="209083.19999999998"/>
    <n v="1049362.2"/>
  </r>
  <r>
    <x v="31"/>
    <x v="31"/>
    <x v="0"/>
    <x v="0"/>
    <x v="0"/>
    <x v="0"/>
    <x v="0"/>
    <x v="0"/>
    <x v="1"/>
    <x v="1"/>
    <x v="0"/>
    <x v="1"/>
    <n v="37"/>
    <n v="0"/>
    <n v="2524"/>
    <n v="0"/>
    <n v="1120656"/>
    <n v="0"/>
    <n v="2788993"/>
    <n v="0"/>
    <n v="1474621"/>
    <n v="0"/>
    <n v="193716"/>
    <n v="0"/>
    <n v="481882.08"/>
    <n v="1796254.08"/>
  </r>
  <r>
    <x v="31"/>
    <x v="31"/>
    <x v="1"/>
    <x v="0"/>
    <x v="0"/>
    <x v="0"/>
    <x v="0"/>
    <x v="0"/>
    <x v="1"/>
    <x v="1"/>
    <x v="0"/>
    <x v="1"/>
    <n v="34"/>
    <n v="-8.108108108108103E-2"/>
    <n v="2480"/>
    <n v="-1.7432646592709929E-2"/>
    <n v="1011840"/>
    <n v="-9.7100269841949749E-2"/>
    <n v="2555815"/>
    <n v="-8.3606520346232505E-2"/>
    <n v="1297344"/>
    <n v="-0.12021868669983682"/>
    <n v="246631"/>
    <n v="0.27315761217452361"/>
    <n v="435091.20000000001"/>
    <n v="1693562.2"/>
  </r>
  <r>
    <x v="31"/>
    <x v="31"/>
    <x v="2"/>
    <x v="0"/>
    <x v="0"/>
    <x v="0"/>
    <x v="0"/>
    <x v="0"/>
    <x v="1"/>
    <x v="1"/>
    <x v="0"/>
    <x v="1"/>
    <n v="40"/>
    <n v="0.17647058823529416"/>
    <n v="2666"/>
    <n v="7.4999999999999956E-2"/>
    <n v="1279680"/>
    <n v="0.26470588235294112"/>
    <n v="3502499"/>
    <n v="0.37040396116307323"/>
    <n v="1927907"/>
    <n v="0.4860414816733265"/>
    <n v="294912"/>
    <n v="0.1957620899238133"/>
    <n v="550262.4"/>
    <n v="2124854.4"/>
  </r>
  <r>
    <x v="31"/>
    <x v="31"/>
    <x v="3"/>
    <x v="0"/>
    <x v="0"/>
    <x v="0"/>
    <x v="0"/>
    <x v="0"/>
    <x v="1"/>
    <x v="1"/>
    <x v="0"/>
    <x v="1"/>
    <n v="40"/>
    <n v="0"/>
    <n v="2813"/>
    <n v="5.5138784696173948E-2"/>
    <n v="1350240"/>
    <n v="5.5138784696173948E-2"/>
    <n v="3936974"/>
    <n v="0.1240471446244524"/>
    <n v="2316948"/>
    <n v="0.201794484899946"/>
    <n v="269786"/>
    <n v="-8.519829644097221E-2"/>
    <n v="580603.19999999995"/>
    <n v="2200629.2000000002"/>
  </r>
  <r>
    <x v="31"/>
    <x v="31"/>
    <x v="4"/>
    <x v="0"/>
    <x v="0"/>
    <x v="0"/>
    <x v="0"/>
    <x v="0"/>
    <x v="1"/>
    <x v="1"/>
    <x v="0"/>
    <x v="1"/>
    <n v="42"/>
    <n v="5.0000000000000044E-2"/>
    <n v="3112"/>
    <n v="0.1062922147173835"/>
    <n v="1568448"/>
    <n v="0.16160682545325278"/>
    <n v="4517735"/>
    <n v="0.1475145632153019"/>
    <n v="2632438"/>
    <n v="0.13616619794660911"/>
    <n v="316849"/>
    <n v="0.17444567175465009"/>
    <n v="674432.64"/>
    <n v="2559729.64"/>
  </r>
  <r>
    <x v="31"/>
    <x v="31"/>
    <x v="5"/>
    <x v="0"/>
    <x v="0"/>
    <x v="0"/>
    <x v="0"/>
    <x v="0"/>
    <x v="1"/>
    <x v="1"/>
    <x v="0"/>
    <x v="1"/>
    <n v="44"/>
    <n v="4.7619047619047672E-2"/>
    <n v="3463"/>
    <n v="0.11278920308483301"/>
    <n v="1828464"/>
    <n v="0.16577916513649171"/>
    <n v="5231622"/>
    <n v="0.15801878596243471"/>
    <n v="3073996"/>
    <n v="0.1677372838410629"/>
    <n v="329162"/>
    <n v="3.8860782265369258E-2"/>
    <n v="786239.52"/>
    <n v="2943865.52"/>
  </r>
  <r>
    <x v="32"/>
    <x v="32"/>
    <x v="0"/>
    <x v="0"/>
    <x v="0"/>
    <x v="0"/>
    <x v="0"/>
    <x v="0"/>
    <x v="0"/>
    <x v="0"/>
    <x v="0"/>
    <x v="0"/>
    <n v="0"/>
    <n v="0"/>
    <n v="0"/>
    <n v="0"/>
    <n v="0"/>
    <n v="0"/>
    <n v="43550"/>
    <n v="0"/>
    <n v="0"/>
    <n v="0"/>
    <n v="12235"/>
    <n v="0"/>
    <n v="0"/>
    <n v="43550"/>
  </r>
  <r>
    <x v="32"/>
    <x v="32"/>
    <x v="1"/>
    <x v="0"/>
    <x v="0"/>
    <x v="0"/>
    <x v="0"/>
    <x v="0"/>
    <x v="0"/>
    <x v="0"/>
    <x v="0"/>
    <x v="0"/>
    <n v="0"/>
    <n v="0"/>
    <n v="0"/>
    <n v="0"/>
    <n v="0"/>
    <n v="0"/>
    <n v="41989"/>
    <n v="-3.5843857634902387E-2"/>
    <n v="0"/>
    <n v="0"/>
    <n v="-561"/>
    <n v="-1.0458520637515329"/>
    <n v="0"/>
    <n v="41989"/>
  </r>
  <r>
    <x v="32"/>
    <x v="32"/>
    <x v="2"/>
    <x v="0"/>
    <x v="0"/>
    <x v="0"/>
    <x v="0"/>
    <x v="0"/>
    <x v="0"/>
    <x v="0"/>
    <x v="0"/>
    <x v="0"/>
    <n v="0"/>
    <n v="0"/>
    <n v="0"/>
    <n v="0"/>
    <n v="0"/>
    <n v="0"/>
    <n v="96352"/>
    <n v="1.2946962299649909"/>
    <n v="0"/>
    <n v="0"/>
    <n v="9803"/>
    <n v="-18.474153297682712"/>
    <n v="0"/>
    <n v="96352"/>
  </r>
  <r>
    <x v="32"/>
    <x v="32"/>
    <x v="3"/>
    <x v="0"/>
    <x v="0"/>
    <x v="0"/>
    <x v="0"/>
    <x v="0"/>
    <x v="0"/>
    <x v="0"/>
    <x v="0"/>
    <x v="0"/>
    <n v="0"/>
    <n v="0"/>
    <n v="0"/>
    <n v="0"/>
    <n v="0"/>
    <n v="0"/>
    <n v="201924"/>
    <n v="1.0956908003985391"/>
    <n v="0"/>
    <n v="0"/>
    <n v="25138"/>
    <n v="1.564317045802305"/>
    <n v="0"/>
    <n v="201924"/>
  </r>
  <r>
    <x v="32"/>
    <x v="32"/>
    <x v="4"/>
    <x v="0"/>
    <x v="0"/>
    <x v="0"/>
    <x v="0"/>
    <x v="0"/>
    <x v="0"/>
    <x v="0"/>
    <x v="0"/>
    <x v="0"/>
    <n v="0"/>
    <n v="0"/>
    <n v="0"/>
    <n v="0"/>
    <n v="0"/>
    <n v="0"/>
    <n v="203378"/>
    <n v="7.2007289871436342E-3"/>
    <n v="0"/>
    <n v="0"/>
    <n v="28667"/>
    <n v="0.14038507438937059"/>
    <n v="0"/>
    <n v="203378"/>
  </r>
  <r>
    <x v="32"/>
    <x v="32"/>
    <x v="5"/>
    <x v="0"/>
    <x v="0"/>
    <x v="0"/>
    <x v="0"/>
    <x v="0"/>
    <x v="0"/>
    <x v="0"/>
    <x v="0"/>
    <x v="0"/>
    <n v="0"/>
    <n v="0"/>
    <n v="0"/>
    <n v="0"/>
    <n v="0"/>
    <n v="0"/>
    <n v="211576"/>
    <n v="4.0309177983852702E-2"/>
    <n v="0"/>
    <n v="0"/>
    <n v="1076"/>
    <n v="-0.9624655527261311"/>
    <n v="0"/>
    <n v="211576"/>
  </r>
  <r>
    <x v="33"/>
    <x v="33"/>
    <x v="0"/>
    <x v="0"/>
    <x v="0"/>
    <x v="0"/>
    <x v="0"/>
    <x v="0"/>
    <x v="0"/>
    <x v="0"/>
    <x v="0"/>
    <x v="0"/>
    <n v="43"/>
    <n v="0"/>
    <n v="1821"/>
    <n v="0"/>
    <n v="939636"/>
    <n v="0"/>
    <n v="2147000"/>
    <n v="0"/>
    <n v="894364"/>
    <n v="0"/>
    <n v="313000"/>
    <n v="0"/>
    <n v="404043.48"/>
    <n v="1656679.48"/>
  </r>
  <r>
    <x v="33"/>
    <x v="33"/>
    <x v="1"/>
    <x v="0"/>
    <x v="0"/>
    <x v="0"/>
    <x v="0"/>
    <x v="0"/>
    <x v="0"/>
    <x v="0"/>
    <x v="0"/>
    <x v="0"/>
    <n v="34"/>
    <n v="-0.20930232558139539"/>
    <n v="1937"/>
    <n v="6.3701263042284406E-2"/>
    <n v="790296"/>
    <n v="-0.15893388503633321"/>
    <n v="1750000"/>
    <n v="-0.18490917559385189"/>
    <n v="710704"/>
    <n v="-0.20535263047260399"/>
    <n v="249000"/>
    <n v="-0.2044728434504792"/>
    <n v="339827.27999999997"/>
    <n v="1379123.28"/>
  </r>
  <r>
    <x v="33"/>
    <x v="33"/>
    <x v="2"/>
    <x v="0"/>
    <x v="0"/>
    <x v="0"/>
    <x v="0"/>
    <x v="0"/>
    <x v="0"/>
    <x v="0"/>
    <x v="0"/>
    <x v="0"/>
    <n v="37"/>
    <n v="8.8235294117646967E-2"/>
    <n v="2288"/>
    <n v="0.18120805369127521"/>
    <n v="1015872"/>
    <n v="0.28543229372285817"/>
    <n v="3889000"/>
    <n v="1.222285714285714"/>
    <n v="2740128"/>
    <n v="2.8555122807807471"/>
    <n v="133000"/>
    <n v="-0.46586345381526112"/>
    <n v="436824.96"/>
    <n v="1585696.96"/>
  </r>
  <r>
    <x v="33"/>
    <x v="33"/>
    <x v="3"/>
    <x v="0"/>
    <x v="0"/>
    <x v="0"/>
    <x v="0"/>
    <x v="0"/>
    <x v="0"/>
    <x v="0"/>
    <x v="0"/>
    <x v="0"/>
    <n v="40"/>
    <n v="8.1081081081081141E-2"/>
    <n v="2632"/>
    <n v="0.15034965034965039"/>
    <n v="1263360"/>
    <n v="0.24362124362124371"/>
    <n v="5674000"/>
    <n v="0.45898688608896898"/>
    <n v="4230640"/>
    <n v="0.54395707061859877"/>
    <n v="180000"/>
    <n v="0.35338345864661652"/>
    <n v="543244.80000000005"/>
    <n v="1986604.8"/>
  </r>
  <r>
    <x v="33"/>
    <x v="33"/>
    <x v="4"/>
    <x v="0"/>
    <x v="0"/>
    <x v="0"/>
    <x v="0"/>
    <x v="0"/>
    <x v="0"/>
    <x v="0"/>
    <x v="0"/>
    <x v="0"/>
    <n v="42"/>
    <n v="5.0000000000000044E-2"/>
    <n v="2864"/>
    <n v="8.8145896656534939E-2"/>
    <n v="1443456"/>
    <n v="0.14255319148936163"/>
    <n v="4918000"/>
    <n v="-0.13323933732816351"/>
    <n v="4243544"/>
    <n v="3.0501295312292953E-3"/>
    <n v="-769000"/>
    <n v="-5.2722222222222221"/>
    <n v="620686.07999999996"/>
    <n v="1295142.08"/>
  </r>
  <r>
    <x v="33"/>
    <x v="33"/>
    <x v="5"/>
    <x v="0"/>
    <x v="0"/>
    <x v="0"/>
    <x v="0"/>
    <x v="0"/>
    <x v="0"/>
    <x v="0"/>
    <x v="0"/>
    <x v="0"/>
    <n v="21"/>
    <n v="-0.5"/>
    <n v="2980"/>
    <n v="4.0502793296089301E-2"/>
    <n v="750960"/>
    <n v="-0.47974860335195535"/>
    <n v="4813000"/>
    <n v="-2.1350142334282229E-2"/>
    <n v="3125040"/>
    <n v="-0.26357780195044522"/>
    <n v="937000"/>
    <n v="2.2184655396619002"/>
    <n v="322912.8"/>
    <n v="2010872.8"/>
  </r>
  <r>
    <x v="34"/>
    <x v="34"/>
    <x v="0"/>
    <x v="0"/>
    <x v="0"/>
    <x v="0"/>
    <x v="0"/>
    <x v="1"/>
    <x v="0"/>
    <x v="0"/>
    <x v="1"/>
    <x v="0"/>
    <n v="1"/>
    <n v="0"/>
    <n v="0"/>
    <n v="0"/>
    <n v="0"/>
    <n v="0"/>
    <n v="213414"/>
    <n v="0"/>
    <n v="0"/>
    <n v="0"/>
    <n v="56780"/>
    <n v="0"/>
    <n v="0"/>
    <n v="213414"/>
  </r>
  <r>
    <x v="34"/>
    <x v="34"/>
    <x v="1"/>
    <x v="0"/>
    <x v="0"/>
    <x v="0"/>
    <x v="0"/>
    <x v="1"/>
    <x v="0"/>
    <x v="0"/>
    <x v="1"/>
    <x v="0"/>
    <n v="1"/>
    <n v="0"/>
    <n v="0"/>
    <n v="0"/>
    <n v="0"/>
    <n v="0"/>
    <n v="153278"/>
    <n v="-0.28000000000000003"/>
    <n v="0"/>
    <n v="0"/>
    <n v="-2132"/>
    <n v="-1.04"/>
    <n v="0"/>
    <n v="153278"/>
  </r>
  <r>
    <x v="34"/>
    <x v="34"/>
    <x v="2"/>
    <x v="0"/>
    <x v="0"/>
    <x v="0"/>
    <x v="0"/>
    <x v="1"/>
    <x v="0"/>
    <x v="0"/>
    <x v="1"/>
    <x v="0"/>
    <n v="1"/>
    <n v="0"/>
    <n v="0"/>
    <n v="0"/>
    <n v="0"/>
    <n v="0"/>
    <n v="196578"/>
    <n v="0.28000000000000003"/>
    <n v="0"/>
    <n v="0"/>
    <n v="21552"/>
    <n v="11.11"/>
    <n v="0"/>
    <n v="196578"/>
  </r>
  <r>
    <x v="34"/>
    <x v="34"/>
    <x v="3"/>
    <x v="0"/>
    <x v="0"/>
    <x v="0"/>
    <x v="0"/>
    <x v="1"/>
    <x v="0"/>
    <x v="0"/>
    <x v="1"/>
    <x v="0"/>
    <n v="1"/>
    <n v="0"/>
    <n v="0"/>
    <n v="0"/>
    <n v="0"/>
    <n v="0"/>
    <n v="240432"/>
    <n v="0.22"/>
    <n v="0"/>
    <n v="0"/>
    <n v="23364"/>
    <n v="0.08"/>
    <n v="0"/>
    <n v="240432"/>
  </r>
  <r>
    <x v="34"/>
    <x v="34"/>
    <x v="4"/>
    <x v="0"/>
    <x v="0"/>
    <x v="0"/>
    <x v="0"/>
    <x v="1"/>
    <x v="0"/>
    <x v="0"/>
    <x v="1"/>
    <x v="0"/>
    <n v="2"/>
    <n v="1"/>
    <n v="0"/>
    <n v="0"/>
    <n v="0"/>
    <n v="0"/>
    <n v="155163"/>
    <n v="-0.35"/>
    <n v="0"/>
    <n v="0"/>
    <n v="-27895"/>
    <n v="-2.19"/>
    <n v="0"/>
    <n v="155163"/>
  </r>
  <r>
    <x v="34"/>
    <x v="34"/>
    <x v="5"/>
    <x v="0"/>
    <x v="0"/>
    <x v="0"/>
    <x v="0"/>
    <x v="1"/>
    <x v="0"/>
    <x v="0"/>
    <x v="1"/>
    <x v="0"/>
    <n v="3"/>
    <n v="0.5"/>
    <n v="0"/>
    <n v="0"/>
    <n v="0"/>
    <n v="0"/>
    <n v="217614"/>
    <n v="0.4"/>
    <n v="0"/>
    <n v="0"/>
    <n v="31160"/>
    <n v="2.12"/>
    <n v="0"/>
    <n v="217614"/>
  </r>
  <r>
    <x v="35"/>
    <x v="35"/>
    <x v="0"/>
    <x v="0"/>
    <x v="1"/>
    <x v="0"/>
    <x v="0"/>
    <x v="0"/>
    <x v="0"/>
    <x v="0"/>
    <x v="1"/>
    <x v="0"/>
    <n v="21"/>
    <n v="0"/>
    <n v="805"/>
    <n v="0"/>
    <n v="202860"/>
    <n v="0"/>
    <n v="1425182"/>
    <n v="0"/>
    <n v="1221573"/>
    <n v="0"/>
    <n v="749"/>
    <n v="0"/>
    <n v="87229.8"/>
    <n v="290838.8"/>
  </r>
  <r>
    <x v="35"/>
    <x v="35"/>
    <x v="1"/>
    <x v="0"/>
    <x v="1"/>
    <x v="0"/>
    <x v="0"/>
    <x v="0"/>
    <x v="0"/>
    <x v="0"/>
    <x v="1"/>
    <x v="0"/>
    <n v="18"/>
    <n v="-0.1428571428571429"/>
    <n v="672"/>
    <n v="-0.17"/>
    <n v="145152"/>
    <n v="-0.28447204968944095"/>
    <n v="629069"/>
    <n v="-0.56000000000000005"/>
    <n v="483844"/>
    <n v="-0.60391724440536909"/>
    <n v="73"/>
    <n v="-0.9"/>
    <n v="62415.360000000001"/>
    <n v="207640.36"/>
  </r>
  <r>
    <x v="35"/>
    <x v="35"/>
    <x v="2"/>
    <x v="0"/>
    <x v="1"/>
    <x v="0"/>
    <x v="0"/>
    <x v="0"/>
    <x v="0"/>
    <x v="0"/>
    <x v="1"/>
    <x v="0"/>
    <n v="15"/>
    <n v="-0.16666666666666663"/>
    <n v="706"/>
    <n v="0.05"/>
    <n v="127080"/>
    <n v="-0.12450396825396826"/>
    <n v="621316"/>
    <n v="-0.01"/>
    <n v="494185"/>
    <n v="2.1372591165747634E-2"/>
    <n v="51"/>
    <n v="-0.3"/>
    <n v="54644.4"/>
    <n v="181775.4"/>
  </r>
  <r>
    <x v="35"/>
    <x v="35"/>
    <x v="3"/>
    <x v="0"/>
    <x v="1"/>
    <x v="0"/>
    <x v="0"/>
    <x v="0"/>
    <x v="0"/>
    <x v="0"/>
    <x v="1"/>
    <x v="0"/>
    <n v="14"/>
    <n v="-6.6666666666666652E-2"/>
    <n v="702"/>
    <n v="-0.01"/>
    <n v="117936"/>
    <n v="-7.1954674220963133E-2"/>
    <n v="790127"/>
    <n v="0.27"/>
    <n v="670821"/>
    <n v="0.35742889808472533"/>
    <n v="1370"/>
    <n v="25.86"/>
    <n v="50712.479999999996"/>
    <n v="170018.47999999998"/>
  </r>
  <r>
    <x v="35"/>
    <x v="35"/>
    <x v="4"/>
    <x v="0"/>
    <x v="1"/>
    <x v="0"/>
    <x v="0"/>
    <x v="0"/>
    <x v="0"/>
    <x v="0"/>
    <x v="1"/>
    <x v="0"/>
    <n v="13"/>
    <n v="-7.1428571428571397E-2"/>
    <n v="951"/>
    <n v="0.35"/>
    <n v="148356"/>
    <n v="0.25793650793650791"/>
    <n v="1357188"/>
    <n v="0.72"/>
    <n v="1190125"/>
    <n v="0.7741319964640343"/>
    <n v="18707"/>
    <n v="12.65"/>
    <n v="63793.08"/>
    <n v="230856.08000000002"/>
  </r>
  <r>
    <x v="35"/>
    <x v="35"/>
    <x v="5"/>
    <x v="0"/>
    <x v="1"/>
    <x v="0"/>
    <x v="0"/>
    <x v="0"/>
    <x v="0"/>
    <x v="0"/>
    <x v="1"/>
    <x v="0"/>
    <n v="11"/>
    <n v="-0.15384615384615385"/>
    <n v="1136"/>
    <n v="0.19"/>
    <n v="149952"/>
    <n v="1.0757906656960303E-2"/>
    <n v="1984708"/>
    <n v="0.46"/>
    <n v="1741362"/>
    <n v="0.46317571683646674"/>
    <n v="93394"/>
    <n v="3.99"/>
    <n v="64479.360000000001"/>
    <n v="307825.36"/>
  </r>
  <r>
    <x v="36"/>
    <x v="36"/>
    <x v="0"/>
    <x v="0"/>
    <x v="0"/>
    <x v="0"/>
    <x v="0"/>
    <x v="0"/>
    <x v="0"/>
    <x v="0"/>
    <x v="0"/>
    <x v="0"/>
    <n v="2"/>
    <n v="0"/>
    <n v="0"/>
    <n v="0"/>
    <n v="0"/>
    <n v="0"/>
    <n v="391819"/>
    <n v="0"/>
    <n v="0"/>
    <n v="0"/>
    <n v="4711"/>
    <n v="0"/>
    <n v="0"/>
    <n v="391819"/>
  </r>
  <r>
    <x v="36"/>
    <x v="36"/>
    <x v="1"/>
    <x v="0"/>
    <x v="0"/>
    <x v="0"/>
    <x v="0"/>
    <x v="0"/>
    <x v="0"/>
    <x v="0"/>
    <x v="0"/>
    <x v="0"/>
    <n v="2"/>
    <n v="0"/>
    <n v="0"/>
    <n v="0"/>
    <n v="0"/>
    <n v="0"/>
    <n v="447495"/>
    <n v="0.14209622300092639"/>
    <n v="0"/>
    <n v="0"/>
    <n v="-81138"/>
    <n v="-18.223094884313308"/>
    <n v="0"/>
    <n v="447495"/>
  </r>
  <r>
    <x v="36"/>
    <x v="36"/>
    <x v="2"/>
    <x v="0"/>
    <x v="0"/>
    <x v="0"/>
    <x v="0"/>
    <x v="0"/>
    <x v="0"/>
    <x v="0"/>
    <x v="0"/>
    <x v="0"/>
    <n v="1"/>
    <n v="-0.5"/>
    <n v="0"/>
    <n v="0"/>
    <n v="0"/>
    <n v="0"/>
    <n v="378329"/>
    <n v="-0.1545626208114057"/>
    <n v="0"/>
    <n v="0"/>
    <n v="41669"/>
    <n v="-1.5135571495476841"/>
    <n v="0"/>
    <n v="378329"/>
  </r>
  <r>
    <x v="36"/>
    <x v="36"/>
    <x v="3"/>
    <x v="0"/>
    <x v="0"/>
    <x v="0"/>
    <x v="0"/>
    <x v="0"/>
    <x v="0"/>
    <x v="0"/>
    <x v="0"/>
    <x v="0"/>
    <n v="1"/>
    <n v="0"/>
    <n v="0"/>
    <n v="0"/>
    <n v="0"/>
    <n v="0"/>
    <n v="460101"/>
    <n v="0.21613992054534539"/>
    <n v="0"/>
    <n v="0"/>
    <n v="246126"/>
    <n v="4.9066932251793904"/>
    <n v="0"/>
    <n v="460101"/>
  </r>
  <r>
    <x v="36"/>
    <x v="36"/>
    <x v="4"/>
    <x v="0"/>
    <x v="0"/>
    <x v="0"/>
    <x v="0"/>
    <x v="0"/>
    <x v="0"/>
    <x v="0"/>
    <x v="0"/>
    <x v="0"/>
    <n v="1"/>
    <n v="0"/>
    <n v="0"/>
    <n v="0"/>
    <n v="0"/>
    <n v="0"/>
    <n v="0"/>
    <n v="0"/>
    <n v="0"/>
    <n v="0"/>
    <n v="25837"/>
    <n v="-0.89502531223844695"/>
    <n v="0"/>
    <n v="0"/>
  </r>
  <r>
    <x v="36"/>
    <x v="36"/>
    <x v="5"/>
    <x v="0"/>
    <x v="0"/>
    <x v="0"/>
    <x v="0"/>
    <x v="0"/>
    <x v="0"/>
    <x v="0"/>
    <x v="0"/>
    <x v="0"/>
    <n v="1"/>
    <n v="0"/>
    <n v="0"/>
    <n v="0"/>
    <n v="0"/>
    <n v="0"/>
    <n v="0"/>
    <n v="0"/>
    <n v="0"/>
    <n v="0"/>
    <n v="0"/>
    <n v="0"/>
    <n v="0"/>
    <n v="0"/>
  </r>
  <r>
    <x v="37"/>
    <x v="37"/>
    <x v="0"/>
    <x v="0"/>
    <x v="0"/>
    <x v="0"/>
    <x v="0"/>
    <x v="0"/>
    <x v="1"/>
    <x v="0"/>
    <x v="1"/>
    <x v="0"/>
    <n v="1"/>
    <n v="0"/>
    <n v="0"/>
    <n v="0"/>
    <n v="0"/>
    <n v="0"/>
    <n v="22054"/>
    <n v="0"/>
    <n v="0"/>
    <n v="0"/>
    <n v="467"/>
    <n v="0"/>
    <n v="0"/>
    <n v="22054"/>
  </r>
  <r>
    <x v="37"/>
    <x v="37"/>
    <x v="1"/>
    <x v="0"/>
    <x v="0"/>
    <x v="0"/>
    <x v="0"/>
    <x v="0"/>
    <x v="1"/>
    <x v="0"/>
    <x v="1"/>
    <x v="0"/>
    <n v="1"/>
    <n v="0"/>
    <n v="0"/>
    <n v="0"/>
    <n v="0"/>
    <n v="0"/>
    <n v="17953"/>
    <n v="-0.18595266164868049"/>
    <n v="0"/>
    <n v="0"/>
    <n v="1177"/>
    <n v="1.5203426124196999"/>
    <n v="0"/>
    <n v="17953"/>
  </r>
  <r>
    <x v="37"/>
    <x v="37"/>
    <x v="2"/>
    <x v="0"/>
    <x v="0"/>
    <x v="0"/>
    <x v="0"/>
    <x v="0"/>
    <x v="1"/>
    <x v="0"/>
    <x v="1"/>
    <x v="0"/>
    <n v="1"/>
    <n v="0"/>
    <n v="0"/>
    <n v="0"/>
    <n v="0"/>
    <n v="0"/>
    <n v="31688"/>
    <n v="0.76505319445218078"/>
    <n v="0"/>
    <n v="0"/>
    <n v="1376"/>
    <n v="0.16907391673746819"/>
    <n v="0"/>
    <n v="31688"/>
  </r>
  <r>
    <x v="37"/>
    <x v="37"/>
    <x v="3"/>
    <x v="0"/>
    <x v="0"/>
    <x v="0"/>
    <x v="0"/>
    <x v="0"/>
    <x v="1"/>
    <x v="0"/>
    <x v="1"/>
    <x v="0"/>
    <n v="1"/>
    <n v="0"/>
    <n v="0"/>
    <n v="0"/>
    <n v="0"/>
    <n v="0"/>
    <n v="64112"/>
    <n v="1.02322645796516"/>
    <n v="0"/>
    <n v="0"/>
    <n v="1818"/>
    <n v="0.32122093023255821"/>
    <n v="0"/>
    <n v="64112"/>
  </r>
  <r>
    <x v="37"/>
    <x v="37"/>
    <x v="4"/>
    <x v="0"/>
    <x v="0"/>
    <x v="0"/>
    <x v="0"/>
    <x v="0"/>
    <x v="1"/>
    <x v="0"/>
    <x v="1"/>
    <x v="0"/>
    <n v="1"/>
    <n v="0"/>
    <n v="0"/>
    <n v="0"/>
    <n v="0"/>
    <n v="0"/>
    <n v="50177"/>
    <n v="-0.21735400549039191"/>
    <n v="0"/>
    <n v="0"/>
    <n v="2050"/>
    <n v="0.1276127612761275"/>
    <n v="0"/>
    <n v="50177"/>
  </r>
  <r>
    <x v="37"/>
    <x v="37"/>
    <x v="5"/>
    <x v="0"/>
    <x v="0"/>
    <x v="0"/>
    <x v="0"/>
    <x v="0"/>
    <x v="1"/>
    <x v="0"/>
    <x v="1"/>
    <x v="0"/>
    <n v="1"/>
    <n v="0"/>
    <n v="0"/>
    <n v="0"/>
    <n v="0"/>
    <n v="0"/>
    <n v="41486"/>
    <n v="-0.17320684775893341"/>
    <n v="0"/>
    <n v="0"/>
    <n v="436"/>
    <n v="-0.78731707317073174"/>
    <n v="0"/>
    <n v="41486"/>
  </r>
  <r>
    <x v="38"/>
    <x v="38"/>
    <x v="0"/>
    <x v="0"/>
    <x v="0"/>
    <x v="0"/>
    <x v="1"/>
    <x v="0"/>
    <x v="0"/>
    <x v="0"/>
    <x v="0"/>
    <x v="0"/>
    <n v="24"/>
    <n v="0"/>
    <n v="2049"/>
    <n v="0"/>
    <n v="590112"/>
    <n v="0"/>
    <n v="5847369"/>
    <n v="0"/>
    <n v="4869586"/>
    <n v="0"/>
    <n v="387671"/>
    <n v="0"/>
    <n v="253748.16"/>
    <n v="1231531.1599999999"/>
  </r>
  <r>
    <x v="38"/>
    <x v="38"/>
    <x v="1"/>
    <x v="0"/>
    <x v="0"/>
    <x v="0"/>
    <x v="1"/>
    <x v="0"/>
    <x v="0"/>
    <x v="0"/>
    <x v="0"/>
    <x v="0"/>
    <n v="27"/>
    <n v="0.125"/>
    <n v="2167"/>
    <n v="0.06"/>
    <n v="702108"/>
    <n v="0.18978770131771605"/>
    <n v="6041502"/>
    <n v="0.03"/>
    <n v="5088172"/>
    <n v="4.4888004852979391E-2"/>
    <n v="251222"/>
    <n v="-0.35"/>
    <n v="301906.44"/>
    <n v="1255236.44"/>
  </r>
  <r>
    <x v="38"/>
    <x v="38"/>
    <x v="2"/>
    <x v="0"/>
    <x v="0"/>
    <x v="0"/>
    <x v="1"/>
    <x v="0"/>
    <x v="0"/>
    <x v="0"/>
    <x v="0"/>
    <x v="0"/>
    <n v="32"/>
    <n v="0.18518518518518512"/>
    <n v="2575"/>
    <n v="0.19"/>
    <n v="988800"/>
    <n v="0.4083303423404947"/>
    <n v="10390945"/>
    <n v="0.72"/>
    <n v="8932955"/>
    <n v="0.75563149201717228"/>
    <n v="469190"/>
    <n v="0.87"/>
    <n v="425184"/>
    <n v="1883174"/>
  </r>
  <r>
    <x v="38"/>
    <x v="38"/>
    <x v="3"/>
    <x v="0"/>
    <x v="0"/>
    <x v="0"/>
    <x v="1"/>
    <x v="0"/>
    <x v="0"/>
    <x v="0"/>
    <x v="0"/>
    <x v="0"/>
    <n v="33"/>
    <n v="3.125E-2"/>
    <n v="2851"/>
    <n v="0.11"/>
    <n v="1128996"/>
    <n v="0.14178398058252428"/>
    <n v="9116200"/>
    <n v="-0.12"/>
    <n v="7681123"/>
    <n v="-0.14013638264157824"/>
    <n v="306081"/>
    <n v="-0.35"/>
    <n v="485468.27999999997"/>
    <n v="1920545.28"/>
  </r>
  <r>
    <x v="38"/>
    <x v="38"/>
    <x v="4"/>
    <x v="0"/>
    <x v="0"/>
    <x v="0"/>
    <x v="1"/>
    <x v="0"/>
    <x v="0"/>
    <x v="0"/>
    <x v="0"/>
    <x v="0"/>
    <n v="32"/>
    <n v="-3.0303030303030276E-2"/>
    <n v="3081"/>
    <n v="0.08"/>
    <n v="1183104"/>
    <n v="4.7925767673224762E-2"/>
    <n v="9198605"/>
    <n v="0.01"/>
    <n v="7771179"/>
    <n v="1.172432728912165E-2"/>
    <n v="244322"/>
    <n v="-0.2"/>
    <n v="508734.71999999997"/>
    <n v="1936160.72"/>
  </r>
  <r>
    <x v="38"/>
    <x v="38"/>
    <x v="5"/>
    <x v="0"/>
    <x v="0"/>
    <x v="0"/>
    <x v="1"/>
    <x v="0"/>
    <x v="0"/>
    <x v="0"/>
    <x v="0"/>
    <x v="0"/>
    <n v="31"/>
    <n v="-3.125E-2"/>
    <n v="3243"/>
    <n v="0.05"/>
    <n v="1206396"/>
    <n v="1.9687195715676786E-2"/>
    <n v="10097522"/>
    <n v="0.1"/>
    <n v="8646724"/>
    <n v="0.11266565858282251"/>
    <n v="244402"/>
    <n v="0"/>
    <n v="518750.27999999997"/>
    <n v="1969548.28"/>
  </r>
  <r>
    <x v="39"/>
    <x v="39"/>
    <x v="0"/>
    <x v="0"/>
    <x v="0"/>
    <x v="0"/>
    <x v="1"/>
    <x v="0"/>
    <x v="0"/>
    <x v="0"/>
    <x v="1"/>
    <x v="0"/>
    <n v="21"/>
    <n v="0"/>
    <n v="2194"/>
    <n v="0"/>
    <n v="552888"/>
    <n v="0"/>
    <n v="7511674"/>
    <n v="0"/>
    <n v="6657005"/>
    <n v="0"/>
    <n v="301781"/>
    <n v="0"/>
    <n v="237741.84"/>
    <n v="1092410.8400000001"/>
  </r>
  <r>
    <x v="39"/>
    <x v="39"/>
    <x v="1"/>
    <x v="0"/>
    <x v="0"/>
    <x v="0"/>
    <x v="1"/>
    <x v="0"/>
    <x v="0"/>
    <x v="0"/>
    <x v="1"/>
    <x v="0"/>
    <n v="19"/>
    <n v="-9.5238095238095233E-2"/>
    <n v="2559"/>
    <n v="0.16636280765724701"/>
    <n v="583452"/>
    <n v="5.5280635499413977E-2"/>
    <n v="8107694"/>
    <n v="7.9345828905780458E-2"/>
    <n v="7246153"/>
    <n v="8.8500459290626887E-2"/>
    <n v="278089"/>
    <n v="-7.8507261888588031E-2"/>
    <n v="250884.36"/>
    <n v="1112425.3599999999"/>
  </r>
  <r>
    <x v="39"/>
    <x v="39"/>
    <x v="2"/>
    <x v="0"/>
    <x v="0"/>
    <x v="0"/>
    <x v="1"/>
    <x v="0"/>
    <x v="0"/>
    <x v="0"/>
    <x v="1"/>
    <x v="0"/>
    <n v="20"/>
    <n v="5.2631578947368363E-2"/>
    <n v="2794"/>
    <n v="9.1832747166862072E-2"/>
    <n v="670560"/>
    <n v="0.14929762859669693"/>
    <n v="9433509"/>
    <n v="0.16352553512749729"/>
    <n v="8440390"/>
    <n v="0.16480979631536896"/>
    <n v="322559"/>
    <n v="0.1599128336611659"/>
    <n v="288340.8"/>
    <n v="1281459.8"/>
  </r>
  <r>
    <x v="39"/>
    <x v="39"/>
    <x v="3"/>
    <x v="0"/>
    <x v="0"/>
    <x v="0"/>
    <x v="1"/>
    <x v="0"/>
    <x v="0"/>
    <x v="0"/>
    <x v="1"/>
    <x v="0"/>
    <n v="22"/>
    <n v="0.10000000000000009"/>
    <n v="2988"/>
    <n v="6.9434502505368645E-2"/>
    <n v="788832"/>
    <n v="0.17637795275590551"/>
    <n v="9608231"/>
    <n v="1.8521421880235641E-2"/>
    <n v="8684419"/>
    <n v="2.8912052642117159E-2"/>
    <n v="134980"/>
    <n v="-0.58153392092609413"/>
    <n v="339197.76"/>
    <n v="1263009.76"/>
  </r>
  <r>
    <x v="39"/>
    <x v="39"/>
    <x v="4"/>
    <x v="0"/>
    <x v="0"/>
    <x v="0"/>
    <x v="1"/>
    <x v="0"/>
    <x v="0"/>
    <x v="0"/>
    <x v="1"/>
    <x v="0"/>
    <n v="22"/>
    <n v="0"/>
    <n v="3492"/>
    <n v="0.16867469879518079"/>
    <n v="921888"/>
    <n v="0.16867469879518082"/>
    <n v="10925676"/>
    <n v="0.137116291229884"/>
    <n v="9879843"/>
    <n v="0.13765158037630387"/>
    <n v="123945"/>
    <n v="-8.1752852274410981E-2"/>
    <n v="396411.83999999997"/>
    <n v="1442244.8399999999"/>
  </r>
  <r>
    <x v="39"/>
    <x v="39"/>
    <x v="5"/>
    <x v="0"/>
    <x v="0"/>
    <x v="0"/>
    <x v="1"/>
    <x v="0"/>
    <x v="0"/>
    <x v="0"/>
    <x v="1"/>
    <x v="0"/>
    <n v="24"/>
    <n v="9.0909090909090828E-2"/>
    <n v="3663"/>
    <n v="4.8969072164948502E-2"/>
    <n v="1054944"/>
    <n v="0.14432989690721643"/>
    <n v="10632287"/>
    <n v="-2.6853166797184861E-2"/>
    <n v="9329304"/>
    <n v="-5.5723456334275778E-2"/>
    <n v="248039"/>
    <n v="1.001202146113195"/>
    <n v="453625.92"/>
    <n v="1756608.92"/>
  </r>
  <r>
    <x v="40"/>
    <x v="40"/>
    <x v="0"/>
    <x v="0"/>
    <x v="0"/>
    <x v="0"/>
    <x v="0"/>
    <x v="0"/>
    <x v="0"/>
    <x v="1"/>
    <x v="1"/>
    <x v="0"/>
    <n v="18"/>
    <n v="0"/>
    <n v="2233"/>
    <n v="0"/>
    <n v="482328"/>
    <n v="0"/>
    <n v="1281358"/>
    <n v="0"/>
    <n v="615947"/>
    <n v="0"/>
    <n v="183083"/>
    <n v="0"/>
    <n v="207401.04"/>
    <n v="872812.04"/>
  </r>
  <r>
    <x v="40"/>
    <x v="40"/>
    <x v="1"/>
    <x v="0"/>
    <x v="0"/>
    <x v="0"/>
    <x v="0"/>
    <x v="0"/>
    <x v="0"/>
    <x v="1"/>
    <x v="1"/>
    <x v="0"/>
    <n v="15"/>
    <n v="-0.16666666666666663"/>
    <n v="2502"/>
    <n v="0.12046574115539641"/>
    <n v="450360"/>
    <n v="-6.6278549037169676E-2"/>
    <n v="1148506"/>
    <n v="-0.1036806263354971"/>
    <n v="454263"/>
    <n v="-0.26249661090970489"/>
    <n v="243883"/>
    <n v="0.33208981718674041"/>
    <n v="193654.8"/>
    <n v="887897.8"/>
  </r>
  <r>
    <x v="40"/>
    <x v="40"/>
    <x v="2"/>
    <x v="0"/>
    <x v="0"/>
    <x v="0"/>
    <x v="0"/>
    <x v="0"/>
    <x v="0"/>
    <x v="1"/>
    <x v="1"/>
    <x v="0"/>
    <n v="13"/>
    <n v="-0.1333333333333333"/>
    <n v="2615"/>
    <n v="4.5163868904876107E-2"/>
    <n v="407940"/>
    <n v="-9.4191313615774042E-2"/>
    <n v="1200820"/>
    <n v="4.5549609666819313E-2"/>
    <n v="631887"/>
    <n v="0.39101577720395464"/>
    <n v="160993"/>
    <n v="-0.33987608812422349"/>
    <n v="175414.2"/>
    <n v="744347.2"/>
  </r>
  <r>
    <x v="40"/>
    <x v="40"/>
    <x v="3"/>
    <x v="0"/>
    <x v="0"/>
    <x v="0"/>
    <x v="0"/>
    <x v="0"/>
    <x v="0"/>
    <x v="1"/>
    <x v="1"/>
    <x v="0"/>
    <n v="15"/>
    <n v="0.15384615384615374"/>
    <n v="2799"/>
    <n v="7.0363288718929162E-2"/>
    <n v="503820"/>
    <n v="0.23503456390645683"/>
    <n v="1212715"/>
    <n v="9.9057310837593615E-3"/>
    <n v="666220"/>
    <n v="5.4334081884894081E-2"/>
    <n v="42675"/>
    <n v="-0.73492636325802985"/>
    <n v="216642.6"/>
    <n v="763137.6"/>
  </r>
  <r>
    <x v="40"/>
    <x v="40"/>
    <x v="4"/>
    <x v="0"/>
    <x v="0"/>
    <x v="0"/>
    <x v="0"/>
    <x v="0"/>
    <x v="0"/>
    <x v="1"/>
    <x v="1"/>
    <x v="0"/>
    <n v="15"/>
    <n v="0"/>
    <n v="3015"/>
    <n v="7.7170418006430763E-2"/>
    <n v="542700"/>
    <n v="7.7170418006430763E-2"/>
    <n v="1844085"/>
    <n v="0.52062520872587537"/>
    <n v="1092912"/>
    <n v="0.64046711296568692"/>
    <n v="208473"/>
    <n v="3.8851318101933221"/>
    <n v="233361"/>
    <n v="984534"/>
  </r>
  <r>
    <x v="40"/>
    <x v="40"/>
    <x v="5"/>
    <x v="0"/>
    <x v="0"/>
    <x v="0"/>
    <x v="0"/>
    <x v="0"/>
    <x v="0"/>
    <x v="1"/>
    <x v="1"/>
    <x v="0"/>
    <n v="15"/>
    <n v="0"/>
    <n v="3176"/>
    <n v="5.3399668325041498E-2"/>
    <n v="571680"/>
    <n v="5.3399668325041505E-2"/>
    <n v="1572640"/>
    <n v="-0.1471976617129904"/>
    <n v="955853"/>
    <n v="-0.12540716910419136"/>
    <n v="45107"/>
    <n v="-0.78363145347359131"/>
    <n v="245822.4"/>
    <n v="862609.4"/>
  </r>
  <r>
    <x v="41"/>
    <x v="41"/>
    <x v="0"/>
    <x v="0"/>
    <x v="0"/>
    <x v="1"/>
    <x v="0"/>
    <x v="0"/>
    <x v="1"/>
    <x v="1"/>
    <x v="0"/>
    <x v="0"/>
    <n v="5"/>
    <n v="0"/>
    <n v="1572"/>
    <n v="0"/>
    <n v="94320"/>
    <n v="0"/>
    <n v="135593"/>
    <n v="0"/>
    <n v="28601"/>
    <n v="0"/>
    <n v="12672"/>
    <n v="0"/>
    <n v="40557.599999999999"/>
    <n v="147549.6"/>
  </r>
  <r>
    <x v="41"/>
    <x v="41"/>
    <x v="1"/>
    <x v="0"/>
    <x v="0"/>
    <x v="1"/>
    <x v="0"/>
    <x v="0"/>
    <x v="1"/>
    <x v="1"/>
    <x v="0"/>
    <x v="0"/>
    <n v="3"/>
    <n v="-0.4"/>
    <n v="2349"/>
    <n v="0.49427480916030531"/>
    <n v="84564"/>
    <n v="-0.10343511450381682"/>
    <n v="140132"/>
    <n v="3.3475179397166599E-2"/>
    <n v="54835"/>
    <n v="0.91724065592112169"/>
    <n v="733"/>
    <n v="-0.94215593434343436"/>
    <n v="36362.519999999997"/>
    <n v="121659.51999999999"/>
  </r>
  <r>
    <x v="41"/>
    <x v="41"/>
    <x v="2"/>
    <x v="0"/>
    <x v="0"/>
    <x v="1"/>
    <x v="0"/>
    <x v="0"/>
    <x v="1"/>
    <x v="1"/>
    <x v="0"/>
    <x v="0"/>
    <n v="4"/>
    <n v="0.33333333333333326"/>
    <n v="2364"/>
    <n v="6.3856960408683614E-3"/>
    <n v="113472"/>
    <n v="0.34184759472115789"/>
    <n v="204229"/>
    <n v="0.4574044472354637"/>
    <n v="85102"/>
    <n v="0.55196498586669107"/>
    <n v="5655"/>
    <n v="6.7148703956343789"/>
    <n v="48792.959999999999"/>
    <n v="167919.96"/>
  </r>
  <r>
    <x v="41"/>
    <x v="41"/>
    <x v="3"/>
    <x v="0"/>
    <x v="0"/>
    <x v="1"/>
    <x v="0"/>
    <x v="0"/>
    <x v="1"/>
    <x v="1"/>
    <x v="0"/>
    <x v="0"/>
    <n v="5"/>
    <n v="0.25"/>
    <n v="1821"/>
    <n v="-0.2296954314720813"/>
    <n v="109260"/>
    <n v="-3.7119289340101558E-2"/>
    <n v="308709"/>
    <n v="0.51158258621449448"/>
    <n v="199497"/>
    <n v="1.3442104768395571"/>
    <n v="-48"/>
    <n v="-1.0084880636604769"/>
    <n v="46981.8"/>
    <n v="156193.79999999999"/>
  </r>
  <r>
    <x v="41"/>
    <x v="41"/>
    <x v="4"/>
    <x v="0"/>
    <x v="0"/>
    <x v="1"/>
    <x v="0"/>
    <x v="0"/>
    <x v="1"/>
    <x v="1"/>
    <x v="0"/>
    <x v="0"/>
    <n v="6"/>
    <n v="0.19999999999999996"/>
    <n v="2005"/>
    <n v="0.101043382756727"/>
    <n v="144360"/>
    <n v="0.32125205930807255"/>
    <n v="463961"/>
    <n v="0.50290726865753843"/>
    <n v="318297"/>
    <n v="0.59549767665679187"/>
    <n v="1304"/>
    <n v="-28.166666666666671"/>
    <n v="62074.799999999996"/>
    <n v="207738.8"/>
  </r>
  <r>
    <x v="41"/>
    <x v="41"/>
    <x v="5"/>
    <x v="0"/>
    <x v="0"/>
    <x v="1"/>
    <x v="0"/>
    <x v="0"/>
    <x v="1"/>
    <x v="1"/>
    <x v="0"/>
    <x v="0"/>
    <n v="3"/>
    <n v="-0.5"/>
    <n v="2055"/>
    <n v="2.4937655860349128E-2"/>
    <n v="73980"/>
    <n v="-0.48753117206982544"/>
    <n v="339411"/>
    <n v="-0.26844928776341109"/>
    <n v="264642"/>
    <n v="-0.16856897802995319"/>
    <n v="789"/>
    <n v="-0.39493865030674852"/>
    <n v="31811.399999999998"/>
    <n v="106580.4"/>
  </r>
  <r>
    <x v="42"/>
    <x v="42"/>
    <x v="0"/>
    <x v="0"/>
    <x v="0"/>
    <x v="0"/>
    <x v="0"/>
    <x v="0"/>
    <x v="0"/>
    <x v="1"/>
    <x v="1"/>
    <x v="0"/>
    <n v="30"/>
    <n v="0"/>
    <n v="1979"/>
    <n v="0"/>
    <n v="712440"/>
    <n v="0"/>
    <n v="2121009"/>
    <n v="0"/>
    <n v="1251557"/>
    <n v="0"/>
    <n v="157012"/>
    <n v="0"/>
    <n v="306349.2"/>
    <n v="1175801.2"/>
  </r>
  <r>
    <x v="42"/>
    <x v="42"/>
    <x v="1"/>
    <x v="0"/>
    <x v="0"/>
    <x v="0"/>
    <x v="0"/>
    <x v="0"/>
    <x v="0"/>
    <x v="1"/>
    <x v="1"/>
    <x v="0"/>
    <n v="26"/>
    <n v="-0.1333333333333333"/>
    <n v="2145"/>
    <n v="8.388074785245081E-2"/>
    <n v="669240"/>
    <n v="-6.0636685194542683E-2"/>
    <n v="2078484"/>
    <n v="-2.004941987516318E-2"/>
    <n v="1213406"/>
    <n v="-3.048283058622181E-2"/>
    <n v="195838"/>
    <n v="0.24728046263979819"/>
    <n v="287773.2"/>
    <n v="1152851.2"/>
  </r>
  <r>
    <x v="42"/>
    <x v="42"/>
    <x v="2"/>
    <x v="0"/>
    <x v="0"/>
    <x v="0"/>
    <x v="0"/>
    <x v="0"/>
    <x v="0"/>
    <x v="1"/>
    <x v="1"/>
    <x v="0"/>
    <n v="31"/>
    <n v="0.19230769230769229"/>
    <n v="2734"/>
    <n v="0.27459207459207469"/>
    <n v="1017048"/>
    <n v="0.51970593509055041"/>
    <n v="2384972"/>
    <n v="0.14745747381264421"/>
    <n v="1224309"/>
    <n v="8.9854508713489434E-3"/>
    <n v="143615"/>
    <n v="-0.26666428374472778"/>
    <n v="437330.64"/>
    <n v="1597993.6400000001"/>
  </r>
  <r>
    <x v="42"/>
    <x v="42"/>
    <x v="3"/>
    <x v="0"/>
    <x v="0"/>
    <x v="0"/>
    <x v="0"/>
    <x v="0"/>
    <x v="0"/>
    <x v="1"/>
    <x v="1"/>
    <x v="0"/>
    <n v="37"/>
    <n v="0.19354838709677424"/>
    <n v="2592"/>
    <n v="-5.1938551572787151E-2"/>
    <n v="1150848"/>
    <n v="0.1315572126389315"/>
    <n v="2603242"/>
    <n v="9.1518894142153417E-2"/>
    <n v="1280115"/>
    <n v="4.5581630127688344E-2"/>
    <n v="172279"/>
    <n v="0.19958917940326559"/>
    <n v="494864.64000000001"/>
    <n v="1817991.6400000001"/>
  </r>
  <r>
    <x v="42"/>
    <x v="42"/>
    <x v="4"/>
    <x v="0"/>
    <x v="0"/>
    <x v="0"/>
    <x v="0"/>
    <x v="0"/>
    <x v="0"/>
    <x v="1"/>
    <x v="1"/>
    <x v="0"/>
    <n v="36"/>
    <n v="-2.7027027027026973E-2"/>
    <n v="2930"/>
    <n v="0.13040123456790129"/>
    <n v="1265760"/>
    <n v="9.9849849849849903E-2"/>
    <n v="3033004"/>
    <n v="0.16508722585145749"/>
    <n v="1647935"/>
    <n v="0.28733355987548004"/>
    <n v="119309"/>
    <n v="-0.30746637721370562"/>
    <n v="544276.80000000005"/>
    <n v="1929345.8"/>
  </r>
  <r>
    <x v="42"/>
    <x v="42"/>
    <x v="5"/>
    <x v="0"/>
    <x v="0"/>
    <x v="0"/>
    <x v="0"/>
    <x v="0"/>
    <x v="0"/>
    <x v="1"/>
    <x v="1"/>
    <x v="0"/>
    <n v="30"/>
    <n v="-0.16666666666666663"/>
    <n v="3374"/>
    <n v="0.15153583617747429"/>
    <n v="1214640"/>
    <n v="-4.0386803185437969E-2"/>
    <n v="2912372"/>
    <n v="-3.9773109432100988E-2"/>
    <n v="1665939"/>
    <n v="1.0925188190068269E-2"/>
    <n v="31793"/>
    <n v="-0.73352387498009364"/>
    <n v="522295.2"/>
    <n v="1768728.2"/>
  </r>
  <r>
    <x v="43"/>
    <x v="43"/>
    <x v="0"/>
    <x v="0"/>
    <x v="0"/>
    <x v="0"/>
    <x v="0"/>
    <x v="1"/>
    <x v="0"/>
    <x v="0"/>
    <x v="1"/>
    <x v="0"/>
    <n v="3"/>
    <n v="0"/>
    <n v="1375"/>
    <n v="0"/>
    <n v="49500"/>
    <n v="0"/>
    <n v="1039900"/>
    <n v="0"/>
    <n v="958181"/>
    <n v="0"/>
    <n v="32219"/>
    <n v="0"/>
    <n v="21285"/>
    <n v="103004"/>
  </r>
  <r>
    <x v="43"/>
    <x v="43"/>
    <x v="1"/>
    <x v="0"/>
    <x v="0"/>
    <x v="0"/>
    <x v="0"/>
    <x v="1"/>
    <x v="0"/>
    <x v="0"/>
    <x v="1"/>
    <x v="0"/>
    <n v="4"/>
    <n v="0.33333333333333326"/>
    <n v="1387"/>
    <n v="0.01"/>
    <n v="66576"/>
    <n v="0.34496969696969693"/>
    <n v="1298211"/>
    <n v="0.25"/>
    <n v="1133183"/>
    <n v="0.18263981439832344"/>
    <n v="98452"/>
    <n v="2.06"/>
    <n v="28627.68"/>
    <n v="193655.67999999999"/>
  </r>
  <r>
    <x v="43"/>
    <x v="43"/>
    <x v="2"/>
    <x v="0"/>
    <x v="0"/>
    <x v="0"/>
    <x v="0"/>
    <x v="1"/>
    <x v="0"/>
    <x v="0"/>
    <x v="1"/>
    <x v="0"/>
    <n v="4"/>
    <n v="0"/>
    <n v="1522"/>
    <n v="0.1"/>
    <n v="73056"/>
    <n v="9.7332372025955349E-2"/>
    <n v="1406758"/>
    <n v="0.08"/>
    <n v="1157076"/>
    <n v="2.1084855667619529E-2"/>
    <n v="176626"/>
    <n v="0.79"/>
    <n v="31414.079999999998"/>
    <n v="281096.08"/>
  </r>
  <r>
    <x v="43"/>
    <x v="43"/>
    <x v="3"/>
    <x v="0"/>
    <x v="0"/>
    <x v="0"/>
    <x v="0"/>
    <x v="1"/>
    <x v="0"/>
    <x v="0"/>
    <x v="1"/>
    <x v="0"/>
    <n v="4"/>
    <n v="0"/>
    <n v="1877"/>
    <n v="0.23"/>
    <n v="90096"/>
    <n v="0.23324572930354792"/>
    <n v="1174594"/>
    <n v="-0.17"/>
    <n v="1082308"/>
    <n v="-6.4618054475246267E-2"/>
    <n v="2190"/>
    <n v="-0.99"/>
    <n v="38741.279999999999"/>
    <n v="131027.28"/>
  </r>
  <r>
    <x v="43"/>
    <x v="43"/>
    <x v="4"/>
    <x v="0"/>
    <x v="0"/>
    <x v="0"/>
    <x v="0"/>
    <x v="1"/>
    <x v="0"/>
    <x v="0"/>
    <x v="1"/>
    <x v="0"/>
    <n v="3"/>
    <n v="-0.25"/>
    <n v="1842"/>
    <n v="-0.02"/>
    <n v="66312"/>
    <n v="-0.26398508257858289"/>
    <n v="1321169"/>
    <n v="0.12"/>
    <n v="1149006"/>
    <n v="6.1625710980608206E-2"/>
    <n v="105851"/>
    <n v="47.33"/>
    <n v="28514.16"/>
    <n v="200677.16"/>
  </r>
  <r>
    <x v="43"/>
    <x v="43"/>
    <x v="5"/>
    <x v="0"/>
    <x v="0"/>
    <x v="0"/>
    <x v="0"/>
    <x v="1"/>
    <x v="0"/>
    <x v="0"/>
    <x v="1"/>
    <x v="0"/>
    <n v="3"/>
    <n v="0"/>
    <n v="0"/>
    <n v="0"/>
    <n v="0"/>
    <n v="-1"/>
    <n v="786302"/>
    <n v="-0.4"/>
    <n v="0"/>
    <n v="-1"/>
    <n v="37146"/>
    <n v="-0.65"/>
    <n v="0"/>
    <n v="786302"/>
  </r>
  <r>
    <x v="44"/>
    <x v="44"/>
    <x v="0"/>
    <x v="0"/>
    <x v="1"/>
    <x v="0"/>
    <x v="0"/>
    <x v="0"/>
    <x v="0"/>
    <x v="0"/>
    <x v="1"/>
    <x v="0"/>
    <n v="17"/>
    <n v="0"/>
    <n v="1365"/>
    <n v="0"/>
    <n v="278460"/>
    <n v="0"/>
    <n v="2483374"/>
    <n v="0"/>
    <n v="2101903"/>
    <n v="0"/>
    <n v="103011"/>
    <n v="0"/>
    <n v="119737.8"/>
    <n v="501208.8"/>
  </r>
  <r>
    <x v="44"/>
    <x v="44"/>
    <x v="1"/>
    <x v="0"/>
    <x v="1"/>
    <x v="0"/>
    <x v="0"/>
    <x v="0"/>
    <x v="0"/>
    <x v="0"/>
    <x v="1"/>
    <x v="0"/>
    <n v="16"/>
    <n v="-5.8823529411764719E-2"/>
    <n v="1086"/>
    <n v="-0.2"/>
    <n v="208512"/>
    <n v="-0.25119586296056884"/>
    <n v="2102463"/>
    <n v="-0.15"/>
    <n v="1765778"/>
    <n v="-0.15991461071229263"/>
    <n v="128173"/>
    <n v="0.24"/>
    <n v="89660.160000000003"/>
    <n v="426345.16000000003"/>
  </r>
  <r>
    <x v="44"/>
    <x v="44"/>
    <x v="2"/>
    <x v="0"/>
    <x v="1"/>
    <x v="0"/>
    <x v="0"/>
    <x v="0"/>
    <x v="0"/>
    <x v="0"/>
    <x v="1"/>
    <x v="0"/>
    <n v="14"/>
    <n v="-0.125"/>
    <n v="1485"/>
    <n v="0.37"/>
    <n v="249480"/>
    <n v="0.19647790055248615"/>
    <n v="2392327"/>
    <n v="0.14000000000000001"/>
    <n v="1949472"/>
    <n v="0.10403006493455003"/>
    <n v="193375"/>
    <n v="0.51"/>
    <n v="107276.4"/>
    <n v="550131.4"/>
  </r>
  <r>
    <x v="44"/>
    <x v="44"/>
    <x v="3"/>
    <x v="0"/>
    <x v="1"/>
    <x v="0"/>
    <x v="0"/>
    <x v="0"/>
    <x v="0"/>
    <x v="0"/>
    <x v="1"/>
    <x v="0"/>
    <n v="14"/>
    <n v="0"/>
    <n v="2179"/>
    <n v="0.47"/>
    <n v="366072"/>
    <n v="0.46734006734006739"/>
    <n v="3769383"/>
    <n v="0.57999999999999996"/>
    <n v="3126396"/>
    <n v="0.60371423647018263"/>
    <n v="276915"/>
    <n v="0.43"/>
    <n v="157410.96"/>
    <n v="800397.96"/>
  </r>
  <r>
    <x v="44"/>
    <x v="44"/>
    <x v="4"/>
    <x v="0"/>
    <x v="1"/>
    <x v="0"/>
    <x v="0"/>
    <x v="0"/>
    <x v="0"/>
    <x v="0"/>
    <x v="1"/>
    <x v="0"/>
    <n v="15"/>
    <n v="7.1428571428571397E-2"/>
    <n v="2456"/>
    <n v="0.13"/>
    <n v="442080"/>
    <n v="0.20763128564872479"/>
    <n v="3334151"/>
    <n v="-0.12"/>
    <n v="2783702"/>
    <n v="-0.10961311362987924"/>
    <n v="108369"/>
    <n v="-0.61"/>
    <n v="190094.4"/>
    <n v="740543.4"/>
  </r>
  <r>
    <x v="44"/>
    <x v="44"/>
    <x v="5"/>
    <x v="0"/>
    <x v="1"/>
    <x v="0"/>
    <x v="0"/>
    <x v="0"/>
    <x v="0"/>
    <x v="0"/>
    <x v="1"/>
    <x v="0"/>
    <n v="14"/>
    <n v="-6.6666666666666652E-2"/>
    <n v="2899"/>
    <n v="0.18"/>
    <n v="487032"/>
    <n v="0.1016829533116177"/>
    <n v="3604605"/>
    <n v="0.08"/>
    <n v="2979828"/>
    <n v="7.0455099001258015E-2"/>
    <n v="137745"/>
    <n v="0.27"/>
    <n v="209423.76"/>
    <n v="834200.76"/>
  </r>
  <r>
    <x v="45"/>
    <x v="45"/>
    <x v="0"/>
    <x v="0"/>
    <x v="0"/>
    <x v="0"/>
    <x v="0"/>
    <x v="0"/>
    <x v="0"/>
    <x v="0"/>
    <x v="0"/>
    <x v="0"/>
    <n v="3"/>
    <n v="0"/>
    <n v="1764"/>
    <n v="0"/>
    <n v="63504"/>
    <n v="0"/>
    <n v="585857"/>
    <n v="0"/>
    <n v="456475"/>
    <n v="0"/>
    <n v="65878"/>
    <n v="0"/>
    <n v="27306.720000000001"/>
    <n v="156688.72"/>
  </r>
  <r>
    <x v="45"/>
    <x v="45"/>
    <x v="1"/>
    <x v="0"/>
    <x v="0"/>
    <x v="0"/>
    <x v="0"/>
    <x v="0"/>
    <x v="0"/>
    <x v="0"/>
    <x v="0"/>
    <x v="0"/>
    <n v="5"/>
    <n v="0.66666666666666674"/>
    <n v="1914"/>
    <n v="8.503401360544216E-2"/>
    <n v="114840"/>
    <n v="0.80839002267573701"/>
    <n v="1002530"/>
    <n v="0.71121963209452144"/>
    <n v="805535"/>
    <n v="0.76468590831918504"/>
    <n v="82155"/>
    <n v="0.24707793193478839"/>
    <n v="49381.2"/>
    <n v="246376.2"/>
  </r>
  <r>
    <x v="45"/>
    <x v="45"/>
    <x v="2"/>
    <x v="0"/>
    <x v="0"/>
    <x v="0"/>
    <x v="0"/>
    <x v="0"/>
    <x v="0"/>
    <x v="0"/>
    <x v="0"/>
    <x v="0"/>
    <n v="8"/>
    <n v="0.60000000000000009"/>
    <n v="2004"/>
    <n v="4.7021943573667617E-2"/>
    <n v="192384"/>
    <n v="0.67523510971786838"/>
    <n v="1493124"/>
    <n v="0.48935592949836909"/>
    <n v="1216227"/>
    <n v="0.50983756137225567"/>
    <n v="84513"/>
    <n v="2.8701844075223581E-2"/>
    <n v="82725.119999999995"/>
    <n v="359622.12"/>
  </r>
  <r>
    <x v="45"/>
    <x v="45"/>
    <x v="3"/>
    <x v="0"/>
    <x v="0"/>
    <x v="0"/>
    <x v="0"/>
    <x v="0"/>
    <x v="0"/>
    <x v="0"/>
    <x v="0"/>
    <x v="0"/>
    <n v="12"/>
    <n v="0.5"/>
    <n v="2143"/>
    <n v="6.9361277445109781E-2"/>
    <n v="308592"/>
    <n v="0.60404191616766467"/>
    <n v="1800902"/>
    <n v="0.20613023432749039"/>
    <n v="1467095"/>
    <n v="0.20626741554002659"/>
    <n v="25215"/>
    <n v="-0.70164353413084379"/>
    <n v="132694.56"/>
    <n v="466501.56"/>
  </r>
  <r>
    <x v="45"/>
    <x v="45"/>
    <x v="4"/>
    <x v="0"/>
    <x v="0"/>
    <x v="0"/>
    <x v="0"/>
    <x v="0"/>
    <x v="0"/>
    <x v="0"/>
    <x v="0"/>
    <x v="0"/>
    <n v="12"/>
    <n v="0"/>
    <n v="2169"/>
    <n v="1.213252449836677E-2"/>
    <n v="312336"/>
    <n v="1.213252449836677E-2"/>
    <n v="1925562"/>
    <n v="6.9220868209375119E-2"/>
    <n v="1530560"/>
    <n v="4.3258957327235059E-2"/>
    <n v="82666"/>
    <n v="2.2784453698195519"/>
    <n v="134304.48000000001"/>
    <n v="529306.48"/>
  </r>
  <r>
    <x v="45"/>
    <x v="45"/>
    <x v="5"/>
    <x v="0"/>
    <x v="0"/>
    <x v="0"/>
    <x v="0"/>
    <x v="0"/>
    <x v="0"/>
    <x v="0"/>
    <x v="0"/>
    <x v="0"/>
    <n v="13"/>
    <n v="8.3333333333333259E-2"/>
    <n v="2452"/>
    <n v="0.13047487321346241"/>
    <n v="382512"/>
    <n v="0.22468111264791757"/>
    <n v="2454743"/>
    <n v="0.27481898791106191"/>
    <n v="1930905"/>
    <n v="0.26156766150951283"/>
    <n v="141326"/>
    <n v="0.70960249679432907"/>
    <n v="164480.16"/>
    <n v="688318.16"/>
  </r>
  <r>
    <x v="46"/>
    <x v="46"/>
    <x v="0"/>
    <x v="0"/>
    <x v="0"/>
    <x v="0"/>
    <x v="0"/>
    <x v="0"/>
    <x v="0"/>
    <x v="1"/>
    <x v="0"/>
    <x v="0"/>
    <n v="21"/>
    <n v="0"/>
    <n v="2641"/>
    <n v="0"/>
    <n v="665532"/>
    <n v="0"/>
    <n v="1437630"/>
    <n v="0"/>
    <n v="742599"/>
    <n v="0"/>
    <n v="29499"/>
    <n v="0"/>
    <n v="286178.76"/>
    <n v="981209.76"/>
  </r>
  <r>
    <x v="46"/>
    <x v="46"/>
    <x v="1"/>
    <x v="0"/>
    <x v="0"/>
    <x v="0"/>
    <x v="0"/>
    <x v="0"/>
    <x v="0"/>
    <x v="1"/>
    <x v="0"/>
    <x v="0"/>
    <n v="19"/>
    <n v="-9.5238095238095233E-2"/>
    <n v="2472"/>
    <n v="-6.3990912533131383E-2"/>
    <n v="563616"/>
    <n v="-0.15313463514902359"/>
    <n v="1657585"/>
    <n v="0.1529983375416484"/>
    <n v="911880"/>
    <n v="0.2279574844566179"/>
    <n v="182089"/>
    <n v="5.1727177192447202"/>
    <n v="242354.88"/>
    <n v="988059.88"/>
  </r>
  <r>
    <x v="46"/>
    <x v="46"/>
    <x v="2"/>
    <x v="0"/>
    <x v="0"/>
    <x v="0"/>
    <x v="0"/>
    <x v="0"/>
    <x v="0"/>
    <x v="1"/>
    <x v="0"/>
    <x v="0"/>
    <n v="30"/>
    <n v="0.57894736842105265"/>
    <n v="2653"/>
    <n v="7.3220064724919043E-2"/>
    <n v="955080"/>
    <n v="0.69455799693408271"/>
    <n v="2138268"/>
    <n v="0.28998995526624571"/>
    <n v="1091157"/>
    <n v="0.19660152651664697"/>
    <n v="92031"/>
    <n v="-0.49458231963490379"/>
    <n v="410684.39999999997"/>
    <n v="1457795.4"/>
  </r>
  <r>
    <x v="46"/>
    <x v="46"/>
    <x v="3"/>
    <x v="0"/>
    <x v="0"/>
    <x v="0"/>
    <x v="0"/>
    <x v="0"/>
    <x v="0"/>
    <x v="1"/>
    <x v="0"/>
    <x v="0"/>
    <n v="23"/>
    <n v="-0.23333333333333328"/>
    <n v="3013"/>
    <n v="0.13569543912551829"/>
    <n v="831588"/>
    <n v="-0.1293001633371027"/>
    <n v="2505905"/>
    <n v="0.17193214321123459"/>
    <n v="1505264"/>
    <n v="0.37951183926785981"/>
    <n v="169053"/>
    <n v="0.83691364866186402"/>
    <n v="357582.83999999997"/>
    <n v="1358223.8399999999"/>
  </r>
  <r>
    <x v="46"/>
    <x v="46"/>
    <x v="4"/>
    <x v="0"/>
    <x v="0"/>
    <x v="0"/>
    <x v="0"/>
    <x v="0"/>
    <x v="0"/>
    <x v="1"/>
    <x v="0"/>
    <x v="0"/>
    <n v="19"/>
    <n v="-0.17391304347826086"/>
    <n v="3356"/>
    <n v="0.1138400265516097"/>
    <n v="765168"/>
    <n v="-7.9871282413887634E-2"/>
    <n v="2356412"/>
    <n v="-5.9656291838677038E-2"/>
    <n v="1419365"/>
    <n v="-5.706573730588127E-2"/>
    <n v="171879"/>
    <n v="1.6716650991109191E-2"/>
    <n v="329022.24"/>
    <n v="1266069.24"/>
  </r>
  <r>
    <x v="46"/>
    <x v="46"/>
    <x v="5"/>
    <x v="0"/>
    <x v="0"/>
    <x v="0"/>
    <x v="0"/>
    <x v="0"/>
    <x v="0"/>
    <x v="1"/>
    <x v="0"/>
    <x v="0"/>
    <n v="19"/>
    <n v="0"/>
    <n v="3590"/>
    <n v="6.9725864123957093E-2"/>
    <n v="818520"/>
    <n v="6.9725864123957093E-2"/>
    <n v="2822488"/>
    <n v="0.197790539175662"/>
    <n v="1869505"/>
    <n v="0.31714182046196715"/>
    <n v="134463"/>
    <n v="-0.21768802471506121"/>
    <n v="351963.6"/>
    <n v="1304946.6000000001"/>
  </r>
  <r>
    <x v="47"/>
    <x v="47"/>
    <x v="0"/>
    <x v="0"/>
    <x v="0"/>
    <x v="0"/>
    <x v="1"/>
    <x v="0"/>
    <x v="0"/>
    <x v="0"/>
    <x v="1"/>
    <x v="0"/>
    <n v="49"/>
    <n v="0"/>
    <n v="2418"/>
    <n v="0"/>
    <n v="1421784"/>
    <n v="0"/>
    <n v="19167730"/>
    <n v="0"/>
    <n v="17042343"/>
    <n v="0"/>
    <n v="703603"/>
    <n v="0"/>
    <n v="611367.12"/>
    <n v="2736754.12"/>
  </r>
  <r>
    <x v="47"/>
    <x v="47"/>
    <x v="1"/>
    <x v="0"/>
    <x v="0"/>
    <x v="0"/>
    <x v="1"/>
    <x v="0"/>
    <x v="0"/>
    <x v="0"/>
    <x v="1"/>
    <x v="0"/>
    <n v="47"/>
    <n v="-4.081632653061229E-2"/>
    <n v="2300"/>
    <n v="-4.8800661703887527E-2"/>
    <n v="1297200"/>
    <n v="-8.7625124491483963E-2"/>
    <n v="20518557"/>
    <n v="7.0474020658680026E-2"/>
    <n v="18510279"/>
    <n v="8.6134635360877398E-2"/>
    <n v="711078"/>
    <n v="1.062388875544884E-2"/>
    <n v="557796"/>
    <n v="2566074"/>
  </r>
  <r>
    <x v="47"/>
    <x v="47"/>
    <x v="2"/>
    <x v="0"/>
    <x v="0"/>
    <x v="0"/>
    <x v="1"/>
    <x v="0"/>
    <x v="0"/>
    <x v="0"/>
    <x v="1"/>
    <x v="0"/>
    <n v="51"/>
    <n v="8.5106382978723305E-2"/>
    <n v="2604"/>
    <n v="0.13217391304347831"/>
    <n v="1593648"/>
    <n v="0.2285291396854765"/>
    <n v="19713947"/>
    <n v="-3.9213771221826121E-2"/>
    <n v="17519286"/>
    <n v="-5.3537442628498466E-2"/>
    <n v="601013"/>
    <n v="-0.1547861134784089"/>
    <n v="685268.64"/>
    <n v="2879929.64"/>
  </r>
  <r>
    <x v="47"/>
    <x v="47"/>
    <x v="3"/>
    <x v="0"/>
    <x v="0"/>
    <x v="0"/>
    <x v="1"/>
    <x v="0"/>
    <x v="0"/>
    <x v="0"/>
    <x v="1"/>
    <x v="0"/>
    <n v="40"/>
    <n v="-0.21568627450980393"/>
    <n v="2988"/>
    <n v="0.14746543778801849"/>
    <n v="1434240"/>
    <n v="-0.10002710761724043"/>
    <n v="17453957"/>
    <n v="-0.1146391435464446"/>
    <n v="15528872"/>
    <n v="-0.11361273513087233"/>
    <n v="490845"/>
    <n v="-0.18330385532426091"/>
    <n v="616723.19999999995"/>
    <n v="2541808.2000000002"/>
  </r>
  <r>
    <x v="47"/>
    <x v="47"/>
    <x v="4"/>
    <x v="0"/>
    <x v="0"/>
    <x v="0"/>
    <x v="1"/>
    <x v="0"/>
    <x v="0"/>
    <x v="0"/>
    <x v="1"/>
    <x v="0"/>
    <n v="32"/>
    <n v="-0.19999999999999996"/>
    <n v="3726"/>
    <n v="0.24698795180722891"/>
    <n v="1430784"/>
    <n v="-2.4096385542168308E-3"/>
    <n v="26945192"/>
    <n v="0.54378700486084619"/>
    <n v="24856058"/>
    <n v="0.60063512662091623"/>
    <n v="658350"/>
    <n v="0.34125844207438177"/>
    <n v="615237.12"/>
    <n v="2704371.12"/>
  </r>
  <r>
    <x v="47"/>
    <x v="47"/>
    <x v="5"/>
    <x v="0"/>
    <x v="0"/>
    <x v="0"/>
    <x v="1"/>
    <x v="0"/>
    <x v="0"/>
    <x v="0"/>
    <x v="1"/>
    <x v="0"/>
    <n v="33"/>
    <n v="3.125E-2"/>
    <n v="4330"/>
    <n v="0.1621041331186259"/>
    <n v="1714680"/>
    <n v="0.19841988727858295"/>
    <n v="21601990"/>
    <n v="-0.1982989024535434"/>
    <n v="19592438"/>
    <n v="-0.2117640697491131"/>
    <n v="294872"/>
    <n v="-0.5521045036834511"/>
    <n v="737312.4"/>
    <n v="2746864.4"/>
  </r>
  <r>
    <x v="48"/>
    <x v="48"/>
    <x v="0"/>
    <x v="0"/>
    <x v="0"/>
    <x v="0"/>
    <x v="0"/>
    <x v="0"/>
    <x v="0"/>
    <x v="1"/>
    <x v="1"/>
    <x v="0"/>
    <n v="24"/>
    <n v="0"/>
    <n v="2463"/>
    <n v="0"/>
    <n v="709344"/>
    <n v="0"/>
    <n v="1653501"/>
    <n v="0"/>
    <n v="742762"/>
    <n v="0"/>
    <n v="201395"/>
    <n v="0"/>
    <n v="305017.92"/>
    <n v="1215756.92"/>
  </r>
  <r>
    <x v="48"/>
    <x v="48"/>
    <x v="1"/>
    <x v="0"/>
    <x v="0"/>
    <x v="0"/>
    <x v="0"/>
    <x v="0"/>
    <x v="0"/>
    <x v="1"/>
    <x v="1"/>
    <x v="0"/>
    <n v="25"/>
    <n v="4.1666666666666741E-2"/>
    <n v="2430"/>
    <n v="-1.339829476248477E-2"/>
    <n v="729000"/>
    <n v="2.7710109622411716E-2"/>
    <n v="1636617"/>
    <n v="-1.0211061257295871E-2"/>
    <n v="709069"/>
    <n v="-4.5361771334559431E-2"/>
    <n v="198548"/>
    <n v="-1.4136398619628119E-2"/>
    <n v="313470"/>
    <n v="1241018"/>
  </r>
  <r>
    <x v="48"/>
    <x v="48"/>
    <x v="2"/>
    <x v="0"/>
    <x v="0"/>
    <x v="0"/>
    <x v="0"/>
    <x v="0"/>
    <x v="0"/>
    <x v="1"/>
    <x v="1"/>
    <x v="0"/>
    <n v="25"/>
    <n v="0"/>
    <n v="3043"/>
    <n v="0.25226337448559671"/>
    <n v="912900"/>
    <n v="0.25226337448559666"/>
    <n v="2400631"/>
    <n v="0.46682516434816451"/>
    <n v="1318874"/>
    <n v="0.86000798229791453"/>
    <n v="168857"/>
    <n v="-0.14954066522956669"/>
    <n v="392547"/>
    <n v="1474304"/>
  </r>
  <r>
    <x v="48"/>
    <x v="48"/>
    <x v="3"/>
    <x v="0"/>
    <x v="0"/>
    <x v="0"/>
    <x v="0"/>
    <x v="0"/>
    <x v="0"/>
    <x v="1"/>
    <x v="1"/>
    <x v="0"/>
    <n v="26"/>
    <n v="4.0000000000000036E-2"/>
    <n v="2910"/>
    <n v="-4.3706868222149198E-2"/>
    <n v="907920"/>
    <n v="-5.4551429510351079E-3"/>
    <n v="2555494"/>
    <n v="6.4509289432653327E-2"/>
    <n v="1407028"/>
    <n v="6.6840350177499896E-2"/>
    <n v="240546"/>
    <n v="0.4245545046992425"/>
    <n v="390405.6"/>
    <n v="1538871.6"/>
  </r>
  <r>
    <x v="48"/>
    <x v="48"/>
    <x v="4"/>
    <x v="0"/>
    <x v="0"/>
    <x v="0"/>
    <x v="0"/>
    <x v="0"/>
    <x v="0"/>
    <x v="1"/>
    <x v="1"/>
    <x v="0"/>
    <n v="25"/>
    <n v="-3.8461538461538436E-2"/>
    <n v="3402"/>
    <n v="0.1690721649484537"/>
    <n v="1020600"/>
    <n v="0.12410785091197463"/>
    <n v="2714172"/>
    <n v="6.2092886933015727E-2"/>
    <n v="1457258"/>
    <n v="3.5699360638167921E-2"/>
    <n v="236314"/>
    <n v="-1.7593308556367648E-2"/>
    <n v="438858"/>
    <n v="1695772"/>
  </r>
  <r>
    <x v="48"/>
    <x v="48"/>
    <x v="5"/>
    <x v="0"/>
    <x v="0"/>
    <x v="0"/>
    <x v="0"/>
    <x v="0"/>
    <x v="0"/>
    <x v="1"/>
    <x v="1"/>
    <x v="0"/>
    <n v="25"/>
    <n v="0"/>
    <n v="3253"/>
    <n v="-4.3797766019988187E-2"/>
    <n v="975900"/>
    <n v="-4.3797766019988194E-2"/>
    <n v="2679018"/>
    <n v="-1.295201630552523E-2"/>
    <n v="1473832"/>
    <n v="1.1373415002696952E-2"/>
    <n v="229286"/>
    <n v="-2.9740091573076551E-2"/>
    <n v="419637"/>
    <n v="1624823"/>
  </r>
  <r>
    <x v="49"/>
    <x v="49"/>
    <x v="0"/>
    <x v="0"/>
    <x v="0"/>
    <x v="0"/>
    <x v="0"/>
    <x v="0"/>
    <x v="0"/>
    <x v="1"/>
    <x v="1"/>
    <x v="0"/>
    <n v="3"/>
    <n v="0"/>
    <n v="0"/>
    <n v="0"/>
    <n v="0"/>
    <n v="0"/>
    <n v="179773"/>
    <n v="0"/>
    <n v="0"/>
    <n v="0"/>
    <n v="-8843"/>
    <n v="0"/>
    <n v="0"/>
    <n v="179773"/>
  </r>
  <r>
    <x v="49"/>
    <x v="49"/>
    <x v="1"/>
    <x v="0"/>
    <x v="0"/>
    <x v="0"/>
    <x v="0"/>
    <x v="0"/>
    <x v="0"/>
    <x v="1"/>
    <x v="1"/>
    <x v="0"/>
    <n v="3"/>
    <n v="0"/>
    <n v="0"/>
    <n v="0"/>
    <n v="0"/>
    <n v="0"/>
    <n v="155093"/>
    <n v="-0.13728424179381771"/>
    <n v="0"/>
    <n v="0"/>
    <n v="14832"/>
    <n v="-2.6772588488069662"/>
    <n v="0"/>
    <n v="155093"/>
  </r>
  <r>
    <x v="49"/>
    <x v="49"/>
    <x v="2"/>
    <x v="0"/>
    <x v="0"/>
    <x v="0"/>
    <x v="0"/>
    <x v="0"/>
    <x v="0"/>
    <x v="1"/>
    <x v="1"/>
    <x v="0"/>
    <n v="3"/>
    <n v="0"/>
    <n v="0"/>
    <n v="0"/>
    <n v="0"/>
    <n v="0"/>
    <n v="159105"/>
    <n v="2.5868349957767212E-2"/>
    <n v="0"/>
    <n v="0"/>
    <n v="2492"/>
    <n v="-0.83198489751887816"/>
    <n v="0"/>
    <n v="159105"/>
  </r>
  <r>
    <x v="49"/>
    <x v="49"/>
    <x v="3"/>
    <x v="0"/>
    <x v="0"/>
    <x v="0"/>
    <x v="0"/>
    <x v="0"/>
    <x v="0"/>
    <x v="1"/>
    <x v="1"/>
    <x v="0"/>
    <n v="3"/>
    <n v="0"/>
    <n v="0"/>
    <n v="0"/>
    <n v="0"/>
    <n v="0"/>
    <n v="167838"/>
    <n v="5.4888281323654198E-2"/>
    <n v="0"/>
    <n v="0"/>
    <n v="-4052"/>
    <n v="-2.6260032102728732"/>
    <n v="0"/>
    <n v="167838"/>
  </r>
  <r>
    <x v="49"/>
    <x v="49"/>
    <x v="4"/>
    <x v="0"/>
    <x v="0"/>
    <x v="0"/>
    <x v="0"/>
    <x v="0"/>
    <x v="0"/>
    <x v="1"/>
    <x v="1"/>
    <x v="0"/>
    <n v="2"/>
    <n v="-0.33333333333333337"/>
    <n v="0"/>
    <n v="0"/>
    <n v="0"/>
    <n v="0"/>
    <n v="177479"/>
    <n v="5.7442295546896498E-2"/>
    <n v="0"/>
    <n v="0"/>
    <n v="6521"/>
    <n v="-2.609328726554788"/>
    <n v="0"/>
    <n v="177479"/>
  </r>
  <r>
    <x v="49"/>
    <x v="49"/>
    <x v="5"/>
    <x v="0"/>
    <x v="0"/>
    <x v="0"/>
    <x v="0"/>
    <x v="0"/>
    <x v="0"/>
    <x v="1"/>
    <x v="1"/>
    <x v="0"/>
    <n v="2"/>
    <n v="0"/>
    <n v="0"/>
    <n v="0"/>
    <n v="0"/>
    <n v="0"/>
    <n v="193289"/>
    <n v="8.9080961691242244E-2"/>
    <n v="0"/>
    <n v="0"/>
    <n v="9873"/>
    <n v="0.5140315902468946"/>
    <n v="0"/>
    <n v="193289"/>
  </r>
  <r>
    <x v="50"/>
    <x v="50"/>
    <x v="0"/>
    <x v="0"/>
    <x v="0"/>
    <x v="0"/>
    <x v="0"/>
    <x v="0"/>
    <x v="1"/>
    <x v="0"/>
    <x v="1"/>
    <x v="0"/>
    <n v="7"/>
    <n v="0"/>
    <n v="2072"/>
    <n v="0"/>
    <n v="174048"/>
    <n v="0"/>
    <n v="320551"/>
    <n v="0"/>
    <n v="194407"/>
    <n v="0"/>
    <n v="-47904"/>
    <n v="0"/>
    <n v="74840.639999999999"/>
    <n v="200984.64"/>
  </r>
  <r>
    <x v="50"/>
    <x v="50"/>
    <x v="1"/>
    <x v="0"/>
    <x v="0"/>
    <x v="0"/>
    <x v="0"/>
    <x v="0"/>
    <x v="1"/>
    <x v="0"/>
    <x v="1"/>
    <x v="0"/>
    <n v="3"/>
    <n v="-0.5714285714285714"/>
    <n v="0"/>
    <n v="0"/>
    <n v="0"/>
    <n v="-1"/>
    <n v="379917"/>
    <n v="0.19"/>
    <n v="0"/>
    <n v="-1"/>
    <n v="31094"/>
    <n v="1.65"/>
    <n v="0"/>
    <n v="379917"/>
  </r>
  <r>
    <x v="50"/>
    <x v="50"/>
    <x v="2"/>
    <x v="0"/>
    <x v="0"/>
    <x v="0"/>
    <x v="0"/>
    <x v="0"/>
    <x v="1"/>
    <x v="0"/>
    <x v="1"/>
    <x v="0"/>
    <n v="4"/>
    <n v="0.33333333333333326"/>
    <n v="2520"/>
    <n v="0"/>
    <n v="120960"/>
    <n v="0"/>
    <n v="299630"/>
    <n v="-0.21"/>
    <n v="163553"/>
    <n v="0"/>
    <n v="15117"/>
    <n v="-0.51"/>
    <n v="52012.799999999996"/>
    <n v="188089.8"/>
  </r>
  <r>
    <x v="50"/>
    <x v="50"/>
    <x v="3"/>
    <x v="0"/>
    <x v="0"/>
    <x v="0"/>
    <x v="0"/>
    <x v="0"/>
    <x v="1"/>
    <x v="0"/>
    <x v="1"/>
    <x v="0"/>
    <n v="5"/>
    <n v="0.25"/>
    <n v="2431"/>
    <n v="-0.04"/>
    <n v="145860"/>
    <n v="0.20585317460317465"/>
    <n v="276081"/>
    <n v="-0.08"/>
    <n v="139105"/>
    <n v="-0.14948059650388557"/>
    <n v="-8884"/>
    <n v="-1.59"/>
    <n v="62719.799999999996"/>
    <n v="199695.8"/>
  </r>
  <r>
    <x v="50"/>
    <x v="50"/>
    <x v="4"/>
    <x v="0"/>
    <x v="0"/>
    <x v="0"/>
    <x v="0"/>
    <x v="0"/>
    <x v="1"/>
    <x v="0"/>
    <x v="1"/>
    <x v="0"/>
    <n v="5"/>
    <n v="0"/>
    <n v="2207"/>
    <n v="-0.09"/>
    <n v="132420"/>
    <n v="-9.2143150966680354E-2"/>
    <n v="294768"/>
    <n v="7.0000000000000007E-2"/>
    <n v="131488"/>
    <n v="-5.4757197800222812E-2"/>
    <n v="30860"/>
    <n v="4.47"/>
    <n v="56940.6"/>
    <n v="220220.6"/>
  </r>
  <r>
    <x v="50"/>
    <x v="50"/>
    <x v="5"/>
    <x v="0"/>
    <x v="0"/>
    <x v="0"/>
    <x v="0"/>
    <x v="0"/>
    <x v="1"/>
    <x v="0"/>
    <x v="1"/>
    <x v="0"/>
    <n v="5"/>
    <n v="0"/>
    <n v="2277"/>
    <n v="0.03"/>
    <n v="136620"/>
    <n v="3.1717263253284944E-2"/>
    <n v="299800"/>
    <n v="0.02"/>
    <n v="150893"/>
    <n v="0.14758000730104648"/>
    <n v="12287"/>
    <n v="-0.6"/>
    <n v="58746.6"/>
    <n v="207653.6"/>
  </r>
  <r>
    <x v="51"/>
    <x v="51"/>
    <x v="0"/>
    <x v="0"/>
    <x v="0"/>
    <x v="0"/>
    <x v="0"/>
    <x v="1"/>
    <x v="0"/>
    <x v="0"/>
    <x v="1"/>
    <x v="0"/>
    <n v="10"/>
    <n v="0"/>
    <n v="885"/>
    <n v="0"/>
    <n v="106200"/>
    <n v="0"/>
    <n v="577489"/>
    <n v="0"/>
    <n v="401167"/>
    <n v="0"/>
    <n v="70122"/>
    <n v="0"/>
    <n v="45666"/>
    <n v="221988"/>
  </r>
  <r>
    <x v="51"/>
    <x v="51"/>
    <x v="1"/>
    <x v="0"/>
    <x v="0"/>
    <x v="0"/>
    <x v="0"/>
    <x v="1"/>
    <x v="0"/>
    <x v="0"/>
    <x v="1"/>
    <x v="0"/>
    <n v="10"/>
    <n v="0"/>
    <n v="951"/>
    <n v="7.0000000000000007E-2"/>
    <n v="114120"/>
    <n v="7.4576271186440612E-2"/>
    <n v="464698"/>
    <n v="-0.2"/>
    <n v="296920"/>
    <n v="-0.25985936031627721"/>
    <n v="53658"/>
    <n v="-0.23"/>
    <n v="49071.6"/>
    <n v="216849.6"/>
  </r>
  <r>
    <x v="51"/>
    <x v="51"/>
    <x v="2"/>
    <x v="0"/>
    <x v="0"/>
    <x v="0"/>
    <x v="0"/>
    <x v="1"/>
    <x v="0"/>
    <x v="0"/>
    <x v="1"/>
    <x v="0"/>
    <n v="10"/>
    <n v="0"/>
    <n v="1469"/>
    <n v="0.54"/>
    <n v="176280"/>
    <n v="0.54468980021030489"/>
    <n v="690337"/>
    <n v="0.49"/>
    <n v="443166"/>
    <n v="0.49254344604607292"/>
    <n v="70891"/>
    <n v="0.32"/>
    <n v="75800.399999999994"/>
    <n v="322971.40000000002"/>
  </r>
  <r>
    <x v="51"/>
    <x v="51"/>
    <x v="3"/>
    <x v="0"/>
    <x v="0"/>
    <x v="0"/>
    <x v="0"/>
    <x v="1"/>
    <x v="0"/>
    <x v="0"/>
    <x v="1"/>
    <x v="0"/>
    <n v="7"/>
    <n v="-0.30000000000000004"/>
    <n v="1752"/>
    <n v="0.19"/>
    <n v="147168"/>
    <n v="-0.16514635806671207"/>
    <n v="410820"/>
    <n v="-0.4"/>
    <n v="246867"/>
    <n v="-0.4429468867196491"/>
    <n v="16785"/>
    <n v="-0.76"/>
    <n v="63282.239999999998"/>
    <n v="227235.24"/>
  </r>
  <r>
    <x v="51"/>
    <x v="51"/>
    <x v="4"/>
    <x v="0"/>
    <x v="0"/>
    <x v="0"/>
    <x v="0"/>
    <x v="1"/>
    <x v="0"/>
    <x v="0"/>
    <x v="1"/>
    <x v="0"/>
    <n v="2"/>
    <n v="-0.7142857142857143"/>
    <n v="0"/>
    <n v="0"/>
    <n v="0"/>
    <n v="-1"/>
    <n v="451779"/>
    <n v="0.1"/>
    <n v="0"/>
    <n v="-1"/>
    <n v="583"/>
    <n v="-0.97"/>
    <n v="0"/>
    <n v="451779"/>
  </r>
  <r>
    <x v="51"/>
    <x v="51"/>
    <x v="5"/>
    <x v="0"/>
    <x v="0"/>
    <x v="0"/>
    <x v="0"/>
    <x v="1"/>
    <x v="0"/>
    <x v="0"/>
    <x v="1"/>
    <x v="0"/>
    <n v="2"/>
    <n v="0"/>
    <n v="0"/>
    <n v="0"/>
    <n v="0"/>
    <n v="0"/>
    <n v="477010"/>
    <n v="0.06"/>
    <n v="0"/>
    <n v="0"/>
    <n v="21248"/>
    <n v="35.450000000000003"/>
    <n v="0"/>
    <n v="477010"/>
  </r>
  <r>
    <x v="52"/>
    <x v="52"/>
    <x v="1"/>
    <x v="0"/>
    <x v="0"/>
    <x v="0"/>
    <x v="0"/>
    <x v="1"/>
    <x v="0"/>
    <x v="0"/>
    <x v="1"/>
    <x v="0"/>
    <n v="3"/>
    <n v="0.5"/>
    <n v="0"/>
    <n v="0"/>
    <n v="0"/>
    <n v="0"/>
    <n v="239230"/>
    <n v="0"/>
    <n v="0"/>
    <n v="0"/>
    <n v="27406"/>
    <n v="0"/>
    <n v="0"/>
    <n v="239230"/>
  </r>
  <r>
    <x v="52"/>
    <x v="52"/>
    <x v="2"/>
    <x v="0"/>
    <x v="0"/>
    <x v="0"/>
    <x v="0"/>
    <x v="1"/>
    <x v="0"/>
    <x v="0"/>
    <x v="1"/>
    <x v="0"/>
    <n v="3"/>
    <n v="0"/>
    <n v="0"/>
    <n v="0"/>
    <n v="0"/>
    <n v="0"/>
    <n v="447002"/>
    <n v="0.87"/>
    <n v="0"/>
    <n v="0"/>
    <n v="59375"/>
    <n v="1.17"/>
    <n v="0"/>
    <n v="447002"/>
  </r>
  <r>
    <x v="52"/>
    <x v="52"/>
    <x v="3"/>
    <x v="0"/>
    <x v="0"/>
    <x v="0"/>
    <x v="0"/>
    <x v="1"/>
    <x v="0"/>
    <x v="0"/>
    <x v="1"/>
    <x v="0"/>
    <n v="3"/>
    <n v="0"/>
    <n v="1568"/>
    <n v="0"/>
    <n v="56448"/>
    <n v="0"/>
    <n v="291190"/>
    <n v="-0.35"/>
    <n v="212398"/>
    <n v="0"/>
    <n v="22344"/>
    <n v="-0.62"/>
    <n v="24272.639999999999"/>
    <n v="103064.64"/>
  </r>
  <r>
    <x v="52"/>
    <x v="52"/>
    <x v="4"/>
    <x v="0"/>
    <x v="0"/>
    <x v="0"/>
    <x v="0"/>
    <x v="1"/>
    <x v="0"/>
    <x v="0"/>
    <x v="1"/>
    <x v="0"/>
    <n v="4"/>
    <n v="0.33333333333333326"/>
    <n v="1594"/>
    <n v="0.02"/>
    <n v="76512"/>
    <n v="0.35544217687074831"/>
    <n v="491988"/>
    <n v="0.69"/>
    <n v="334222"/>
    <n v="0.57356472283166515"/>
    <n v="81254"/>
    <n v="2.64"/>
    <n v="32900.159999999996"/>
    <n v="190666.16"/>
  </r>
  <r>
    <x v="52"/>
    <x v="52"/>
    <x v="5"/>
    <x v="0"/>
    <x v="0"/>
    <x v="0"/>
    <x v="0"/>
    <x v="1"/>
    <x v="0"/>
    <x v="0"/>
    <x v="1"/>
    <x v="0"/>
    <n v="3"/>
    <n v="-0.25"/>
    <n v="0"/>
    <n v="0"/>
    <n v="0"/>
    <n v="-1"/>
    <n v="891608"/>
    <n v="0.81"/>
    <n v="0"/>
    <n v="-1"/>
    <n v="126884"/>
    <n v="0.56000000000000005"/>
    <n v="0"/>
    <n v="891608"/>
  </r>
  <r>
    <x v="53"/>
    <x v="53"/>
    <x v="0"/>
    <x v="0"/>
    <x v="0"/>
    <x v="0"/>
    <x v="1"/>
    <x v="0"/>
    <x v="0"/>
    <x v="0"/>
    <x v="1"/>
    <x v="0"/>
    <n v="19"/>
    <n v="0"/>
    <n v="2594"/>
    <n v="0"/>
    <n v="591432"/>
    <n v="0"/>
    <n v="9111300"/>
    <n v="0"/>
    <n v="8182498"/>
    <n v="0"/>
    <n v="337370"/>
    <n v="0"/>
    <n v="254315.76"/>
    <n v="1183117.76"/>
  </r>
  <r>
    <x v="53"/>
    <x v="53"/>
    <x v="1"/>
    <x v="0"/>
    <x v="0"/>
    <x v="0"/>
    <x v="1"/>
    <x v="0"/>
    <x v="0"/>
    <x v="0"/>
    <x v="1"/>
    <x v="0"/>
    <n v="19"/>
    <n v="0"/>
    <n v="3022"/>
    <n v="0.16499614494988421"/>
    <n v="689016"/>
    <n v="0.16499614494988424"/>
    <n v="7980395"/>
    <n v="-0.12412114626891881"/>
    <n v="6944129"/>
    <n v="-0.15134363613654411"/>
    <n v="347250"/>
    <n v="2.9285354358715932E-2"/>
    <n v="296276.88"/>
    <n v="1332542.8799999999"/>
  </r>
  <r>
    <x v="53"/>
    <x v="53"/>
    <x v="2"/>
    <x v="0"/>
    <x v="0"/>
    <x v="0"/>
    <x v="1"/>
    <x v="0"/>
    <x v="0"/>
    <x v="0"/>
    <x v="1"/>
    <x v="0"/>
    <n v="19"/>
    <n v="0"/>
    <n v="3122"/>
    <n v="3.3090668431502213E-2"/>
    <n v="711816"/>
    <n v="3.3090668431502213E-2"/>
    <n v="14985680"/>
    <n v="0.87781181257318708"/>
    <n v="13815400"/>
    <n v="0.98950797141009339"/>
    <n v="458464"/>
    <n v="0.32027069834413258"/>
    <n v="306080.88"/>
    <n v="1476360.88"/>
  </r>
  <r>
    <x v="53"/>
    <x v="53"/>
    <x v="3"/>
    <x v="0"/>
    <x v="0"/>
    <x v="0"/>
    <x v="1"/>
    <x v="0"/>
    <x v="0"/>
    <x v="0"/>
    <x v="1"/>
    <x v="0"/>
    <n v="23"/>
    <n v="0.21052631578947367"/>
    <n v="3347"/>
    <n v="7.2069186418962206E-2"/>
    <n v="923772"/>
    <n v="0.29776796250716475"/>
    <n v="11936797"/>
    <n v="-0.20345309655617891"/>
    <n v="10750026"/>
    <n v="-0.22188094445329121"/>
    <n v="262999"/>
    <n v="-0.42634754310043982"/>
    <n v="397221.96"/>
    <n v="1583992.96"/>
  </r>
  <r>
    <x v="53"/>
    <x v="53"/>
    <x v="4"/>
    <x v="0"/>
    <x v="0"/>
    <x v="0"/>
    <x v="1"/>
    <x v="0"/>
    <x v="0"/>
    <x v="0"/>
    <x v="1"/>
    <x v="0"/>
    <n v="23"/>
    <n v="0"/>
    <n v="3551"/>
    <n v="6.0950104571257928E-2"/>
    <n v="980076"/>
    <n v="6.0950104571257935E-2"/>
    <n v="17409970"/>
    <n v="0.45851269817187967"/>
    <n v="16169777"/>
    <n v="0.50416166435318388"/>
    <n v="260117"/>
    <n v="-1.0958216571165689E-2"/>
    <n v="421432.68"/>
    <n v="1661625.68"/>
  </r>
  <r>
    <x v="53"/>
    <x v="53"/>
    <x v="5"/>
    <x v="0"/>
    <x v="0"/>
    <x v="0"/>
    <x v="1"/>
    <x v="0"/>
    <x v="0"/>
    <x v="0"/>
    <x v="1"/>
    <x v="0"/>
    <n v="26"/>
    <n v="0.13043478260869557"/>
    <n v="3880"/>
    <n v="9.2649957758377921E-2"/>
    <n v="1210560"/>
    <n v="0.23516951746599246"/>
    <n v="20721932"/>
    <n v="0.19023364198789539"/>
    <n v="19220484"/>
    <n v="0.18866722775459421"/>
    <n v="290888"/>
    <n v="0.11829676645509513"/>
    <n v="520540.8"/>
    <n v="2021988.8"/>
  </r>
  <r>
    <x v="54"/>
    <x v="54"/>
    <x v="2"/>
    <x v="0"/>
    <x v="0"/>
    <x v="0"/>
    <x v="0"/>
    <x v="0"/>
    <x v="0"/>
    <x v="0"/>
    <x v="0"/>
    <x v="0"/>
    <n v="2"/>
    <n v="-0.92307692307692313"/>
    <n v="0"/>
    <n v="0"/>
    <n v="0"/>
    <n v="-1"/>
    <n v="92781"/>
    <n v="0"/>
    <n v="0"/>
    <n v="-1"/>
    <n v="10703"/>
    <n v="0"/>
    <n v="0"/>
    <n v="92781"/>
  </r>
  <r>
    <x v="54"/>
    <x v="54"/>
    <x v="3"/>
    <x v="0"/>
    <x v="0"/>
    <x v="0"/>
    <x v="0"/>
    <x v="0"/>
    <x v="0"/>
    <x v="0"/>
    <x v="0"/>
    <x v="0"/>
    <n v="4"/>
    <n v="1"/>
    <n v="2893"/>
    <n v="0"/>
    <n v="138864"/>
    <n v="0"/>
    <n v="135073"/>
    <n v="0.46"/>
    <n v="1015"/>
    <n v="0"/>
    <n v="-4806"/>
    <n v="-1.45"/>
    <n v="59711.519999999997"/>
    <n v="193769.52"/>
  </r>
  <r>
    <x v="54"/>
    <x v="54"/>
    <x v="4"/>
    <x v="0"/>
    <x v="0"/>
    <x v="0"/>
    <x v="0"/>
    <x v="0"/>
    <x v="0"/>
    <x v="0"/>
    <x v="0"/>
    <x v="0"/>
    <n v="2"/>
    <n v="-0.5"/>
    <n v="0"/>
    <n v="0"/>
    <n v="0"/>
    <n v="-1"/>
    <n v="48292"/>
    <n v="-0.64"/>
    <n v="0"/>
    <n v="-1"/>
    <n v="7197"/>
    <n v="2.5"/>
    <n v="0"/>
    <n v="48292"/>
  </r>
  <r>
    <x v="54"/>
    <x v="54"/>
    <x v="5"/>
    <x v="0"/>
    <x v="0"/>
    <x v="0"/>
    <x v="0"/>
    <x v="0"/>
    <x v="0"/>
    <x v="0"/>
    <x v="0"/>
    <x v="0"/>
    <n v="1"/>
    <n v="-0.5"/>
    <n v="0"/>
    <n v="0"/>
    <n v="0"/>
    <n v="0"/>
    <n v="44366"/>
    <n v="-0.08"/>
    <n v="0"/>
    <n v="0"/>
    <n v="4534"/>
    <n v="-0.37"/>
    <n v="0"/>
    <n v="44366"/>
  </r>
  <r>
    <x v="55"/>
    <x v="55"/>
    <x v="0"/>
    <x v="0"/>
    <x v="0"/>
    <x v="0"/>
    <x v="0"/>
    <x v="0"/>
    <x v="0"/>
    <x v="1"/>
    <x v="0"/>
    <x v="0"/>
    <n v="3"/>
    <n v="0"/>
    <n v="0"/>
    <n v="0"/>
    <n v="0"/>
    <n v="0"/>
    <n v="272062"/>
    <n v="0"/>
    <n v="0"/>
    <n v="0"/>
    <n v="-5710"/>
    <n v="0"/>
    <n v="0"/>
    <n v="272062"/>
  </r>
  <r>
    <x v="55"/>
    <x v="55"/>
    <x v="1"/>
    <x v="0"/>
    <x v="0"/>
    <x v="0"/>
    <x v="0"/>
    <x v="0"/>
    <x v="0"/>
    <x v="1"/>
    <x v="0"/>
    <x v="0"/>
    <n v="3"/>
    <n v="0"/>
    <n v="0"/>
    <n v="0"/>
    <n v="0"/>
    <n v="0"/>
    <n v="260028"/>
    <n v="-4.4232564636002107E-2"/>
    <n v="0"/>
    <n v="0"/>
    <n v="26466"/>
    <n v="-5.6350262697022764"/>
    <n v="0"/>
    <n v="260028"/>
  </r>
  <r>
    <x v="55"/>
    <x v="55"/>
    <x v="2"/>
    <x v="0"/>
    <x v="0"/>
    <x v="0"/>
    <x v="0"/>
    <x v="0"/>
    <x v="0"/>
    <x v="1"/>
    <x v="0"/>
    <x v="0"/>
    <n v="3"/>
    <n v="0"/>
    <n v="1105"/>
    <n v="0"/>
    <n v="39780"/>
    <n v="0"/>
    <n v="390004"/>
    <n v="0.49985386189179631"/>
    <n v="287656"/>
    <n v="0"/>
    <n v="62568"/>
    <n v="1.364089775561097"/>
    <n v="17105.400000000001"/>
    <n v="119453.4"/>
  </r>
  <r>
    <x v="55"/>
    <x v="55"/>
    <x v="3"/>
    <x v="0"/>
    <x v="0"/>
    <x v="0"/>
    <x v="0"/>
    <x v="0"/>
    <x v="0"/>
    <x v="1"/>
    <x v="0"/>
    <x v="0"/>
    <n v="5"/>
    <n v="0.66666666666666674"/>
    <n v="1306"/>
    <n v="0.1819004524886878"/>
    <n v="78360"/>
    <n v="0.96983408748114641"/>
    <n v="435751"/>
    <n v="0.11729879693541601"/>
    <n v="300589"/>
    <n v="4.4959952165086081E-2"/>
    <n v="56802"/>
    <n v="-9.2155734560797842E-2"/>
    <n v="33694.800000000003"/>
    <n v="168856.8"/>
  </r>
  <r>
    <x v="55"/>
    <x v="55"/>
    <x v="4"/>
    <x v="0"/>
    <x v="0"/>
    <x v="0"/>
    <x v="0"/>
    <x v="0"/>
    <x v="0"/>
    <x v="1"/>
    <x v="0"/>
    <x v="0"/>
    <n v="6"/>
    <n v="0.19999999999999996"/>
    <n v="1400"/>
    <n v="7.1975497702909674E-2"/>
    <n v="100800"/>
    <n v="0.28637059724349156"/>
    <n v="283497"/>
    <n v="-0.3494059680872792"/>
    <n v="185922"/>
    <n v="-0.38147437198300671"/>
    <n v="-3225"/>
    <n v="-1.0567761698531739"/>
    <n v="43344"/>
    <n v="140919"/>
  </r>
  <r>
    <x v="55"/>
    <x v="55"/>
    <x v="5"/>
    <x v="0"/>
    <x v="0"/>
    <x v="0"/>
    <x v="0"/>
    <x v="0"/>
    <x v="0"/>
    <x v="1"/>
    <x v="0"/>
    <x v="0"/>
    <n v="4"/>
    <n v="-0.33333333333333337"/>
    <n v="1531"/>
    <n v="9.3571428571428639E-2"/>
    <n v="73488"/>
    <n v="-0.27095238095238094"/>
    <n v="448957"/>
    <n v="0.58363933304408855"/>
    <n v="343841"/>
    <n v="0.84938307462269114"/>
    <n v="31628"/>
    <n v="10.807131782945699"/>
    <n v="31599.84"/>
    <n v="136715.84"/>
  </r>
  <r>
    <x v="56"/>
    <x v="56"/>
    <x v="0"/>
    <x v="0"/>
    <x v="0"/>
    <x v="1"/>
    <x v="0"/>
    <x v="0"/>
    <x v="0"/>
    <x v="0"/>
    <x v="0"/>
    <x v="0"/>
    <n v="0"/>
    <n v="0"/>
    <n v="0"/>
    <n v="0"/>
    <n v="0"/>
    <n v="0"/>
    <n v="0"/>
    <n v="0"/>
    <n v="0"/>
    <n v="0"/>
    <n v="0"/>
    <n v="0"/>
    <n v="0"/>
    <n v="0"/>
  </r>
  <r>
    <x v="56"/>
    <x v="56"/>
    <x v="1"/>
    <x v="0"/>
    <x v="0"/>
    <x v="1"/>
    <x v="0"/>
    <x v="0"/>
    <x v="0"/>
    <x v="0"/>
    <x v="0"/>
    <x v="0"/>
    <n v="0"/>
    <n v="0"/>
    <n v="0"/>
    <n v="0"/>
    <n v="0"/>
    <n v="0"/>
    <n v="0"/>
    <n v="0"/>
    <n v="0"/>
    <n v="0"/>
    <n v="0"/>
    <n v="0"/>
    <n v="0"/>
    <n v="0"/>
  </r>
  <r>
    <x v="56"/>
    <x v="56"/>
    <x v="2"/>
    <x v="0"/>
    <x v="0"/>
    <x v="1"/>
    <x v="0"/>
    <x v="0"/>
    <x v="0"/>
    <x v="0"/>
    <x v="0"/>
    <x v="0"/>
    <n v="0"/>
    <n v="0"/>
    <n v="0"/>
    <n v="0"/>
    <n v="0"/>
    <n v="0"/>
    <n v="0"/>
    <n v="0"/>
    <n v="0"/>
    <n v="0"/>
    <n v="0"/>
    <n v="0"/>
    <n v="0"/>
    <n v="0"/>
  </r>
  <r>
    <x v="56"/>
    <x v="56"/>
    <x v="3"/>
    <x v="0"/>
    <x v="0"/>
    <x v="1"/>
    <x v="0"/>
    <x v="0"/>
    <x v="0"/>
    <x v="0"/>
    <x v="0"/>
    <x v="0"/>
    <n v="0"/>
    <n v="0"/>
    <n v="0"/>
    <n v="0"/>
    <n v="0"/>
    <n v="0"/>
    <n v="0"/>
    <n v="0"/>
    <n v="0"/>
    <n v="0"/>
    <n v="0"/>
    <n v="0"/>
    <n v="0"/>
    <n v="0"/>
  </r>
  <r>
    <x v="56"/>
    <x v="56"/>
    <x v="4"/>
    <x v="0"/>
    <x v="0"/>
    <x v="1"/>
    <x v="0"/>
    <x v="0"/>
    <x v="0"/>
    <x v="0"/>
    <x v="0"/>
    <x v="0"/>
    <n v="0"/>
    <n v="0"/>
    <n v="0"/>
    <n v="0"/>
    <n v="0"/>
    <n v="0"/>
    <n v="0"/>
    <n v="0"/>
    <n v="0"/>
    <n v="0"/>
    <n v="0"/>
    <n v="0"/>
    <n v="0"/>
    <n v="0"/>
  </r>
  <r>
    <x v="56"/>
    <x v="56"/>
    <x v="5"/>
    <x v="0"/>
    <x v="0"/>
    <x v="1"/>
    <x v="0"/>
    <x v="0"/>
    <x v="0"/>
    <x v="0"/>
    <x v="0"/>
    <x v="0"/>
    <n v="0"/>
    <n v="0"/>
    <n v="0"/>
    <n v="0"/>
    <n v="0"/>
    <n v="0"/>
    <n v="115049"/>
    <n v="0"/>
    <n v="0"/>
    <n v="0"/>
    <n v="53588"/>
    <n v="0"/>
    <n v="0"/>
    <n v="115049"/>
  </r>
  <r>
    <x v="57"/>
    <x v="57"/>
    <x v="2"/>
    <x v="0"/>
    <x v="0"/>
    <x v="0"/>
    <x v="0"/>
    <x v="0"/>
    <x v="0"/>
    <x v="0"/>
    <x v="1"/>
    <x v="1"/>
    <n v="0"/>
    <n v="0"/>
    <n v="0"/>
    <n v="0"/>
    <n v="0"/>
    <n v="0"/>
    <n v="57701"/>
    <n v="0"/>
    <n v="0"/>
    <n v="0"/>
    <n v="57313"/>
    <n v="0"/>
    <n v="0"/>
    <n v="57701"/>
  </r>
  <r>
    <x v="57"/>
    <x v="57"/>
    <x v="3"/>
    <x v="0"/>
    <x v="0"/>
    <x v="0"/>
    <x v="0"/>
    <x v="0"/>
    <x v="0"/>
    <x v="0"/>
    <x v="1"/>
    <x v="1"/>
    <n v="0"/>
    <n v="0"/>
    <n v="0"/>
    <n v="0"/>
    <n v="0"/>
    <n v="0"/>
    <n v="73400"/>
    <n v="0.27"/>
    <n v="0"/>
    <n v="0"/>
    <n v="69041"/>
    <n v="0.2"/>
    <n v="0"/>
    <n v="73400"/>
  </r>
  <r>
    <x v="57"/>
    <x v="57"/>
    <x v="4"/>
    <x v="0"/>
    <x v="0"/>
    <x v="0"/>
    <x v="0"/>
    <x v="0"/>
    <x v="0"/>
    <x v="0"/>
    <x v="1"/>
    <x v="1"/>
    <n v="0"/>
    <n v="0"/>
    <n v="0"/>
    <n v="0"/>
    <n v="0"/>
    <n v="0"/>
    <n v="49395"/>
    <n v="-0.33"/>
    <n v="0"/>
    <n v="0"/>
    <n v="45194"/>
    <n v="-0.35"/>
    <n v="0"/>
    <n v="49395"/>
  </r>
  <r>
    <x v="57"/>
    <x v="57"/>
    <x v="5"/>
    <x v="0"/>
    <x v="0"/>
    <x v="0"/>
    <x v="0"/>
    <x v="0"/>
    <x v="0"/>
    <x v="0"/>
    <x v="1"/>
    <x v="1"/>
    <n v="0"/>
    <n v="0"/>
    <n v="0"/>
    <n v="0"/>
    <n v="0"/>
    <n v="0"/>
    <n v="95209"/>
    <n v="0.93"/>
    <n v="0"/>
    <n v="0"/>
    <n v="80047"/>
    <n v="3.099128202858787"/>
    <n v="0"/>
    <n v="95209"/>
  </r>
  <r>
    <x v="58"/>
    <x v="58"/>
    <x v="0"/>
    <x v="0"/>
    <x v="0"/>
    <x v="0"/>
    <x v="0"/>
    <x v="0"/>
    <x v="0"/>
    <x v="1"/>
    <x v="1"/>
    <x v="0"/>
    <n v="7"/>
    <n v="0"/>
    <n v="1994"/>
    <n v="0"/>
    <n v="167496"/>
    <n v="0"/>
    <n v="517914"/>
    <n v="0"/>
    <n v="220539"/>
    <n v="0"/>
    <n v="129879"/>
    <n v="0"/>
    <n v="72023.28"/>
    <n v="369398.28"/>
  </r>
  <r>
    <x v="58"/>
    <x v="58"/>
    <x v="1"/>
    <x v="0"/>
    <x v="0"/>
    <x v="0"/>
    <x v="0"/>
    <x v="0"/>
    <x v="0"/>
    <x v="1"/>
    <x v="1"/>
    <x v="0"/>
    <n v="8"/>
    <n v="0.14285714285714279"/>
    <n v="1582"/>
    <n v="-0.20661985957873619"/>
    <n v="151872"/>
    <n v="-9.3279839518555674E-2"/>
    <n v="544393"/>
    <n v="5.1126248759446602E-2"/>
    <n v="264232"/>
    <n v="0.19811915352840082"/>
    <n v="128289"/>
    <n v="-1.2242163860208381E-2"/>
    <n v="65304.959999999999"/>
    <n v="345465.96"/>
  </r>
  <r>
    <x v="58"/>
    <x v="58"/>
    <x v="2"/>
    <x v="0"/>
    <x v="0"/>
    <x v="0"/>
    <x v="0"/>
    <x v="0"/>
    <x v="0"/>
    <x v="1"/>
    <x v="1"/>
    <x v="0"/>
    <n v="7"/>
    <n v="-0.125"/>
    <n v="1820"/>
    <n v="0.15044247787610621"/>
    <n v="152880"/>
    <n v="6.6371681415928752E-3"/>
    <n v="670268"/>
    <n v="0.23122082760064891"/>
    <n v="301285"/>
    <n v="0.14022904114565993"/>
    <n v="216103"/>
    <n v="0.68450139918465336"/>
    <n v="65738.399999999994"/>
    <n v="434721.4"/>
  </r>
  <r>
    <x v="58"/>
    <x v="58"/>
    <x v="3"/>
    <x v="0"/>
    <x v="0"/>
    <x v="0"/>
    <x v="0"/>
    <x v="0"/>
    <x v="0"/>
    <x v="1"/>
    <x v="1"/>
    <x v="0"/>
    <n v="7"/>
    <n v="0"/>
    <n v="1975"/>
    <n v="8.5164835164835084E-2"/>
    <n v="165900"/>
    <n v="8.5164835164835084E-2"/>
    <n v="645477"/>
    <n v="-3.6986697858170207E-2"/>
    <n v="283787"/>
    <n v="-5.8077899663109722E-2"/>
    <n v="195790"/>
    <n v="-9.3996844097490539E-2"/>
    <n v="71337"/>
    <n v="433027"/>
  </r>
  <r>
    <x v="58"/>
    <x v="58"/>
    <x v="4"/>
    <x v="0"/>
    <x v="0"/>
    <x v="0"/>
    <x v="0"/>
    <x v="0"/>
    <x v="0"/>
    <x v="1"/>
    <x v="1"/>
    <x v="0"/>
    <n v="6"/>
    <n v="-0.1428571428571429"/>
    <n v="2056"/>
    <n v="4.1012658227848053E-2"/>
    <n v="148032"/>
    <n v="-0.10770343580470165"/>
    <n v="640668"/>
    <n v="-7.4503041936427872E-3"/>
    <n v="273319"/>
    <n v="-3.6886820044610968E-2"/>
    <n v="219317"/>
    <n v="0.1201644619234894"/>
    <n v="63653.760000000002"/>
    <n v="431002.76"/>
  </r>
  <r>
    <x v="58"/>
    <x v="58"/>
    <x v="5"/>
    <x v="0"/>
    <x v="0"/>
    <x v="0"/>
    <x v="0"/>
    <x v="0"/>
    <x v="0"/>
    <x v="1"/>
    <x v="1"/>
    <x v="0"/>
    <n v="6"/>
    <n v="0"/>
    <n v="1935"/>
    <n v="-5.8852140077821018E-2"/>
    <n v="139320"/>
    <n v="-5.8852140077821025E-2"/>
    <n v="645283"/>
    <n v="7.2034189314902353E-3"/>
    <n v="283396"/>
    <n v="3.6869006545465099E-2"/>
    <n v="222567"/>
    <n v="1.4818732701979309E-2"/>
    <n v="59907.6"/>
    <n v="421794.6"/>
  </r>
  <r>
    <x v="59"/>
    <x v="59"/>
    <x v="0"/>
    <x v="0"/>
    <x v="0"/>
    <x v="0"/>
    <x v="0"/>
    <x v="0"/>
    <x v="0"/>
    <x v="0"/>
    <x v="0"/>
    <x v="0"/>
    <n v="11"/>
    <n v="0"/>
    <n v="1664"/>
    <n v="0"/>
    <n v="219648"/>
    <n v="0"/>
    <n v="463182"/>
    <n v="0"/>
    <n v="185762"/>
    <n v="0"/>
    <n v="57772"/>
    <n v="0"/>
    <n v="94448.639999999999"/>
    <n v="371868.64"/>
  </r>
  <r>
    <x v="59"/>
    <x v="59"/>
    <x v="1"/>
    <x v="0"/>
    <x v="0"/>
    <x v="0"/>
    <x v="0"/>
    <x v="0"/>
    <x v="0"/>
    <x v="0"/>
    <x v="0"/>
    <x v="0"/>
    <n v="11"/>
    <n v="0"/>
    <n v="2204"/>
    <n v="0.32"/>
    <n v="290928"/>
    <n v="0.32451923076923084"/>
    <n v="638187"/>
    <n v="0.38"/>
    <n v="276204"/>
    <n v="0.48687029640077095"/>
    <n v="71055"/>
    <n v="0.23"/>
    <n v="125099.04"/>
    <n v="487082.04"/>
  </r>
  <r>
    <x v="59"/>
    <x v="59"/>
    <x v="2"/>
    <x v="0"/>
    <x v="0"/>
    <x v="0"/>
    <x v="0"/>
    <x v="0"/>
    <x v="0"/>
    <x v="0"/>
    <x v="0"/>
    <x v="0"/>
    <n v="14"/>
    <n v="0.27272727272727271"/>
    <n v="2844"/>
    <n v="0.28999999999999998"/>
    <n v="477792"/>
    <n v="0.64230325028873114"/>
    <n v="989434"/>
    <n v="0.55000000000000004"/>
    <n v="425324"/>
    <n v="0.53989080534677258"/>
    <n v="86318"/>
    <n v="0.21"/>
    <n v="205450.56"/>
    <n v="769560.56"/>
  </r>
  <r>
    <x v="59"/>
    <x v="59"/>
    <x v="3"/>
    <x v="0"/>
    <x v="0"/>
    <x v="0"/>
    <x v="0"/>
    <x v="0"/>
    <x v="0"/>
    <x v="0"/>
    <x v="0"/>
    <x v="0"/>
    <n v="15"/>
    <n v="7.1428571428571397E-2"/>
    <n v="3598"/>
    <n v="0.27"/>
    <n v="647640"/>
    <n v="0.35548523206751059"/>
    <n v="1378217"/>
    <n v="0.39"/>
    <n v="577690"/>
    <n v="0.35823513368631921"/>
    <n v="152887"/>
    <n v="0.77"/>
    <n v="278485.2"/>
    <n v="1079012.2"/>
  </r>
  <r>
    <x v="59"/>
    <x v="59"/>
    <x v="4"/>
    <x v="0"/>
    <x v="0"/>
    <x v="0"/>
    <x v="0"/>
    <x v="0"/>
    <x v="0"/>
    <x v="0"/>
    <x v="0"/>
    <x v="0"/>
    <n v="13"/>
    <n v="-0.1333333333333333"/>
    <n v="4242"/>
    <n v="0.18"/>
    <n v="661752"/>
    <n v="2.1789883268482413E-2"/>
    <n v="1656998"/>
    <n v="0.2"/>
    <n v="812013"/>
    <n v="0.40562066160051247"/>
    <n v="183233"/>
    <n v="0.2"/>
    <n v="284553.36"/>
    <n v="1129538.3599999999"/>
  </r>
  <r>
    <x v="59"/>
    <x v="59"/>
    <x v="5"/>
    <x v="0"/>
    <x v="0"/>
    <x v="0"/>
    <x v="0"/>
    <x v="0"/>
    <x v="0"/>
    <x v="0"/>
    <x v="0"/>
    <x v="0"/>
    <n v="15"/>
    <n v="0.15384615384615374"/>
    <n v="3978"/>
    <n v="-0.06"/>
    <n v="716040"/>
    <n v="8.2036775106081983E-2"/>
    <n v="1427828"/>
    <n v="-0.14000000000000001"/>
    <n v="586478"/>
    <n v="-0.27774801634949198"/>
    <n v="125310"/>
    <n v="-0.32"/>
    <n v="307897.2"/>
    <n v="1149247.2"/>
  </r>
  <r>
    <x v="60"/>
    <x v="60"/>
    <x v="0"/>
    <x v="0"/>
    <x v="0"/>
    <x v="0"/>
    <x v="1"/>
    <x v="0"/>
    <x v="0"/>
    <x v="0"/>
    <x v="1"/>
    <x v="0"/>
    <n v="34"/>
    <n v="0"/>
    <n v="2463"/>
    <n v="0"/>
    <n v="1004904"/>
    <n v="0"/>
    <n v="10898125"/>
    <n v="0"/>
    <n v="9689538"/>
    <n v="0"/>
    <n v="203683"/>
    <n v="0"/>
    <n v="432108.72"/>
    <n v="1640695.72"/>
  </r>
  <r>
    <x v="60"/>
    <x v="60"/>
    <x v="1"/>
    <x v="0"/>
    <x v="0"/>
    <x v="0"/>
    <x v="1"/>
    <x v="0"/>
    <x v="0"/>
    <x v="0"/>
    <x v="1"/>
    <x v="0"/>
    <n v="30"/>
    <n v="-0.11764705882352944"/>
    <n v="2559"/>
    <n v="3.897685749086488E-2"/>
    <n v="921240"/>
    <n v="-8.3255713978648727E-2"/>
    <n v="11162492"/>
    <n v="2.4258026036588779E-2"/>
    <n v="9933902"/>
    <n v="2.5219365464070664E-2"/>
    <n v="307350"/>
    <n v="0.50896245636601978"/>
    <n v="396133.2"/>
    <n v="1624723.2"/>
  </r>
  <r>
    <x v="60"/>
    <x v="60"/>
    <x v="2"/>
    <x v="0"/>
    <x v="0"/>
    <x v="0"/>
    <x v="1"/>
    <x v="0"/>
    <x v="0"/>
    <x v="0"/>
    <x v="1"/>
    <x v="0"/>
    <n v="30"/>
    <n v="0"/>
    <n v="2700"/>
    <n v="5.5099648300117147E-2"/>
    <n v="972000"/>
    <n v="5.5099648300117154E-2"/>
    <n v="13680319"/>
    <n v="0.22556137106302071"/>
    <n v="12316586"/>
    <n v="0.23985378555173997"/>
    <n v="391733"/>
    <n v="0.27455018708312989"/>
    <n v="417960"/>
    <n v="1781693"/>
  </r>
  <r>
    <x v="60"/>
    <x v="60"/>
    <x v="3"/>
    <x v="0"/>
    <x v="0"/>
    <x v="0"/>
    <x v="1"/>
    <x v="0"/>
    <x v="0"/>
    <x v="0"/>
    <x v="1"/>
    <x v="0"/>
    <n v="36"/>
    <n v="0.19999999999999996"/>
    <n v="2844"/>
    <n v="5.3333333333333233E-2"/>
    <n v="1228608"/>
    <n v="0.26400000000000001"/>
    <n v="14993931"/>
    <n v="9.6022029895648009E-2"/>
    <n v="13470943"/>
    <n v="9.3723780274826085E-2"/>
    <n v="294380"/>
    <n v="-0.24851876150337091"/>
    <n v="528301.43999999994"/>
    <n v="2051289.44"/>
  </r>
  <r>
    <x v="60"/>
    <x v="60"/>
    <x v="4"/>
    <x v="0"/>
    <x v="0"/>
    <x v="0"/>
    <x v="1"/>
    <x v="0"/>
    <x v="0"/>
    <x v="0"/>
    <x v="1"/>
    <x v="0"/>
    <n v="36"/>
    <n v="0"/>
    <n v="3103"/>
    <n v="9.1068917018284123E-2"/>
    <n v="1340496"/>
    <n v="9.1068917018284123E-2"/>
    <n v="19737855"/>
    <n v="0.31638961123670639"/>
    <n v="18011550"/>
    <n v="0.33706675174855993"/>
    <n v="385809"/>
    <n v="0.31058156124736719"/>
    <n v="576413.28"/>
    <n v="2302718.2800000003"/>
  </r>
  <r>
    <x v="60"/>
    <x v="60"/>
    <x v="5"/>
    <x v="0"/>
    <x v="0"/>
    <x v="0"/>
    <x v="1"/>
    <x v="0"/>
    <x v="0"/>
    <x v="0"/>
    <x v="1"/>
    <x v="0"/>
    <n v="35"/>
    <n v="-2.777777777777779E-2"/>
    <n v="3298"/>
    <n v="6.284241057041573E-2"/>
    <n v="1385160"/>
    <n v="3.3319010276793071E-2"/>
    <n v="15451756"/>
    <n v="-0.21715120513348579"/>
    <n v="13822450"/>
    <n v="-0.23257853988135391"/>
    <n v="244146"/>
    <n v="-0.36718428030450301"/>
    <n v="595618.80000000005"/>
    <n v="2224924.7999999998"/>
  </r>
  <r>
    <x v="61"/>
    <x v="61"/>
    <x v="0"/>
    <x v="0"/>
    <x v="0"/>
    <x v="0"/>
    <x v="1"/>
    <x v="0"/>
    <x v="0"/>
    <x v="0"/>
    <x v="1"/>
    <x v="0"/>
    <n v="21"/>
    <n v="0"/>
    <n v="2789"/>
    <n v="0"/>
    <n v="702828"/>
    <n v="0"/>
    <n v="7485095"/>
    <n v="0"/>
    <n v="6776807"/>
    <n v="0"/>
    <n v="5460"/>
    <n v="0"/>
    <n v="302216.03999999998"/>
    <n v="1010504.04"/>
  </r>
  <r>
    <x v="61"/>
    <x v="61"/>
    <x v="1"/>
    <x v="0"/>
    <x v="0"/>
    <x v="0"/>
    <x v="1"/>
    <x v="0"/>
    <x v="0"/>
    <x v="0"/>
    <x v="1"/>
    <x v="0"/>
    <n v="16"/>
    <n v="-0.23809523809523814"/>
    <n v="2908"/>
    <n v="0.04"/>
    <n v="558336"/>
    <n v="-0.2055865731018115"/>
    <n v="6600159"/>
    <n v="-0.12"/>
    <n v="5927828"/>
    <n v="-0.12527714010447688"/>
    <n v="113995"/>
    <n v="19.88"/>
    <n v="240084.48000000001"/>
    <n v="912415.48"/>
  </r>
  <r>
    <x v="61"/>
    <x v="61"/>
    <x v="2"/>
    <x v="0"/>
    <x v="0"/>
    <x v="0"/>
    <x v="1"/>
    <x v="0"/>
    <x v="0"/>
    <x v="0"/>
    <x v="1"/>
    <x v="0"/>
    <n v="13"/>
    <n v="-0.1875"/>
    <n v="2982"/>
    <n v="0.03"/>
    <n v="465192"/>
    <n v="-0.16682427785419529"/>
    <n v="8885368"/>
    <n v="0.35"/>
    <n v="8061207"/>
    <n v="0.35989218985436144"/>
    <n v="358969"/>
    <n v="2.15"/>
    <n v="200032.56"/>
    <n v="1024193.56"/>
  </r>
  <r>
    <x v="61"/>
    <x v="61"/>
    <x v="3"/>
    <x v="0"/>
    <x v="0"/>
    <x v="0"/>
    <x v="1"/>
    <x v="0"/>
    <x v="0"/>
    <x v="0"/>
    <x v="1"/>
    <x v="0"/>
    <n v="16"/>
    <n v="0.23076923076923084"/>
    <n v="3321"/>
    <n v="0.11"/>
    <n v="637632"/>
    <n v="0.37068565237579332"/>
    <n v="7425733"/>
    <n v="-0.16"/>
    <n v="6534554"/>
    <n v="-0.18938268177457795"/>
    <n v="253547"/>
    <n v="-0.28999999999999998"/>
    <n v="274181.76000000001"/>
    <n v="1165360.76"/>
  </r>
  <r>
    <x v="61"/>
    <x v="61"/>
    <x v="4"/>
    <x v="0"/>
    <x v="0"/>
    <x v="0"/>
    <x v="1"/>
    <x v="0"/>
    <x v="0"/>
    <x v="0"/>
    <x v="1"/>
    <x v="0"/>
    <n v="16"/>
    <n v="0"/>
    <n v="3469"/>
    <n v="0.04"/>
    <n v="666048"/>
    <n v="4.45648900933453E-2"/>
    <n v="7342686"/>
    <n v="-0.01"/>
    <n v="6580021"/>
    <n v="6.9579346960786381E-3"/>
    <n v="96617"/>
    <n v="-0.62"/>
    <n v="286400.64000000001"/>
    <n v="1049065.6400000001"/>
  </r>
  <r>
    <x v="61"/>
    <x v="61"/>
    <x v="5"/>
    <x v="0"/>
    <x v="0"/>
    <x v="0"/>
    <x v="1"/>
    <x v="0"/>
    <x v="0"/>
    <x v="0"/>
    <x v="1"/>
    <x v="0"/>
    <n v="24"/>
    <n v="0.5"/>
    <n v="3549"/>
    <n v="0.02"/>
    <n v="1022112"/>
    <n v="0.53459210147016423"/>
    <n v="7514559"/>
    <n v="0.02"/>
    <n v="6419504"/>
    <n v="-2.4394602995947867E-2"/>
    <n v="72943"/>
    <n v="-0.25"/>
    <n v="439508.16"/>
    <n v="1534563.16"/>
  </r>
  <r>
    <x v="62"/>
    <x v="62"/>
    <x v="0"/>
    <x v="0"/>
    <x v="0"/>
    <x v="0"/>
    <x v="0"/>
    <x v="0"/>
    <x v="0"/>
    <x v="0"/>
    <x v="1"/>
    <x v="1"/>
    <n v="0"/>
    <n v="0"/>
    <n v="0"/>
    <n v="0"/>
    <n v="0"/>
    <n v="0"/>
    <m/>
    <n v="0"/>
    <n v="0"/>
    <n v="0"/>
    <n v="0"/>
    <n v="0"/>
    <n v="0"/>
    <n v="0"/>
  </r>
  <r>
    <x v="62"/>
    <x v="62"/>
    <x v="1"/>
    <x v="0"/>
    <x v="0"/>
    <x v="0"/>
    <x v="0"/>
    <x v="0"/>
    <x v="0"/>
    <x v="0"/>
    <x v="1"/>
    <x v="1"/>
    <n v="4"/>
    <n v="0"/>
    <n v="0"/>
    <n v="0"/>
    <n v="0"/>
    <n v="0"/>
    <n v="406060"/>
    <n v="0"/>
    <n v="0"/>
    <n v="0"/>
    <n v="219736"/>
    <n v="0"/>
    <n v="0"/>
    <n v="406060"/>
  </r>
  <r>
    <x v="62"/>
    <x v="62"/>
    <x v="2"/>
    <x v="0"/>
    <x v="0"/>
    <x v="0"/>
    <x v="0"/>
    <x v="0"/>
    <x v="0"/>
    <x v="0"/>
    <x v="1"/>
    <x v="1"/>
    <n v="4"/>
    <n v="0"/>
    <n v="0"/>
    <n v="0"/>
    <n v="0"/>
    <n v="0"/>
    <n v="438095"/>
    <n v="7.8892281928778951E-2"/>
    <n v="0"/>
    <n v="0"/>
    <n v="205405"/>
    <n v="-6.5219172097426004E-2"/>
    <n v="0"/>
    <n v="438095"/>
  </r>
  <r>
    <x v="62"/>
    <x v="62"/>
    <x v="3"/>
    <x v="0"/>
    <x v="0"/>
    <x v="0"/>
    <x v="0"/>
    <x v="0"/>
    <x v="0"/>
    <x v="0"/>
    <x v="1"/>
    <x v="1"/>
    <n v="5"/>
    <n v="0.25"/>
    <n v="0"/>
    <n v="0"/>
    <n v="0"/>
    <n v="0"/>
    <n v="437017"/>
    <n v="-2.4606535112247085E-3"/>
    <n v="0"/>
    <n v="0"/>
    <n v="196417"/>
    <n v="-4.3757454784450256E-2"/>
    <n v="0"/>
    <n v="437017"/>
  </r>
  <r>
    <x v="62"/>
    <x v="62"/>
    <x v="4"/>
    <x v="0"/>
    <x v="0"/>
    <x v="0"/>
    <x v="0"/>
    <x v="0"/>
    <x v="0"/>
    <x v="0"/>
    <x v="1"/>
    <x v="1"/>
    <n v="6"/>
    <n v="0.19999999999999996"/>
    <n v="6200"/>
    <n v="0"/>
    <n v="446400"/>
    <n v="0"/>
    <n v="565400"/>
    <n v="0.29377118052615803"/>
    <n v="-161533"/>
    <n v="0"/>
    <n v="280533"/>
    <n v="0.42825213703498166"/>
    <n v="191952"/>
    <n v="918885"/>
  </r>
  <r>
    <x v="62"/>
    <x v="62"/>
    <x v="5"/>
    <x v="0"/>
    <x v="0"/>
    <x v="0"/>
    <x v="0"/>
    <x v="0"/>
    <x v="0"/>
    <x v="0"/>
    <x v="1"/>
    <x v="1"/>
    <n v="5"/>
    <n v="-0.16666666666666663"/>
    <n v="8800"/>
    <n v="0.41935483870967749"/>
    <n v="528000"/>
    <n v="0.18279569892473124"/>
    <n v="595916"/>
    <n v="5.3972408914043202E-2"/>
    <n v="-192736"/>
    <n v="0.19316795948815413"/>
    <n v="260652"/>
    <n v="-7.0868667857257428E-2"/>
    <n v="227040"/>
    <n v="1015692"/>
  </r>
  <r>
    <x v="63"/>
    <x v="63"/>
    <x v="0"/>
    <x v="0"/>
    <x v="0"/>
    <x v="0"/>
    <x v="0"/>
    <x v="0"/>
    <x v="1"/>
    <x v="0"/>
    <x v="1"/>
    <x v="0"/>
    <n v="17"/>
    <n v="0"/>
    <n v="1294"/>
    <n v="0"/>
    <n v="263976"/>
    <n v="0"/>
    <n v="1122291"/>
    <n v="0"/>
    <n v="840955"/>
    <n v="0"/>
    <n v="17360"/>
    <n v="0"/>
    <n v="113509.68"/>
    <n v="394845.68"/>
  </r>
  <r>
    <x v="63"/>
    <x v="63"/>
    <x v="1"/>
    <x v="0"/>
    <x v="0"/>
    <x v="0"/>
    <x v="0"/>
    <x v="0"/>
    <x v="1"/>
    <x v="0"/>
    <x v="1"/>
    <x v="0"/>
    <n v="17"/>
    <n v="0"/>
    <n v="1444"/>
    <n v="0.1159196290571871"/>
    <n v="294576"/>
    <n v="0.11591962905718711"/>
    <n v="1618920"/>
    <n v="0.44251357268302072"/>
    <n v="1289776"/>
    <n v="0.53370394373063967"/>
    <n v="34568"/>
    <n v="0.99124423963133634"/>
    <n v="126667.68"/>
    <n v="455811.68"/>
  </r>
  <r>
    <x v="63"/>
    <x v="63"/>
    <x v="2"/>
    <x v="0"/>
    <x v="0"/>
    <x v="0"/>
    <x v="0"/>
    <x v="0"/>
    <x v="1"/>
    <x v="0"/>
    <x v="1"/>
    <x v="0"/>
    <n v="19"/>
    <n v="0.11764705882352944"/>
    <n v="1588"/>
    <n v="9.9722991689750629E-2"/>
    <n v="362064"/>
    <n v="0.22910216718266252"/>
    <n v="1476904"/>
    <n v="-8.7722679317075558E-2"/>
    <n v="1092461"/>
    <n v="-0.15298392899232116"/>
    <n v="22379"/>
    <n v="-0.35260934968757229"/>
    <n v="155687.51999999999"/>
    <n v="540130.52"/>
  </r>
  <r>
    <x v="63"/>
    <x v="63"/>
    <x v="3"/>
    <x v="0"/>
    <x v="0"/>
    <x v="0"/>
    <x v="0"/>
    <x v="0"/>
    <x v="1"/>
    <x v="0"/>
    <x v="1"/>
    <x v="0"/>
    <n v="20"/>
    <n v="5.2631578947368363E-2"/>
    <n v="1811"/>
    <n v="0.1404282115869018"/>
    <n v="434640"/>
    <n v="0.20045074903884386"/>
    <n v="2039056"/>
    <n v="0.38062866645360832"/>
    <n v="1581977"/>
    <n v="0.44808556094908658"/>
    <n v="22439"/>
    <n v="2.6810849457079571E-3"/>
    <n v="186895.2"/>
    <n v="643974.19999999995"/>
  </r>
  <r>
    <x v="63"/>
    <x v="63"/>
    <x v="4"/>
    <x v="0"/>
    <x v="0"/>
    <x v="0"/>
    <x v="0"/>
    <x v="0"/>
    <x v="1"/>
    <x v="0"/>
    <x v="1"/>
    <x v="0"/>
    <n v="21"/>
    <n v="5.0000000000000044E-2"/>
    <n v="1954"/>
    <n v="7.8961899503037003E-2"/>
    <n v="492408"/>
    <n v="0.13290999447818885"/>
    <n v="2020450"/>
    <n v="-9.1248106967145581E-3"/>
    <n v="1497882"/>
    <n v="-5.315816854480182E-2"/>
    <n v="30160"/>
    <n v="0.34408841748741043"/>
    <n v="211735.44"/>
    <n v="734303.44"/>
  </r>
  <r>
    <x v="63"/>
    <x v="63"/>
    <x v="5"/>
    <x v="0"/>
    <x v="0"/>
    <x v="0"/>
    <x v="0"/>
    <x v="0"/>
    <x v="1"/>
    <x v="0"/>
    <x v="1"/>
    <x v="0"/>
    <n v="20"/>
    <n v="-4.7619047619047672E-2"/>
    <n v="2318"/>
    <n v="0.1862845445240533"/>
    <n v="556320"/>
    <n v="0.12979480430862211"/>
    <n v="1696197"/>
    <n v="-0.16048553540052957"/>
    <n v="1204896"/>
    <n v="-0.1956001874647002"/>
    <n v="-65019"/>
    <n v="-3.1558023872679044"/>
    <n v="239217.6"/>
    <n v="730518.6"/>
  </r>
  <r>
    <x v="64"/>
    <x v="64"/>
    <x v="0"/>
    <x v="0"/>
    <x v="0"/>
    <x v="0"/>
    <x v="0"/>
    <x v="0"/>
    <x v="1"/>
    <x v="0"/>
    <x v="1"/>
    <x v="0"/>
    <n v="16"/>
    <n v="0"/>
    <n v="1952"/>
    <n v="0"/>
    <n v="374784"/>
    <n v="0"/>
    <n v="1642462"/>
    <n v="0"/>
    <n v="1261910"/>
    <n v="0"/>
    <n v="5768"/>
    <n v="0"/>
    <n v="161157.12"/>
    <n v="541709.12"/>
  </r>
  <r>
    <x v="64"/>
    <x v="64"/>
    <x v="1"/>
    <x v="0"/>
    <x v="0"/>
    <x v="0"/>
    <x v="0"/>
    <x v="0"/>
    <x v="1"/>
    <x v="0"/>
    <x v="1"/>
    <x v="0"/>
    <n v="19"/>
    <n v="0.1875"/>
    <n v="1803"/>
    <n v="-7.6331967213114749E-2"/>
    <n v="411084"/>
    <n v="9.6855788934426146E-2"/>
    <n v="2170995"/>
    <n v="0.32179313737547649"/>
    <n v="1754931"/>
    <n v="0.39069426504267346"/>
    <n v="4980"/>
    <n v="-0.136615811373093"/>
    <n v="176766.12"/>
    <n v="592830.12"/>
  </r>
  <r>
    <x v="64"/>
    <x v="64"/>
    <x v="2"/>
    <x v="0"/>
    <x v="0"/>
    <x v="0"/>
    <x v="0"/>
    <x v="0"/>
    <x v="1"/>
    <x v="0"/>
    <x v="1"/>
    <x v="0"/>
    <n v="23"/>
    <n v="0.21052631578947367"/>
    <n v="1970"/>
    <n v="9.2623405435385386E-2"/>
    <n v="543720"/>
    <n v="0.32264938552704558"/>
    <n v="2012184"/>
    <n v="-7.3151250924115452E-2"/>
    <n v="1561683"/>
    <n v="-0.11011714990503896"/>
    <n v="-93219"/>
    <n v="-19.71867469879518"/>
    <n v="233799.6"/>
    <n v="684300.6"/>
  </r>
  <r>
    <x v="64"/>
    <x v="64"/>
    <x v="3"/>
    <x v="0"/>
    <x v="0"/>
    <x v="0"/>
    <x v="0"/>
    <x v="0"/>
    <x v="1"/>
    <x v="0"/>
    <x v="1"/>
    <x v="0"/>
    <n v="26"/>
    <n v="0.13043478260869557"/>
    <n v="2512"/>
    <n v="0.2751269035532995"/>
    <n v="783744"/>
    <n v="0.4414478040167733"/>
    <n v="2854292"/>
    <n v="0.41850447076410502"/>
    <n v="2002418"/>
    <n v="0.28221796613013006"/>
    <n v="68130"/>
    <n v="-1.7308595887104561"/>
    <n v="337009.91999999998"/>
    <n v="1188883.92"/>
  </r>
  <r>
    <x v="64"/>
    <x v="64"/>
    <x v="4"/>
    <x v="0"/>
    <x v="0"/>
    <x v="0"/>
    <x v="0"/>
    <x v="0"/>
    <x v="1"/>
    <x v="0"/>
    <x v="1"/>
    <x v="0"/>
    <n v="27"/>
    <n v="3.8461538461538547E-2"/>
    <n v="2995"/>
    <n v="0.19227707006369421"/>
    <n v="970380"/>
    <n v="0.23813388045075934"/>
    <n v="3034911"/>
    <n v="6.3279790575035744E-2"/>
    <n v="2095205"/>
    <n v="4.6337477989111253E-2"/>
    <n v="-30674"/>
    <n v="-1.4502275062380741"/>
    <n v="417263.39999999997"/>
    <n v="1356969.4"/>
  </r>
  <r>
    <x v="64"/>
    <x v="64"/>
    <x v="5"/>
    <x v="0"/>
    <x v="0"/>
    <x v="0"/>
    <x v="0"/>
    <x v="0"/>
    <x v="1"/>
    <x v="0"/>
    <x v="1"/>
    <x v="0"/>
    <n v="25"/>
    <n v="-7.407407407407407E-2"/>
    <n v="3105"/>
    <n v="3.6727879799666192E-2"/>
    <n v="931500"/>
    <n v="-4.0066777963272071E-2"/>
    <n v="3272793"/>
    <n v="7.8381870176753132E-2"/>
    <n v="2310733"/>
    <n v="0.10286726119878487"/>
    <n v="30560"/>
    <n v="-1.9962834974245289"/>
    <n v="400545"/>
    <n v="1362605"/>
  </r>
  <r>
    <x v="65"/>
    <x v="65"/>
    <x v="0"/>
    <x v="0"/>
    <x v="0"/>
    <x v="0"/>
    <x v="0"/>
    <x v="0"/>
    <x v="1"/>
    <x v="0"/>
    <x v="1"/>
    <x v="0"/>
    <n v="13"/>
    <n v="0"/>
    <n v="1427"/>
    <n v="0"/>
    <n v="222612"/>
    <n v="0"/>
    <n v="2461430"/>
    <n v="0"/>
    <n v="2120354"/>
    <n v="0"/>
    <n v="118464"/>
    <n v="0"/>
    <n v="95723.16"/>
    <n v="436799.16000000003"/>
  </r>
  <r>
    <x v="65"/>
    <x v="65"/>
    <x v="1"/>
    <x v="0"/>
    <x v="0"/>
    <x v="0"/>
    <x v="0"/>
    <x v="0"/>
    <x v="1"/>
    <x v="0"/>
    <x v="1"/>
    <x v="0"/>
    <n v="18"/>
    <n v="0.38461538461538458"/>
    <n v="1617"/>
    <n v="0.13314646110721801"/>
    <n v="349272"/>
    <n v="0.5689720230715325"/>
    <n v="2095356"/>
    <n v="-0.14872411565634611"/>
    <n v="1643739"/>
    <n v="-0.22478086206359882"/>
    <n v="102345"/>
    <n v="-0.13606665316045391"/>
    <n v="150186.96"/>
    <n v="601803.96"/>
  </r>
  <r>
    <x v="65"/>
    <x v="65"/>
    <x v="2"/>
    <x v="0"/>
    <x v="0"/>
    <x v="0"/>
    <x v="0"/>
    <x v="0"/>
    <x v="1"/>
    <x v="0"/>
    <x v="1"/>
    <x v="0"/>
    <n v="30"/>
    <n v="0.66666666666666674"/>
    <n v="2218"/>
    <n v="0.37167594310451452"/>
    <n v="798480"/>
    <n v="1.2861265718408577"/>
    <n v="3406485"/>
    <n v="0.62573090205196635"/>
    <n v="2382772"/>
    <n v="0.44960483385744321"/>
    <n v="225233"/>
    <n v="1.200723044604036"/>
    <n v="343346.4"/>
    <n v="1367059.4"/>
  </r>
  <r>
    <x v="65"/>
    <x v="65"/>
    <x v="3"/>
    <x v="0"/>
    <x v="0"/>
    <x v="0"/>
    <x v="0"/>
    <x v="0"/>
    <x v="1"/>
    <x v="0"/>
    <x v="1"/>
    <x v="0"/>
    <n v="35"/>
    <n v="0.16666666666666674"/>
    <n v="2630"/>
    <n v="0.1857529305680794"/>
    <n v="1104600"/>
    <n v="0.38337841899609248"/>
    <n v="3253190"/>
    <n v="-4.5000932045789137E-2"/>
    <n v="2017865"/>
    <n v="-0.15314390130486677"/>
    <n v="130725"/>
    <n v="-0.4196010353722589"/>
    <n v="474978"/>
    <n v="1710303"/>
  </r>
  <r>
    <x v="65"/>
    <x v="65"/>
    <x v="4"/>
    <x v="0"/>
    <x v="0"/>
    <x v="0"/>
    <x v="0"/>
    <x v="0"/>
    <x v="1"/>
    <x v="0"/>
    <x v="1"/>
    <x v="0"/>
    <n v="37"/>
    <n v="5.7142857142857162E-2"/>
    <n v="3213"/>
    <n v="0.22167300380228139"/>
    <n v="1426572"/>
    <n v="0.2914828897338404"/>
    <n v="4214370"/>
    <n v="0.29545768922196358"/>
    <n v="2736804"/>
    <n v="0.3562869666702182"/>
    <n v="50994"/>
    <n v="-0.60991394148020661"/>
    <n v="613425.96"/>
    <n v="2090991.96"/>
  </r>
  <r>
    <x v="65"/>
    <x v="65"/>
    <x v="5"/>
    <x v="0"/>
    <x v="0"/>
    <x v="0"/>
    <x v="0"/>
    <x v="0"/>
    <x v="1"/>
    <x v="0"/>
    <x v="1"/>
    <x v="0"/>
    <n v="35"/>
    <n v="-5.4054054054054057E-2"/>
    <n v="3248"/>
    <n v="1.089324618736387E-2"/>
    <n v="1364160"/>
    <n v="-4.3749631984926096E-2"/>
    <n v="3158150"/>
    <n v="-0.25062346210702902"/>
    <n v="1867507"/>
    <n v="-0.31763217241716979"/>
    <n v="-73517"/>
    <n v="-2.441679413264306"/>
    <n v="586588.80000000005"/>
    <n v="1877231.8"/>
  </r>
  <r>
    <x v="66"/>
    <x v="66"/>
    <x v="0"/>
    <x v="0"/>
    <x v="0"/>
    <x v="0"/>
    <x v="1"/>
    <x v="0"/>
    <x v="0"/>
    <x v="0"/>
    <x v="1"/>
    <x v="0"/>
    <n v="43"/>
    <n v="0"/>
    <n v="2178"/>
    <n v="0"/>
    <n v="1123848"/>
    <n v="0"/>
    <n v="14735922"/>
    <n v="0"/>
    <n v="13164661"/>
    <n v="0"/>
    <n v="447413"/>
    <n v="0"/>
    <n v="483254.64"/>
    <n v="2054515.6400000001"/>
  </r>
  <r>
    <x v="66"/>
    <x v="66"/>
    <x v="1"/>
    <x v="0"/>
    <x v="0"/>
    <x v="0"/>
    <x v="1"/>
    <x v="0"/>
    <x v="0"/>
    <x v="0"/>
    <x v="1"/>
    <x v="0"/>
    <n v="46"/>
    <n v="6.9767441860465018E-2"/>
    <n v="2052"/>
    <n v="-5.7851239669421517E-2"/>
    <n v="1132704"/>
    <n v="7.8800691908513798E-3"/>
    <n v="13065559"/>
    <n v="-0.1133531379984232"/>
    <n v="11505966"/>
    <n v="-0.12599602830638779"/>
    <n v="426889"/>
    <n v="-4.5872605400379518E-2"/>
    <n v="487062.72"/>
    <n v="2046655.72"/>
  </r>
  <r>
    <x v="66"/>
    <x v="66"/>
    <x v="2"/>
    <x v="0"/>
    <x v="0"/>
    <x v="0"/>
    <x v="1"/>
    <x v="0"/>
    <x v="0"/>
    <x v="0"/>
    <x v="1"/>
    <x v="0"/>
    <n v="49"/>
    <n v="6.5217391304347894E-2"/>
    <n v="2453"/>
    <n v="0.19541910331384019"/>
    <n v="1442364"/>
    <n v="0.27338121874735144"/>
    <n v="16083759"/>
    <n v="0.23100427620433231"/>
    <n v="14139661"/>
    <n v="0.22889820811220885"/>
    <n v="501734"/>
    <n v="0.17532660715080511"/>
    <n v="620216.52"/>
    <n v="2564314.52"/>
  </r>
  <r>
    <x v="66"/>
    <x v="66"/>
    <x v="3"/>
    <x v="0"/>
    <x v="0"/>
    <x v="0"/>
    <x v="1"/>
    <x v="0"/>
    <x v="0"/>
    <x v="0"/>
    <x v="1"/>
    <x v="0"/>
    <n v="53"/>
    <n v="8.163265306122458E-2"/>
    <n v="2626"/>
    <n v="7.052588666938453E-2"/>
    <n v="1670136"/>
    <n v="0.15791575496892607"/>
    <n v="15673573"/>
    <n v="-2.5503117772406329E-2"/>
    <n v="13561843"/>
    <n v="-4.0865053271079144E-2"/>
    <n v="441594"/>
    <n v="-0.11986431057093989"/>
    <n v="718158.48"/>
    <n v="2829888.48"/>
  </r>
  <r>
    <x v="66"/>
    <x v="66"/>
    <x v="4"/>
    <x v="0"/>
    <x v="0"/>
    <x v="0"/>
    <x v="1"/>
    <x v="0"/>
    <x v="0"/>
    <x v="0"/>
    <x v="1"/>
    <x v="0"/>
    <n v="52"/>
    <n v="-1.8867924528301883E-2"/>
    <n v="2583"/>
    <n v="-1.6374714394516321E-2"/>
    <n v="1611792"/>
    <n v="-3.4933682047450065E-2"/>
    <n v="15193407"/>
    <n v="-3.0635388625171789E-2"/>
    <n v="13170066"/>
    <n v="-2.8888182822939368E-2"/>
    <n v="411549"/>
    <n v="-6.803760920664681E-2"/>
    <n v="693070.55999999994"/>
    <n v="2716411.56"/>
  </r>
  <r>
    <x v="66"/>
    <x v="66"/>
    <x v="5"/>
    <x v="0"/>
    <x v="0"/>
    <x v="0"/>
    <x v="1"/>
    <x v="0"/>
    <x v="0"/>
    <x v="0"/>
    <x v="1"/>
    <x v="0"/>
    <n v="53"/>
    <n v="1.9230769230769162E-2"/>
    <n v="2644"/>
    <n v="2.3615950445218688E-2"/>
    <n v="1681584"/>
    <n v="4.3300872569165261E-2"/>
    <n v="16809406"/>
    <n v="0.1063618581401788"/>
    <n v="14649133"/>
    <n v="0.11230520788582221"/>
    <n v="478689"/>
    <n v="0.16313974763636899"/>
    <n v="723081.12"/>
    <n v="2883354.12"/>
  </r>
  <r>
    <x v="67"/>
    <x v="67"/>
    <x v="0"/>
    <x v="0"/>
    <x v="0"/>
    <x v="0"/>
    <x v="0"/>
    <x v="0"/>
    <x v="0"/>
    <x v="1"/>
    <x v="1"/>
    <x v="0"/>
    <n v="0"/>
    <n v="0"/>
    <n v="0"/>
    <n v="0"/>
    <n v="0"/>
    <n v="0"/>
    <n v="0"/>
    <n v="0"/>
    <n v="0"/>
    <n v="0"/>
    <n v="0"/>
    <n v="0"/>
    <n v="0"/>
    <n v="0"/>
  </r>
  <r>
    <x v="67"/>
    <x v="67"/>
    <x v="1"/>
    <x v="0"/>
    <x v="0"/>
    <x v="0"/>
    <x v="0"/>
    <x v="0"/>
    <x v="0"/>
    <x v="1"/>
    <x v="1"/>
    <x v="0"/>
    <n v="0"/>
    <n v="0"/>
    <n v="0"/>
    <n v="0"/>
    <n v="0"/>
    <n v="0"/>
    <n v="0"/>
    <n v="0"/>
    <n v="0"/>
    <n v="0"/>
    <n v="0"/>
    <n v="0"/>
    <n v="0"/>
    <n v="0"/>
  </r>
  <r>
    <x v="67"/>
    <x v="67"/>
    <x v="2"/>
    <x v="0"/>
    <x v="0"/>
    <x v="0"/>
    <x v="0"/>
    <x v="0"/>
    <x v="0"/>
    <x v="1"/>
    <x v="1"/>
    <x v="0"/>
    <n v="1"/>
    <n v="0"/>
    <n v="0"/>
    <n v="0"/>
    <n v="0"/>
    <n v="0"/>
    <n v="71239"/>
    <n v="0"/>
    <n v="0"/>
    <n v="0"/>
    <n v="8688"/>
    <n v="0"/>
    <n v="0"/>
    <n v="71239"/>
  </r>
  <r>
    <x v="67"/>
    <x v="67"/>
    <x v="3"/>
    <x v="0"/>
    <x v="0"/>
    <x v="0"/>
    <x v="0"/>
    <x v="0"/>
    <x v="0"/>
    <x v="1"/>
    <x v="1"/>
    <x v="0"/>
    <n v="2"/>
    <n v="1"/>
    <n v="0"/>
    <n v="0"/>
    <n v="0"/>
    <n v="0"/>
    <n v="187499"/>
    <n v="1.6319712517020171"/>
    <n v="0"/>
    <n v="0"/>
    <n v="36059"/>
    <n v="3.1504373848987108"/>
    <n v="0"/>
    <n v="187499"/>
  </r>
  <r>
    <x v="67"/>
    <x v="67"/>
    <x v="4"/>
    <x v="0"/>
    <x v="0"/>
    <x v="0"/>
    <x v="0"/>
    <x v="0"/>
    <x v="0"/>
    <x v="1"/>
    <x v="1"/>
    <x v="0"/>
    <n v="3"/>
    <n v="0.5"/>
    <n v="1420"/>
    <n v="0"/>
    <n v="51120"/>
    <n v="0"/>
    <n v="239698"/>
    <n v="0.27839615144614099"/>
    <n v="175671"/>
    <n v="0"/>
    <n v="12907"/>
    <n v="-0.6420588479991125"/>
    <n v="21981.599999999999"/>
    <n v="86008.6"/>
  </r>
  <r>
    <x v="67"/>
    <x v="67"/>
    <x v="5"/>
    <x v="0"/>
    <x v="0"/>
    <x v="0"/>
    <x v="0"/>
    <x v="0"/>
    <x v="0"/>
    <x v="1"/>
    <x v="1"/>
    <x v="0"/>
    <n v="5"/>
    <n v="0.66666666666666674"/>
    <n v="1995"/>
    <n v="0.40492957746478869"/>
    <n v="119700"/>
    <n v="1.341549295774648"/>
    <n v="407865"/>
    <n v="0.70157865313853263"/>
    <n v="227297"/>
    <n v="0.2938788986229941"/>
    <n v="60868"/>
    <n v="3.715890601998916"/>
    <n v="51471"/>
    <n v="232039"/>
  </r>
  <r>
    <x v="68"/>
    <x v="68"/>
    <x v="0"/>
    <x v="0"/>
    <x v="0"/>
    <x v="0"/>
    <x v="0"/>
    <x v="0"/>
    <x v="0"/>
    <x v="1"/>
    <x v="1"/>
    <x v="0"/>
    <n v="0"/>
    <n v="0"/>
    <n v="0"/>
    <n v="0"/>
    <n v="0"/>
    <n v="0"/>
    <n v="0"/>
    <n v="0"/>
    <n v="0"/>
    <n v="0"/>
    <n v="0"/>
    <n v="0"/>
    <n v="0"/>
    <n v="0"/>
  </r>
  <r>
    <x v="68"/>
    <x v="68"/>
    <x v="1"/>
    <x v="0"/>
    <x v="0"/>
    <x v="0"/>
    <x v="0"/>
    <x v="0"/>
    <x v="0"/>
    <x v="1"/>
    <x v="1"/>
    <x v="0"/>
    <n v="0"/>
    <n v="0"/>
    <n v="0"/>
    <n v="0"/>
    <n v="0"/>
    <n v="0"/>
    <n v="0"/>
    <n v="0"/>
    <n v="0"/>
    <n v="0"/>
    <n v="0"/>
    <n v="0"/>
    <n v="0"/>
    <n v="0"/>
  </r>
  <r>
    <x v="68"/>
    <x v="68"/>
    <x v="2"/>
    <x v="0"/>
    <x v="0"/>
    <x v="0"/>
    <x v="0"/>
    <x v="0"/>
    <x v="0"/>
    <x v="1"/>
    <x v="1"/>
    <x v="0"/>
    <n v="0"/>
    <n v="0"/>
    <n v="0"/>
    <n v="0"/>
    <n v="0"/>
    <n v="0"/>
    <n v="0"/>
    <n v="0"/>
    <n v="0"/>
    <n v="0"/>
    <n v="0"/>
    <n v="0"/>
    <n v="0"/>
    <n v="0"/>
  </r>
  <r>
    <x v="68"/>
    <x v="68"/>
    <x v="3"/>
    <x v="0"/>
    <x v="0"/>
    <x v="0"/>
    <x v="0"/>
    <x v="0"/>
    <x v="0"/>
    <x v="1"/>
    <x v="1"/>
    <x v="0"/>
    <n v="0"/>
    <n v="0"/>
    <n v="0"/>
    <n v="0"/>
    <n v="0"/>
    <n v="0"/>
    <n v="0"/>
    <n v="0"/>
    <n v="0"/>
    <n v="0"/>
    <n v="0"/>
    <n v="0"/>
    <n v="0"/>
    <n v="0"/>
  </r>
  <r>
    <x v="68"/>
    <x v="68"/>
    <x v="4"/>
    <x v="0"/>
    <x v="0"/>
    <x v="0"/>
    <x v="0"/>
    <x v="0"/>
    <x v="0"/>
    <x v="1"/>
    <x v="1"/>
    <x v="0"/>
    <n v="5"/>
    <n v="0"/>
    <n v="2871"/>
    <n v="0"/>
    <n v="172260"/>
    <n v="0"/>
    <n v="133678"/>
    <n v="0"/>
    <n v="-69443"/>
    <n v="0"/>
    <n v="30861"/>
    <n v="0"/>
    <n v="74071.8"/>
    <n v="277192.8"/>
  </r>
  <r>
    <x v="68"/>
    <x v="68"/>
    <x v="5"/>
    <x v="0"/>
    <x v="0"/>
    <x v="0"/>
    <x v="0"/>
    <x v="0"/>
    <x v="0"/>
    <x v="1"/>
    <x v="1"/>
    <x v="0"/>
    <n v="6"/>
    <n v="0.19999999999999996"/>
    <n v="2938"/>
    <n v="2.3336816440264752E-2"/>
    <n v="211536"/>
    <n v="0.22800417972831766"/>
    <n v="474855"/>
    <n v="2.5522299854875148"/>
    <n v="189165"/>
    <n v="-3.7240326598793256"/>
    <n v="74154"/>
    <n v="1.4028385340721301"/>
    <n v="90960.48"/>
    <n v="376650.48"/>
  </r>
  <r>
    <x v="69"/>
    <x v="69"/>
    <x v="0"/>
    <x v="1"/>
    <x v="0"/>
    <x v="0"/>
    <x v="0"/>
    <x v="0"/>
    <x v="0"/>
    <x v="0"/>
    <x v="1"/>
    <x v="0"/>
    <n v="36"/>
    <n v="0"/>
    <n v="1280"/>
    <n v="0"/>
    <n v="552960"/>
    <n v="0"/>
    <n v="3066953"/>
    <n v="0"/>
    <n v="2301204"/>
    <n v="0"/>
    <n v="212789"/>
    <n v="0"/>
    <n v="237772.79999999999"/>
    <n v="1003521.8"/>
  </r>
  <r>
    <x v="69"/>
    <x v="69"/>
    <x v="1"/>
    <x v="1"/>
    <x v="0"/>
    <x v="0"/>
    <x v="0"/>
    <x v="0"/>
    <x v="0"/>
    <x v="0"/>
    <x v="1"/>
    <x v="0"/>
    <n v="44"/>
    <n v="0.22222222222222232"/>
    <n v="1412"/>
    <n v="0.1031249999999999"/>
    <n v="745536"/>
    <n v="0.34826388888888893"/>
    <n v="1961813"/>
    <n v="-0.36033809451921828"/>
    <n v="1084079"/>
    <n v="-0.5289079108153818"/>
    <n v="132198"/>
    <n v="-0.37873668281725092"/>
    <n v="320580.47999999998"/>
    <n v="1198314.48"/>
  </r>
  <r>
    <x v="69"/>
    <x v="69"/>
    <x v="2"/>
    <x v="1"/>
    <x v="0"/>
    <x v="0"/>
    <x v="0"/>
    <x v="0"/>
    <x v="0"/>
    <x v="0"/>
    <x v="1"/>
    <x v="0"/>
    <n v="99"/>
    <n v="1.25"/>
    <n v="1650"/>
    <n v="0.16855524079320119"/>
    <n v="1960200"/>
    <n v="1.6292492917847023"/>
    <n v="3042658"/>
    <n v="0.55094190934609966"/>
    <n v="862591"/>
    <n v="-0.20430983350844356"/>
    <n v="219867"/>
    <n v="0.66316434439250216"/>
    <n v="842886"/>
    <n v="3022953"/>
  </r>
  <r>
    <x v="69"/>
    <x v="69"/>
    <x v="3"/>
    <x v="1"/>
    <x v="0"/>
    <x v="0"/>
    <x v="0"/>
    <x v="0"/>
    <x v="0"/>
    <x v="0"/>
    <x v="1"/>
    <x v="0"/>
    <n v="82"/>
    <n v="-0.17171717171717171"/>
    <n v="2101"/>
    <n v="0.27333333333333337"/>
    <n v="2067384"/>
    <n v="5.4680134680134662E-2"/>
    <n v="4774281"/>
    <n v="0.56911522754118282"/>
    <n v="2388422"/>
    <n v="1.7688927892825221"/>
    <n v="318475"/>
    <n v="0.44848931399436931"/>
    <n v="888975.12"/>
    <n v="3274834.12"/>
  </r>
  <r>
    <x v="69"/>
    <x v="69"/>
    <x v="4"/>
    <x v="1"/>
    <x v="0"/>
    <x v="0"/>
    <x v="0"/>
    <x v="0"/>
    <x v="0"/>
    <x v="0"/>
    <x v="1"/>
    <x v="0"/>
    <n v="78"/>
    <n v="-4.8780487804878092E-2"/>
    <n v="2396"/>
    <n v="0.14040932889100419"/>
    <n v="2242656"/>
    <n v="8.4779605530467483E-2"/>
    <n v="5838294"/>
    <n v="0.22286350552051701"/>
    <n v="3230033"/>
    <n v="0.35237114714233919"/>
    <n v="365605"/>
    <n v="0.14798649815527121"/>
    <n v="964342.08"/>
    <n v="3572603.08"/>
  </r>
  <r>
    <x v="69"/>
    <x v="69"/>
    <x v="5"/>
    <x v="1"/>
    <x v="0"/>
    <x v="0"/>
    <x v="0"/>
    <x v="0"/>
    <x v="0"/>
    <x v="0"/>
    <x v="1"/>
    <x v="0"/>
    <n v="30"/>
    <n v="-0.61538461538461542"/>
    <n v="2591"/>
    <n v="8.1385642737896502E-2"/>
    <n v="932760"/>
    <n v="-0.58408244510080909"/>
    <n v="4789830"/>
    <n v="-0.17958396750831659"/>
    <n v="3724250"/>
    <n v="0.15300679590580035"/>
    <n v="132820"/>
    <n v="-0.63671175175394212"/>
    <n v="401086.8"/>
    <n v="1466666.8"/>
  </r>
  <r>
    <x v="70"/>
    <x v="70"/>
    <x v="0"/>
    <x v="0"/>
    <x v="0"/>
    <x v="0"/>
    <x v="0"/>
    <x v="0"/>
    <x v="0"/>
    <x v="1"/>
    <x v="1"/>
    <x v="0"/>
    <n v="0"/>
    <n v="0"/>
    <n v="0"/>
    <n v="0"/>
    <n v="0"/>
    <n v="0"/>
    <n v="0"/>
    <n v="0"/>
    <n v="0"/>
    <n v="0"/>
    <n v="0"/>
    <n v="0"/>
    <n v="0"/>
    <n v="0"/>
  </r>
  <r>
    <x v="70"/>
    <x v="70"/>
    <x v="1"/>
    <x v="0"/>
    <x v="0"/>
    <x v="0"/>
    <x v="0"/>
    <x v="0"/>
    <x v="0"/>
    <x v="1"/>
    <x v="1"/>
    <x v="0"/>
    <n v="0"/>
    <n v="0"/>
    <n v="0"/>
    <n v="0"/>
    <n v="0"/>
    <n v="0"/>
    <n v="0"/>
    <n v="0"/>
    <n v="0"/>
    <n v="0"/>
    <n v="0"/>
    <n v="0"/>
    <n v="0"/>
    <n v="0"/>
  </r>
  <r>
    <x v="70"/>
    <x v="70"/>
    <x v="2"/>
    <x v="0"/>
    <x v="0"/>
    <x v="0"/>
    <x v="0"/>
    <x v="0"/>
    <x v="0"/>
    <x v="1"/>
    <x v="1"/>
    <x v="0"/>
    <n v="0"/>
    <n v="0"/>
    <n v="0"/>
    <n v="0"/>
    <n v="0"/>
    <n v="0"/>
    <n v="0"/>
    <n v="0"/>
    <n v="0"/>
    <n v="0"/>
    <n v="0"/>
    <n v="0"/>
    <n v="0"/>
    <n v="0"/>
  </r>
  <r>
    <x v="70"/>
    <x v="70"/>
    <x v="3"/>
    <x v="0"/>
    <x v="0"/>
    <x v="0"/>
    <x v="0"/>
    <x v="0"/>
    <x v="0"/>
    <x v="1"/>
    <x v="1"/>
    <x v="0"/>
    <n v="0"/>
    <n v="0"/>
    <n v="0"/>
    <n v="0"/>
    <n v="0"/>
    <n v="0"/>
    <n v="0"/>
    <n v="0"/>
    <n v="0"/>
    <n v="0"/>
    <n v="0"/>
    <n v="0"/>
    <n v="0"/>
    <n v="0"/>
  </r>
  <r>
    <x v="70"/>
    <x v="70"/>
    <x v="4"/>
    <x v="0"/>
    <x v="0"/>
    <x v="0"/>
    <x v="0"/>
    <x v="0"/>
    <x v="0"/>
    <x v="1"/>
    <x v="1"/>
    <x v="0"/>
    <n v="0"/>
    <n v="0"/>
    <n v="0"/>
    <n v="0"/>
    <n v="0"/>
    <n v="0"/>
    <n v="0"/>
    <n v="0"/>
    <n v="0"/>
    <n v="0"/>
    <n v="0"/>
    <n v="0"/>
    <n v="0"/>
    <n v="0"/>
  </r>
  <r>
    <x v="70"/>
    <x v="70"/>
    <x v="5"/>
    <x v="0"/>
    <x v="0"/>
    <x v="0"/>
    <x v="0"/>
    <x v="0"/>
    <x v="0"/>
    <x v="1"/>
    <x v="1"/>
    <x v="0"/>
    <n v="0"/>
    <n v="0"/>
    <n v="0"/>
    <n v="0"/>
    <n v="0"/>
    <n v="0"/>
    <n v="168267"/>
    <n v="0"/>
    <n v="0"/>
    <n v="0"/>
    <n v="66604"/>
    <n v="0"/>
    <n v="0"/>
    <n v="168267"/>
  </r>
  <r>
    <x v="71"/>
    <x v="71"/>
    <x v="0"/>
    <x v="0"/>
    <x v="0"/>
    <x v="0"/>
    <x v="0"/>
    <x v="0"/>
    <x v="0"/>
    <x v="1"/>
    <x v="1"/>
    <x v="0"/>
    <n v="10"/>
    <n v="0"/>
    <n v="1527"/>
    <n v="0"/>
    <n v="183240"/>
    <n v="0"/>
    <n v="387275"/>
    <n v="0"/>
    <n v="196739"/>
    <n v="0"/>
    <n v="7296"/>
    <n v="0"/>
    <n v="78793.2"/>
    <n v="269329.2"/>
  </r>
  <r>
    <x v="71"/>
    <x v="71"/>
    <x v="1"/>
    <x v="0"/>
    <x v="0"/>
    <x v="0"/>
    <x v="0"/>
    <x v="0"/>
    <x v="0"/>
    <x v="1"/>
    <x v="1"/>
    <x v="0"/>
    <n v="10"/>
    <n v="0"/>
    <n v="1636"/>
    <n v="7.1381794368041929E-2"/>
    <n v="196320"/>
    <n v="7.1381794368041929E-2"/>
    <n v="339047"/>
    <n v="-0.1245316635465754"/>
    <n v="134172"/>
    <n v="-0.31802032133943958"/>
    <n v="8555"/>
    <n v="0.17256030701754391"/>
    <n v="84417.600000000006"/>
    <n v="289292.59999999998"/>
  </r>
  <r>
    <x v="71"/>
    <x v="71"/>
    <x v="2"/>
    <x v="0"/>
    <x v="0"/>
    <x v="0"/>
    <x v="0"/>
    <x v="0"/>
    <x v="0"/>
    <x v="1"/>
    <x v="1"/>
    <x v="0"/>
    <n v="8"/>
    <n v="-0.19999999999999996"/>
    <n v="1635"/>
    <n v="-6.1124694376524236E-4"/>
    <n v="156960"/>
    <n v="-0.20048899755501226"/>
    <n v="394946"/>
    <n v="0.16487094709583031"/>
    <n v="235768"/>
    <n v="0.75720716692007284"/>
    <n v="2218"/>
    <n v="-0.74073641145528923"/>
    <n v="67492.800000000003"/>
    <n v="226670.8"/>
  </r>
  <r>
    <x v="71"/>
    <x v="71"/>
    <x v="3"/>
    <x v="0"/>
    <x v="0"/>
    <x v="0"/>
    <x v="0"/>
    <x v="0"/>
    <x v="0"/>
    <x v="1"/>
    <x v="1"/>
    <x v="0"/>
    <n v="7"/>
    <n v="-0.125"/>
    <n v="1578"/>
    <n v="-3.4862385321100857E-2"/>
    <n v="132552"/>
    <n v="-0.15550458715596327"/>
    <n v="363458"/>
    <n v="-7.9727355132094058E-2"/>
    <n v="212743"/>
    <n v="-9.7659563638831437E-2"/>
    <n v="18163"/>
    <n v="7.1889089269612256"/>
    <n v="56997.36"/>
    <n v="207712.36"/>
  </r>
  <r>
    <x v="71"/>
    <x v="71"/>
    <x v="4"/>
    <x v="0"/>
    <x v="0"/>
    <x v="0"/>
    <x v="0"/>
    <x v="0"/>
    <x v="0"/>
    <x v="1"/>
    <x v="1"/>
    <x v="0"/>
    <n v="6"/>
    <n v="-0.1428571428571429"/>
    <n v="2083"/>
    <n v="0.3200253485424589"/>
    <n v="149976"/>
    <n v="0.13145029875067893"/>
    <n v="698509"/>
    <n v="0.92184241370392184"/>
    <n v="528340"/>
    <n v="1.4834659659777292"/>
    <n v="20193"/>
    <n v="0.1117656774761879"/>
    <n v="64489.68"/>
    <n v="234658.68"/>
  </r>
  <r>
    <x v="71"/>
    <x v="71"/>
    <x v="5"/>
    <x v="0"/>
    <x v="0"/>
    <x v="0"/>
    <x v="0"/>
    <x v="0"/>
    <x v="0"/>
    <x v="1"/>
    <x v="1"/>
    <x v="0"/>
    <n v="6"/>
    <n v="0"/>
    <n v="2965"/>
    <n v="0.4234277484397504"/>
    <n v="213480"/>
    <n v="0.4234277484397504"/>
    <n v="0"/>
    <n v="0"/>
    <n v="-213480"/>
    <n v="-1.4040579929590793"/>
    <n v="0"/>
    <n v="0"/>
    <n v="91796.4"/>
    <n v="305276.40000000002"/>
  </r>
  <r>
    <x v="72"/>
    <x v="72"/>
    <x v="0"/>
    <x v="0"/>
    <x v="0"/>
    <x v="0"/>
    <x v="0"/>
    <x v="0"/>
    <x v="1"/>
    <x v="0"/>
    <x v="0"/>
    <x v="0"/>
    <n v="17"/>
    <n v="0"/>
    <n v="1300"/>
    <n v="0"/>
    <n v="265200"/>
    <n v="0"/>
    <n v="595599"/>
    <n v="0"/>
    <n v="294682"/>
    <n v="0"/>
    <n v="35717"/>
    <n v="0"/>
    <n v="114036"/>
    <n v="414953"/>
  </r>
  <r>
    <x v="72"/>
    <x v="72"/>
    <x v="1"/>
    <x v="0"/>
    <x v="0"/>
    <x v="0"/>
    <x v="0"/>
    <x v="0"/>
    <x v="1"/>
    <x v="0"/>
    <x v="0"/>
    <x v="0"/>
    <n v="15"/>
    <n v="-0.11764705882352944"/>
    <n v="1249"/>
    <n v="-3.923076923076918E-2"/>
    <n v="224820"/>
    <n v="-0.15226244343891404"/>
    <n v="561515"/>
    <n v="-5.7226422475524667E-2"/>
    <n v="233291"/>
    <n v="-0.20832965705404471"/>
    <n v="103404"/>
    <n v="1.8950919730100511"/>
    <n v="96672.599999999991"/>
    <n v="424896.6"/>
  </r>
  <r>
    <x v="72"/>
    <x v="72"/>
    <x v="2"/>
    <x v="0"/>
    <x v="0"/>
    <x v="0"/>
    <x v="0"/>
    <x v="0"/>
    <x v="1"/>
    <x v="0"/>
    <x v="0"/>
    <x v="0"/>
    <n v="15"/>
    <n v="0"/>
    <n v="1588"/>
    <n v="0.27141713370696552"/>
    <n v="285840"/>
    <n v="0.27141713370696552"/>
    <n v="762011"/>
    <n v="0.3570625896013464"/>
    <n v="398539"/>
    <n v="0.70833422635249543"/>
    <n v="77632"/>
    <n v="-0.24923600634404861"/>
    <n v="122911.2"/>
    <n v="486383.2"/>
  </r>
  <r>
    <x v="72"/>
    <x v="72"/>
    <x v="3"/>
    <x v="0"/>
    <x v="0"/>
    <x v="0"/>
    <x v="0"/>
    <x v="0"/>
    <x v="1"/>
    <x v="0"/>
    <x v="0"/>
    <x v="0"/>
    <n v="15"/>
    <n v="0"/>
    <n v="1795"/>
    <n v="0.13035264483627201"/>
    <n v="323100"/>
    <n v="0.13035264483627196"/>
    <n v="838212"/>
    <n v="9.9999868768298583E-2"/>
    <n v="431911"/>
    <n v="8.3735845174499834E-2"/>
    <n v="83201"/>
    <n v="7.1735882110469884E-2"/>
    <n v="138933"/>
    <n v="545234"/>
  </r>
  <r>
    <x v="72"/>
    <x v="72"/>
    <x v="4"/>
    <x v="0"/>
    <x v="0"/>
    <x v="0"/>
    <x v="0"/>
    <x v="0"/>
    <x v="1"/>
    <x v="0"/>
    <x v="0"/>
    <x v="0"/>
    <n v="14"/>
    <n v="-6.6666666666666652E-2"/>
    <n v="1791"/>
    <n v="-2.2284122562674651E-3"/>
    <n v="300888"/>
    <n v="-6.874651810584953E-2"/>
    <n v="769072"/>
    <n v="-8.2485099235038439E-2"/>
    <n v="400925"/>
    <n v="-7.1741631956583674E-2"/>
    <n v="67259"/>
    <n v="-0.19160827393901511"/>
    <n v="129381.84"/>
    <n v="497528.83999999997"/>
  </r>
  <r>
    <x v="72"/>
    <x v="72"/>
    <x v="5"/>
    <x v="0"/>
    <x v="0"/>
    <x v="0"/>
    <x v="0"/>
    <x v="0"/>
    <x v="1"/>
    <x v="0"/>
    <x v="0"/>
    <x v="0"/>
    <n v="15"/>
    <n v="7.1428571428571397E-2"/>
    <n v="1938"/>
    <n v="8.2077051926298106E-2"/>
    <n v="348840"/>
    <n v="0.1593682699210337"/>
    <n v="835662"/>
    <n v="8.6584871117398654E-2"/>
    <n v="431843"/>
    <n v="7.7116667705930064E-2"/>
    <n v="54979"/>
    <n v="-0.1825777962800518"/>
    <n v="150001.20000000001"/>
    <n v="553820.19999999995"/>
  </r>
  <r>
    <x v="73"/>
    <x v="73"/>
    <x v="0"/>
    <x v="0"/>
    <x v="0"/>
    <x v="0"/>
    <x v="0"/>
    <x v="0"/>
    <x v="0"/>
    <x v="1"/>
    <x v="1"/>
    <x v="0"/>
    <n v="20"/>
    <n v="0"/>
    <n v="2883"/>
    <n v="0"/>
    <n v="691920"/>
    <n v="0"/>
    <n v="3590407"/>
    <n v="0"/>
    <n v="2220406"/>
    <n v="0"/>
    <n v="678081"/>
    <n v="0"/>
    <n v="297525.59999999998"/>
    <n v="1667526.6"/>
  </r>
  <r>
    <x v="73"/>
    <x v="73"/>
    <x v="1"/>
    <x v="0"/>
    <x v="0"/>
    <x v="0"/>
    <x v="0"/>
    <x v="0"/>
    <x v="0"/>
    <x v="1"/>
    <x v="1"/>
    <x v="0"/>
    <n v="20"/>
    <n v="0"/>
    <n v="3361"/>
    <n v="0.1657995143947277"/>
    <n v="806640"/>
    <n v="0.16579951439472773"/>
    <n v="3042886"/>
    <n v="-0.1524955248806055"/>
    <n v="1874326"/>
    <n v="-0.15586338714631465"/>
    <n v="361920"/>
    <n v="-0.46625845584819509"/>
    <n v="346855.2"/>
    <n v="1515415.2"/>
  </r>
  <r>
    <x v="73"/>
    <x v="73"/>
    <x v="2"/>
    <x v="0"/>
    <x v="0"/>
    <x v="0"/>
    <x v="0"/>
    <x v="0"/>
    <x v="0"/>
    <x v="1"/>
    <x v="1"/>
    <x v="0"/>
    <n v="22"/>
    <n v="0.10000000000000009"/>
    <n v="3888"/>
    <n v="0.1567985718536149"/>
    <n v="1026432"/>
    <n v="0.27247842903897657"/>
    <n v="4312296"/>
    <n v="0.4171730390162498"/>
    <n v="2557487"/>
    <n v="0.36448355302119273"/>
    <n v="728377"/>
    <n v="1.0125359195402299"/>
    <n v="441365.76000000001"/>
    <n v="2196174.7599999998"/>
  </r>
  <r>
    <x v="73"/>
    <x v="73"/>
    <x v="3"/>
    <x v="0"/>
    <x v="0"/>
    <x v="0"/>
    <x v="0"/>
    <x v="0"/>
    <x v="0"/>
    <x v="1"/>
    <x v="1"/>
    <x v="0"/>
    <n v="25"/>
    <n v="0.13636363636363646"/>
    <n v="3765"/>
    <n v="-3.1635802469135783E-2"/>
    <n v="1129500"/>
    <n v="0.10041386083052739"/>
    <n v="4312150"/>
    <n v="-3.3856674031662592E-5"/>
    <n v="2423408"/>
    <n v="-5.2426072938005164E-2"/>
    <n v="759242"/>
    <n v="4.2375033808041751E-2"/>
    <n v="485685"/>
    <n v="2374427"/>
  </r>
  <r>
    <x v="73"/>
    <x v="73"/>
    <x v="4"/>
    <x v="0"/>
    <x v="0"/>
    <x v="0"/>
    <x v="0"/>
    <x v="0"/>
    <x v="0"/>
    <x v="1"/>
    <x v="1"/>
    <x v="0"/>
    <n v="26"/>
    <n v="4.0000000000000036E-2"/>
    <n v="4390"/>
    <n v="0.16600265604249681"/>
    <n v="1369680"/>
    <n v="0.21264276228419665"/>
    <n v="4315944"/>
    <n v="8.7983952320769276E-4"/>
    <n v="2117575"/>
    <n v="-0.12619955038524255"/>
    <n v="828689"/>
    <n v="9.1468859731152818E-2"/>
    <n v="588962.4"/>
    <n v="2787331.4"/>
  </r>
  <r>
    <x v="73"/>
    <x v="73"/>
    <x v="5"/>
    <x v="0"/>
    <x v="0"/>
    <x v="0"/>
    <x v="0"/>
    <x v="0"/>
    <x v="0"/>
    <x v="1"/>
    <x v="1"/>
    <x v="0"/>
    <n v="24"/>
    <n v="-7.6923076923076872E-2"/>
    <n v="4929"/>
    <n v="0.1227790432801823"/>
    <n v="1419552"/>
    <n v="3.641142456632207E-2"/>
    <n v="4743413"/>
    <n v="9.9044148858279835E-2"/>
    <n v="2639502"/>
    <n v="0.24647391473737645"/>
    <n v="684359"/>
    <n v="-0.1741666656610622"/>
    <n v="610407.36"/>
    <n v="2714318.36"/>
  </r>
  <r>
    <x v="74"/>
    <x v="74"/>
    <x v="0"/>
    <x v="0"/>
    <x v="0"/>
    <x v="0"/>
    <x v="0"/>
    <x v="0"/>
    <x v="0"/>
    <x v="0"/>
    <x v="0"/>
    <x v="0"/>
    <n v="8"/>
    <n v="0"/>
    <n v="1445"/>
    <n v="0"/>
    <n v="138720"/>
    <n v="0"/>
    <n v="388517"/>
    <n v="0"/>
    <n v="285720"/>
    <n v="0"/>
    <n v="-35923"/>
    <n v="0"/>
    <n v="59649.599999999999"/>
    <n v="162446.6"/>
  </r>
  <r>
    <x v="74"/>
    <x v="74"/>
    <x v="1"/>
    <x v="0"/>
    <x v="0"/>
    <x v="0"/>
    <x v="0"/>
    <x v="0"/>
    <x v="0"/>
    <x v="0"/>
    <x v="0"/>
    <x v="0"/>
    <n v="8"/>
    <n v="0"/>
    <n v="1860"/>
    <n v="0.28719723183390999"/>
    <n v="178560"/>
    <n v="0.28719723183390999"/>
    <n v="481436"/>
    <n v="0.23916327985648"/>
    <n v="334461"/>
    <n v="0.17059008819823607"/>
    <n v="-31585"/>
    <n v="-0.12075828856164569"/>
    <n v="76780.800000000003"/>
    <n v="223755.8"/>
  </r>
  <r>
    <x v="74"/>
    <x v="74"/>
    <x v="2"/>
    <x v="0"/>
    <x v="0"/>
    <x v="0"/>
    <x v="0"/>
    <x v="0"/>
    <x v="0"/>
    <x v="0"/>
    <x v="0"/>
    <x v="0"/>
    <n v="5"/>
    <n v="-0.375"/>
    <n v="2168"/>
    <n v="0.16559139784946231"/>
    <n v="130080"/>
    <n v="-0.271505376344086"/>
    <n v="545455"/>
    <n v="0.13297509949401379"/>
    <n v="367955"/>
    <n v="0.10014321550195682"/>
    <n v="47420"/>
    <n v="-2.501345575431376"/>
    <n v="55934.400000000001"/>
    <n v="233434.4"/>
  </r>
  <r>
    <x v="74"/>
    <x v="74"/>
    <x v="3"/>
    <x v="0"/>
    <x v="0"/>
    <x v="0"/>
    <x v="0"/>
    <x v="0"/>
    <x v="0"/>
    <x v="0"/>
    <x v="0"/>
    <x v="0"/>
    <n v="5"/>
    <n v="0"/>
    <n v="2786"/>
    <n v="0.28505535055350562"/>
    <n v="167160"/>
    <n v="0.28505535055350562"/>
    <n v="555622"/>
    <n v="1.863948446709629E-2"/>
    <n v="396212"/>
    <n v="7.6794716745254066E-2"/>
    <n v="-7750"/>
    <n v="-1.16343315056938"/>
    <n v="71878.8"/>
    <n v="231288.8"/>
  </r>
  <r>
    <x v="74"/>
    <x v="74"/>
    <x v="4"/>
    <x v="0"/>
    <x v="0"/>
    <x v="0"/>
    <x v="0"/>
    <x v="0"/>
    <x v="0"/>
    <x v="0"/>
    <x v="0"/>
    <x v="0"/>
    <n v="7"/>
    <n v="0.39999999999999991"/>
    <n v="2400"/>
    <n v="-0.13854989231873649"/>
    <n v="201600"/>
    <n v="0.20603015075376874"/>
    <n v="539977"/>
    <n v="-2.815763234717128E-2"/>
    <n v="334847"/>
    <n v="-0.15487920608159267"/>
    <n v="3530"/>
    <n v="-1.455483870967742"/>
    <n v="86688"/>
    <n v="291818"/>
  </r>
  <r>
    <x v="74"/>
    <x v="74"/>
    <x v="5"/>
    <x v="0"/>
    <x v="0"/>
    <x v="0"/>
    <x v="0"/>
    <x v="0"/>
    <x v="0"/>
    <x v="0"/>
    <x v="0"/>
    <x v="0"/>
    <n v="7"/>
    <n v="0"/>
    <n v="2948"/>
    <n v="0.2283333333333333"/>
    <n v="247632"/>
    <n v="0.22833333333333328"/>
    <n v="843249"/>
    <n v="0.5616387364647013"/>
    <n v="592720"/>
    <n v="0.77012187655854758"/>
    <n v="2897"/>
    <n v="-0.17932011331444761"/>
    <n v="106481.76"/>
    <n v="357010.76"/>
  </r>
  <r>
    <x v="75"/>
    <x v="75"/>
    <x v="0"/>
    <x v="0"/>
    <x v="0"/>
    <x v="0"/>
    <x v="1"/>
    <x v="0"/>
    <x v="0"/>
    <x v="0"/>
    <x v="0"/>
    <x v="0"/>
    <n v="17"/>
    <n v="0"/>
    <n v="2233"/>
    <n v="0"/>
    <n v="455532"/>
    <n v="0"/>
    <n v="3984255"/>
    <n v="0"/>
    <n v="3317315"/>
    <n v="0"/>
    <n v="211408"/>
    <n v="0"/>
    <n v="195878.76"/>
    <n v="862818.76"/>
  </r>
  <r>
    <x v="75"/>
    <x v="75"/>
    <x v="1"/>
    <x v="0"/>
    <x v="0"/>
    <x v="0"/>
    <x v="1"/>
    <x v="0"/>
    <x v="0"/>
    <x v="0"/>
    <x v="0"/>
    <x v="0"/>
    <n v="21"/>
    <n v="0.23529411764705888"/>
    <n v="2199"/>
    <n v="-1.522615315718767E-2"/>
    <n v="554148"/>
    <n v="0.21648534021759169"/>
    <n v="5638018"/>
    <n v="0.41507458734443459"/>
    <n v="4518432"/>
    <n v="0.36207505166075582"/>
    <n v="565438"/>
    <n v="1.6746291531067889"/>
    <n v="238283.63999999998"/>
    <n v="1357869.64"/>
  </r>
  <r>
    <x v="75"/>
    <x v="75"/>
    <x v="2"/>
    <x v="0"/>
    <x v="0"/>
    <x v="0"/>
    <x v="1"/>
    <x v="0"/>
    <x v="0"/>
    <x v="0"/>
    <x v="0"/>
    <x v="0"/>
    <n v="27"/>
    <n v="0.28571428571428581"/>
    <n v="2483"/>
    <n v="0.129149613460664"/>
    <n v="804492"/>
    <n v="0.45176378873513934"/>
    <n v="7175635"/>
    <n v="0.27272296753930192"/>
    <n v="5902283"/>
    <n v="0.30626797083590063"/>
    <n v="468860"/>
    <n v="-0.17080210385577199"/>
    <n v="345931.56"/>
    <n v="1619283.56"/>
  </r>
  <r>
    <x v="75"/>
    <x v="75"/>
    <x v="3"/>
    <x v="0"/>
    <x v="0"/>
    <x v="0"/>
    <x v="1"/>
    <x v="0"/>
    <x v="0"/>
    <x v="0"/>
    <x v="0"/>
    <x v="0"/>
    <n v="30"/>
    <n v="0.11111111111111116"/>
    <n v="2808"/>
    <n v="0.130890052356021"/>
    <n v="1010880"/>
    <n v="0.25654450261780104"/>
    <n v="11433659"/>
    <n v="0.59340030533883059"/>
    <n v="9835360"/>
    <n v="0.66636537082345937"/>
    <n v="587419"/>
    <n v="0.25286652732158837"/>
    <n v="434678.39999999997"/>
    <n v="2032977.4"/>
  </r>
  <r>
    <x v="75"/>
    <x v="75"/>
    <x v="4"/>
    <x v="0"/>
    <x v="0"/>
    <x v="0"/>
    <x v="1"/>
    <x v="0"/>
    <x v="0"/>
    <x v="0"/>
    <x v="0"/>
    <x v="0"/>
    <n v="29"/>
    <n v="-3.3333333333333326E-2"/>
    <n v="3307"/>
    <n v="0.1777065527065527"/>
    <n v="1150836"/>
    <n v="0.13844966761633426"/>
    <n v="19745738"/>
    <n v="0.72698328680258872"/>
    <n v="18249529"/>
    <n v="0.85550188300174068"/>
    <n v="345373"/>
    <n v="-0.41205000178748052"/>
    <n v="494859.48"/>
    <n v="1991068.48"/>
  </r>
  <r>
    <x v="75"/>
    <x v="75"/>
    <x v="5"/>
    <x v="0"/>
    <x v="0"/>
    <x v="0"/>
    <x v="1"/>
    <x v="0"/>
    <x v="0"/>
    <x v="0"/>
    <x v="0"/>
    <x v="0"/>
    <n v="25"/>
    <n v="-0.13793103448275867"/>
    <n v="3578"/>
    <n v="8.1947384336256368E-2"/>
    <n v="1073400"/>
    <n v="-6.7286737641158223E-2"/>
    <n v="11526712"/>
    <n v="-0.41624303938399271"/>
    <n v="10357949"/>
    <n v="-0.43242650262371152"/>
    <n v="95363"/>
    <n v="-0.72388403262559609"/>
    <n v="461562"/>
    <n v="1630325"/>
  </r>
  <r>
    <x v="76"/>
    <x v="76"/>
    <x v="0"/>
    <x v="0"/>
    <x v="0"/>
    <x v="0"/>
    <x v="0"/>
    <x v="0"/>
    <x v="0"/>
    <x v="0"/>
    <x v="0"/>
    <x v="0"/>
    <n v="6"/>
    <n v="0"/>
    <n v="1122"/>
    <n v="0"/>
    <n v="80784"/>
    <n v="0"/>
    <n v="180509"/>
    <n v="0"/>
    <n v="84755"/>
    <n v="0"/>
    <n v="14970"/>
    <n v="0"/>
    <n v="34737.120000000003"/>
    <n v="130491.12"/>
  </r>
  <r>
    <x v="76"/>
    <x v="76"/>
    <x v="1"/>
    <x v="0"/>
    <x v="0"/>
    <x v="0"/>
    <x v="0"/>
    <x v="0"/>
    <x v="0"/>
    <x v="0"/>
    <x v="0"/>
    <x v="0"/>
    <n v="5"/>
    <n v="-0.16666666666666663"/>
    <n v="1681"/>
    <n v="0.5"/>
    <n v="100860"/>
    <n v="0.24851455733808669"/>
    <n v="246330"/>
    <n v="0.36"/>
    <n v="109221"/>
    <n v="0.28866733526045651"/>
    <n v="36249"/>
    <n v="1.42"/>
    <n v="43369.8"/>
    <n v="180478.8"/>
  </r>
  <r>
    <x v="76"/>
    <x v="76"/>
    <x v="2"/>
    <x v="0"/>
    <x v="0"/>
    <x v="0"/>
    <x v="0"/>
    <x v="0"/>
    <x v="0"/>
    <x v="0"/>
    <x v="0"/>
    <x v="0"/>
    <n v="7"/>
    <n v="0.39999999999999991"/>
    <n v="1944"/>
    <n v="0.16"/>
    <n v="163296"/>
    <n v="0.6190362879238549"/>
    <n v="377769"/>
    <n v="0.53"/>
    <n v="170168"/>
    <n v="0.5580153999688704"/>
    <n v="44305"/>
    <n v="0.22"/>
    <n v="70217.279999999999"/>
    <n v="277818.28000000003"/>
  </r>
  <r>
    <x v="76"/>
    <x v="76"/>
    <x v="3"/>
    <x v="0"/>
    <x v="0"/>
    <x v="0"/>
    <x v="0"/>
    <x v="0"/>
    <x v="0"/>
    <x v="0"/>
    <x v="0"/>
    <x v="0"/>
    <n v="9"/>
    <n v="0.28571428571428581"/>
    <n v="2381"/>
    <n v="0.22"/>
    <n v="257148"/>
    <n v="0.57473544973544977"/>
    <n v="628198"/>
    <n v="0.66"/>
    <n v="285341"/>
    <n v="0.67681937849654461"/>
    <n v="85709"/>
    <n v="0.93"/>
    <n v="110573.64"/>
    <n v="453430.64"/>
  </r>
  <r>
    <x v="76"/>
    <x v="76"/>
    <x v="4"/>
    <x v="0"/>
    <x v="0"/>
    <x v="0"/>
    <x v="0"/>
    <x v="0"/>
    <x v="0"/>
    <x v="0"/>
    <x v="0"/>
    <x v="0"/>
    <n v="9"/>
    <n v="0"/>
    <n v="2815"/>
    <n v="0.18"/>
    <n v="304020"/>
    <n v="0.18227635447291046"/>
    <n v="645494"/>
    <n v="0.03"/>
    <n v="279679"/>
    <n v="-1.9842924781226623E-2"/>
    <n v="61795"/>
    <n v="-0.28000000000000003"/>
    <n v="130728.59999999999"/>
    <n v="496543.6"/>
  </r>
  <r>
    <x v="76"/>
    <x v="76"/>
    <x v="5"/>
    <x v="0"/>
    <x v="0"/>
    <x v="0"/>
    <x v="0"/>
    <x v="0"/>
    <x v="0"/>
    <x v="0"/>
    <x v="0"/>
    <x v="0"/>
    <n v="9"/>
    <n v="0"/>
    <n v="3161"/>
    <n v="0.12"/>
    <n v="341388"/>
    <n v="0.12291296625222015"/>
    <n v="770285"/>
    <n v="0.19"/>
    <n v="342222"/>
    <n v="0.22362422634520285"/>
    <n v="86675"/>
    <n v="0.4"/>
    <n v="146796.84"/>
    <n v="574859.84"/>
  </r>
  <r>
    <x v="77"/>
    <x v="77"/>
    <x v="0"/>
    <x v="0"/>
    <x v="0"/>
    <x v="1"/>
    <x v="0"/>
    <x v="0"/>
    <x v="0"/>
    <x v="0"/>
    <x v="1"/>
    <x v="0"/>
    <n v="3"/>
    <n v="0"/>
    <n v="0"/>
    <n v="0"/>
    <n v="0"/>
    <n v="0"/>
    <n v="328025"/>
    <n v="0"/>
    <n v="0"/>
    <n v="0"/>
    <n v="107649"/>
    <n v="0"/>
    <n v="0"/>
    <n v="328025"/>
  </r>
  <r>
    <x v="77"/>
    <x v="77"/>
    <x v="1"/>
    <x v="0"/>
    <x v="0"/>
    <x v="1"/>
    <x v="0"/>
    <x v="0"/>
    <x v="0"/>
    <x v="0"/>
    <x v="1"/>
    <x v="0"/>
    <n v="4"/>
    <n v="0.33333333333333326"/>
    <n v="1195"/>
    <n v="0"/>
    <n v="57360"/>
    <n v="0"/>
    <n v="451893"/>
    <n v="0.37761755963722288"/>
    <n v="227136"/>
    <n v="0"/>
    <n v="167397"/>
    <n v="0.55502605690717055"/>
    <n v="24664.799999999999"/>
    <n v="249421.8"/>
  </r>
  <r>
    <x v="77"/>
    <x v="77"/>
    <x v="2"/>
    <x v="0"/>
    <x v="0"/>
    <x v="1"/>
    <x v="0"/>
    <x v="0"/>
    <x v="0"/>
    <x v="0"/>
    <x v="1"/>
    <x v="0"/>
    <n v="4"/>
    <n v="0"/>
    <n v="1060"/>
    <n v="-0.11297071129707111"/>
    <n v="50880"/>
    <n v="-0.11297071129707115"/>
    <n v="614560"/>
    <n v="0.35996795701637341"/>
    <n v="270575"/>
    <n v="0.19124665398703855"/>
    <n v="293105"/>
    <n v="0.75095730508909964"/>
    <n v="21878.400000000001"/>
    <n v="365863.4"/>
  </r>
  <r>
    <x v="77"/>
    <x v="77"/>
    <x v="3"/>
    <x v="0"/>
    <x v="0"/>
    <x v="1"/>
    <x v="0"/>
    <x v="0"/>
    <x v="0"/>
    <x v="0"/>
    <x v="1"/>
    <x v="0"/>
    <n v="5"/>
    <n v="0.25"/>
    <n v="1269"/>
    <n v="0.1971698113207547"/>
    <n v="76140"/>
    <n v="0.4964622641509433"/>
    <n v="766536"/>
    <n v="0.24729237177818281"/>
    <n v="324821"/>
    <n v="0.20048415411623388"/>
    <n v="365575"/>
    <n v="0.2472492792685215"/>
    <n v="32740.2"/>
    <n v="474455.2"/>
  </r>
  <r>
    <x v="77"/>
    <x v="77"/>
    <x v="4"/>
    <x v="0"/>
    <x v="0"/>
    <x v="1"/>
    <x v="0"/>
    <x v="0"/>
    <x v="0"/>
    <x v="0"/>
    <x v="1"/>
    <x v="0"/>
    <n v="7"/>
    <n v="0.39999999999999991"/>
    <n v="1899"/>
    <n v="0.49645390070921991"/>
    <n v="159516"/>
    <n v="1.0950354609929076"/>
    <n v="1054535"/>
    <n v="0.37571490445328082"/>
    <n v="408664"/>
    <n v="0.25812062643733014"/>
    <n v="486355"/>
    <n v="0.33038364220748129"/>
    <n v="68591.88"/>
    <n v="714462.88"/>
  </r>
  <r>
    <x v="77"/>
    <x v="77"/>
    <x v="5"/>
    <x v="0"/>
    <x v="0"/>
    <x v="1"/>
    <x v="0"/>
    <x v="0"/>
    <x v="0"/>
    <x v="0"/>
    <x v="1"/>
    <x v="0"/>
    <n v="11"/>
    <n v="0.5714285714285714"/>
    <n v="2711"/>
    <n v="0.42759347024749861"/>
    <n v="357852"/>
    <n v="1.2433611675317837"/>
    <n v="1415385"/>
    <n v="0.34218873721592941"/>
    <n v="539434"/>
    <n v="0.3199939314449034"/>
    <n v="518099"/>
    <n v="6.5269196368907378E-2"/>
    <n v="153876.35999999999"/>
    <n v="1029827.36"/>
  </r>
  <r>
    <x v="78"/>
    <x v="78"/>
    <x v="0"/>
    <x v="0"/>
    <x v="0"/>
    <x v="0"/>
    <x v="1"/>
    <x v="0"/>
    <x v="0"/>
    <x v="0"/>
    <x v="0"/>
    <x v="0"/>
    <n v="6"/>
    <n v="0"/>
    <n v="2858"/>
    <n v="0"/>
    <n v="205776"/>
    <n v="0"/>
    <n v="992725"/>
    <n v="0"/>
    <n v="720200"/>
    <n v="0"/>
    <n v="66749"/>
    <n v="0"/>
    <n v="88483.68"/>
    <n v="361008.68"/>
  </r>
  <r>
    <x v="78"/>
    <x v="78"/>
    <x v="1"/>
    <x v="0"/>
    <x v="0"/>
    <x v="0"/>
    <x v="1"/>
    <x v="0"/>
    <x v="0"/>
    <x v="0"/>
    <x v="0"/>
    <x v="0"/>
    <n v="7"/>
    <n v="0.16666666666666674"/>
    <n v="3139"/>
    <n v="0.1"/>
    <n v="263676"/>
    <n v="0.28137392115698634"/>
    <n v="1086282"/>
    <n v="0.09"/>
    <n v="756125"/>
    <n v="4.9881977228547703E-2"/>
    <n v="66481"/>
    <n v="0"/>
    <n v="113380.68"/>
    <n v="443537.68"/>
  </r>
  <r>
    <x v="78"/>
    <x v="78"/>
    <x v="2"/>
    <x v="0"/>
    <x v="0"/>
    <x v="0"/>
    <x v="1"/>
    <x v="0"/>
    <x v="0"/>
    <x v="0"/>
    <x v="0"/>
    <x v="0"/>
    <n v="6"/>
    <n v="-0.1428571428571429"/>
    <n v="4661"/>
    <n v="0.48"/>
    <n v="335592"/>
    <n v="0.2727438219633187"/>
    <n v="1341762"/>
    <n v="0.24"/>
    <n v="958675"/>
    <n v="0.26787898826252277"/>
    <n v="47495"/>
    <n v="-0.28999999999999998"/>
    <n v="144304.56"/>
    <n v="527391.56000000006"/>
  </r>
  <r>
    <x v="78"/>
    <x v="78"/>
    <x v="3"/>
    <x v="0"/>
    <x v="0"/>
    <x v="0"/>
    <x v="1"/>
    <x v="0"/>
    <x v="0"/>
    <x v="0"/>
    <x v="0"/>
    <x v="0"/>
    <n v="7"/>
    <n v="0.16666666666666674"/>
    <n v="4471"/>
    <n v="-0.04"/>
    <n v="375564"/>
    <n v="0.11910891797182299"/>
    <n v="1988223"/>
    <n v="0.48"/>
    <n v="1524775"/>
    <n v="0.59050251649411956"/>
    <n v="87884"/>
    <n v="0.85"/>
    <n v="161492.51999999999"/>
    <n v="624940.52"/>
  </r>
  <r>
    <x v="78"/>
    <x v="78"/>
    <x v="4"/>
    <x v="0"/>
    <x v="0"/>
    <x v="0"/>
    <x v="1"/>
    <x v="0"/>
    <x v="0"/>
    <x v="0"/>
    <x v="0"/>
    <x v="0"/>
    <n v="6"/>
    <n v="-0.1428571428571429"/>
    <n v="5086"/>
    <n v="0.14000000000000001"/>
    <n v="366192"/>
    <n v="-2.4954468479406966E-2"/>
    <n v="2655646"/>
    <n v="0.34"/>
    <n v="2256979"/>
    <n v="0.48020462035382261"/>
    <n v="32475"/>
    <n v="-0.63"/>
    <n v="157462.56"/>
    <n v="556129.56000000006"/>
  </r>
  <r>
    <x v="78"/>
    <x v="78"/>
    <x v="5"/>
    <x v="0"/>
    <x v="0"/>
    <x v="0"/>
    <x v="1"/>
    <x v="0"/>
    <x v="0"/>
    <x v="0"/>
    <x v="0"/>
    <x v="0"/>
    <n v="6"/>
    <n v="0"/>
    <n v="5911"/>
    <n v="0.16"/>
    <n v="425592"/>
    <n v="0.16220998820290999"/>
    <n v="2521409"/>
    <n v="-0.05"/>
    <n v="2015690"/>
    <n v="-0.10690795084934335"/>
    <n v="80127"/>
    <n v="1.47"/>
    <n v="183004.56"/>
    <n v="688723.56"/>
  </r>
  <r>
    <x v="79"/>
    <x v="79"/>
    <x v="2"/>
    <x v="0"/>
    <x v="0"/>
    <x v="0"/>
    <x v="0"/>
    <x v="0"/>
    <x v="0"/>
    <x v="0"/>
    <x v="1"/>
    <x v="1"/>
    <n v="2"/>
    <n v="-0.66666666666666674"/>
    <n v="0"/>
    <n v="0"/>
    <n v="0"/>
    <n v="-1"/>
    <n v="56983"/>
    <n v="0"/>
    <n v="0"/>
    <n v="-1"/>
    <n v="40177"/>
    <n v="0"/>
    <n v="0"/>
    <n v="56983"/>
  </r>
  <r>
    <x v="79"/>
    <x v="79"/>
    <x v="3"/>
    <x v="0"/>
    <x v="0"/>
    <x v="0"/>
    <x v="0"/>
    <x v="0"/>
    <x v="0"/>
    <x v="0"/>
    <x v="1"/>
    <x v="1"/>
    <n v="3"/>
    <n v="0.5"/>
    <n v="0"/>
    <n v="0"/>
    <n v="0"/>
    <n v="0"/>
    <n v="129939"/>
    <n v="1.28"/>
    <n v="0"/>
    <n v="0"/>
    <n v="50125"/>
    <n v="0.25"/>
    <n v="0"/>
    <n v="129939"/>
  </r>
  <r>
    <x v="79"/>
    <x v="79"/>
    <x v="4"/>
    <x v="0"/>
    <x v="0"/>
    <x v="0"/>
    <x v="0"/>
    <x v="0"/>
    <x v="0"/>
    <x v="0"/>
    <x v="1"/>
    <x v="1"/>
    <n v="3"/>
    <n v="0"/>
    <n v="0"/>
    <n v="0"/>
    <n v="0"/>
    <n v="0"/>
    <n v="235676"/>
    <n v="0.81"/>
    <n v="0"/>
    <n v="0"/>
    <n v="105197"/>
    <n v="1.1000000000000001"/>
    <n v="0"/>
    <n v="235676"/>
  </r>
  <r>
    <x v="79"/>
    <x v="79"/>
    <x v="5"/>
    <x v="0"/>
    <x v="0"/>
    <x v="0"/>
    <x v="0"/>
    <x v="0"/>
    <x v="0"/>
    <x v="0"/>
    <x v="1"/>
    <x v="1"/>
    <n v="3"/>
    <n v="0"/>
    <n v="0"/>
    <n v="0"/>
    <n v="0"/>
    <n v="0"/>
    <n v="201743"/>
    <n v="-0.14000000000000001"/>
    <n v="0"/>
    <n v="0"/>
    <n v="93993"/>
    <n v="-0.11"/>
    <n v="0"/>
    <n v="201743"/>
  </r>
  <r>
    <x v="80"/>
    <x v="80"/>
    <x v="0"/>
    <x v="0"/>
    <x v="0"/>
    <x v="0"/>
    <x v="0"/>
    <x v="0"/>
    <x v="1"/>
    <x v="0"/>
    <x v="0"/>
    <x v="0"/>
    <n v="28"/>
    <n v="0"/>
    <n v="1923"/>
    <n v="0"/>
    <n v="646128"/>
    <n v="0"/>
    <n v="2542792"/>
    <n v="0"/>
    <n v="1666939"/>
    <n v="0"/>
    <n v="229725"/>
    <n v="0"/>
    <n v="277835.03999999998"/>
    <n v="1153688.04"/>
  </r>
  <r>
    <x v="80"/>
    <x v="80"/>
    <x v="1"/>
    <x v="0"/>
    <x v="0"/>
    <x v="0"/>
    <x v="0"/>
    <x v="0"/>
    <x v="1"/>
    <x v="0"/>
    <x v="0"/>
    <x v="0"/>
    <n v="26"/>
    <n v="-7.1428571428571397E-2"/>
    <n v="2084"/>
    <n v="8.3723348933957276E-2"/>
    <n v="650208"/>
    <n v="6.3145382958176288E-3"/>
    <n v="2699328"/>
    <n v="6.1560678183665729E-2"/>
    <n v="2010769"/>
    <n v="0.20626429641396604"/>
    <n v="38351"/>
    <n v="-0.83305691587767983"/>
    <n v="279589.44"/>
    <n v="968148.44"/>
  </r>
  <r>
    <x v="80"/>
    <x v="80"/>
    <x v="2"/>
    <x v="0"/>
    <x v="0"/>
    <x v="0"/>
    <x v="0"/>
    <x v="0"/>
    <x v="1"/>
    <x v="0"/>
    <x v="0"/>
    <x v="0"/>
    <n v="30"/>
    <n v="0.15384615384615374"/>
    <n v="2229"/>
    <n v="6.9577735124760176E-2"/>
    <n v="802440"/>
    <n v="0.2341281559131847"/>
    <n v="3544935"/>
    <n v="0.31326574614126179"/>
    <n v="2512159"/>
    <n v="0.24935236220570345"/>
    <n v="230336"/>
    <n v="5.0059972360564258"/>
    <n v="345049.2"/>
    <n v="1377825.2"/>
  </r>
  <r>
    <x v="80"/>
    <x v="80"/>
    <x v="3"/>
    <x v="0"/>
    <x v="0"/>
    <x v="0"/>
    <x v="0"/>
    <x v="0"/>
    <x v="1"/>
    <x v="0"/>
    <x v="0"/>
    <x v="0"/>
    <n v="43"/>
    <n v="0.43333333333333335"/>
    <n v="2748"/>
    <n v="0.2328398384925976"/>
    <n v="1417968"/>
    <n v="0.76707043517272311"/>
    <n v="5294859"/>
    <n v="0.49364064503298383"/>
    <n v="3736077"/>
    <n v="0.48719766543439325"/>
    <n v="140814"/>
    <n v="-0.38865830786329542"/>
    <n v="609726.24"/>
    <n v="2168508.2400000002"/>
  </r>
  <r>
    <x v="80"/>
    <x v="80"/>
    <x v="4"/>
    <x v="0"/>
    <x v="0"/>
    <x v="0"/>
    <x v="0"/>
    <x v="0"/>
    <x v="1"/>
    <x v="0"/>
    <x v="0"/>
    <x v="0"/>
    <n v="40"/>
    <n v="-6.9767441860465129E-2"/>
    <n v="3185"/>
    <n v="0.15902474526928681"/>
    <n v="1528800"/>
    <n v="7.8162553738871487E-2"/>
    <n v="5094797"/>
    <n v="-3.7784197841717833E-2"/>
    <n v="3485355"/>
    <n v="-6.7108359918706117E-2"/>
    <n v="80642"/>
    <n v="-0.42731546579175361"/>
    <n v="657384"/>
    <n v="2266826"/>
  </r>
  <r>
    <x v="80"/>
    <x v="80"/>
    <x v="5"/>
    <x v="0"/>
    <x v="0"/>
    <x v="0"/>
    <x v="0"/>
    <x v="0"/>
    <x v="1"/>
    <x v="0"/>
    <x v="0"/>
    <x v="0"/>
    <n v="43"/>
    <n v="7.4999999999999956E-2"/>
    <n v="3281"/>
    <n v="3.014128728414445E-2"/>
    <n v="1692996"/>
    <n v="0.10740188383045535"/>
    <n v="5026701"/>
    <n v="-1.336579259193249E-2"/>
    <n v="3486642"/>
    <n v="3.6925937243115214E-4"/>
    <n v="-152937"/>
    <n v="-2.8964931425311868"/>
    <n v="727988.28"/>
    <n v="2268047.2800000003"/>
  </r>
  <r>
    <x v="81"/>
    <x v="81"/>
    <x v="0"/>
    <x v="0"/>
    <x v="0"/>
    <x v="0"/>
    <x v="0"/>
    <x v="1"/>
    <x v="0"/>
    <x v="0"/>
    <x v="1"/>
    <x v="0"/>
    <n v="3"/>
    <n v="0"/>
    <n v="0"/>
    <n v="0"/>
    <n v="0"/>
    <n v="0"/>
    <n v="1507524"/>
    <n v="0"/>
    <n v="0"/>
    <n v="0"/>
    <n v="112348"/>
    <n v="0"/>
    <n v="0"/>
    <n v="1507524"/>
  </r>
  <r>
    <x v="81"/>
    <x v="81"/>
    <x v="1"/>
    <x v="0"/>
    <x v="0"/>
    <x v="0"/>
    <x v="0"/>
    <x v="1"/>
    <x v="0"/>
    <x v="0"/>
    <x v="1"/>
    <x v="0"/>
    <n v="3"/>
    <n v="0"/>
    <n v="464"/>
    <n v="0"/>
    <n v="16704"/>
    <n v="0"/>
    <n v="1539395"/>
    <n v="0.02"/>
    <n v="1412698"/>
    <n v="0"/>
    <n v="109993"/>
    <n v="-0.02"/>
    <n v="7182.72"/>
    <n v="133879.72"/>
  </r>
  <r>
    <x v="81"/>
    <x v="81"/>
    <x v="2"/>
    <x v="0"/>
    <x v="0"/>
    <x v="0"/>
    <x v="0"/>
    <x v="1"/>
    <x v="0"/>
    <x v="0"/>
    <x v="1"/>
    <x v="0"/>
    <n v="4"/>
    <n v="0.33333333333333326"/>
    <n v="443"/>
    <n v="-0.05"/>
    <n v="21264"/>
    <n v="0.27298850574712641"/>
    <n v="1457975"/>
    <n v="-0.05"/>
    <n v="1363756"/>
    <n v="-3.4644347199472181E-2"/>
    <n v="72955"/>
    <n v="-0.34"/>
    <n v="9143.52"/>
    <n v="103362.52"/>
  </r>
  <r>
    <x v="81"/>
    <x v="81"/>
    <x v="3"/>
    <x v="0"/>
    <x v="0"/>
    <x v="0"/>
    <x v="0"/>
    <x v="1"/>
    <x v="0"/>
    <x v="0"/>
    <x v="1"/>
    <x v="0"/>
    <n v="4"/>
    <n v="0"/>
    <n v="727"/>
    <n v="0.64"/>
    <n v="34896"/>
    <n v="0.64108352144469527"/>
    <n v="1560444"/>
    <n v="7.0000000000000007E-2"/>
    <n v="1462660"/>
    <n v="7.2523237294648046E-2"/>
    <n v="62888"/>
    <n v="-0.14000000000000001"/>
    <n v="15005.28"/>
    <n v="112789.28"/>
  </r>
  <r>
    <x v="81"/>
    <x v="81"/>
    <x v="4"/>
    <x v="0"/>
    <x v="0"/>
    <x v="0"/>
    <x v="0"/>
    <x v="1"/>
    <x v="0"/>
    <x v="0"/>
    <x v="1"/>
    <x v="0"/>
    <n v="3"/>
    <n v="-0.25"/>
    <n v="824"/>
    <n v="0.13"/>
    <n v="29664"/>
    <n v="-0.14993122420907845"/>
    <n v="1741263"/>
    <n v="0.12"/>
    <n v="1657612"/>
    <n v="0.13328593111180997"/>
    <n v="53987"/>
    <n v="-0.14000000000000001"/>
    <n v="12755.52"/>
    <n v="96406.52"/>
  </r>
  <r>
    <x v="81"/>
    <x v="81"/>
    <x v="5"/>
    <x v="0"/>
    <x v="0"/>
    <x v="0"/>
    <x v="0"/>
    <x v="1"/>
    <x v="0"/>
    <x v="0"/>
    <x v="1"/>
    <x v="0"/>
    <n v="3"/>
    <n v="0"/>
    <n v="1055"/>
    <n v="0.28033980582524265"/>
    <n v="37980"/>
    <n v="0.28033980582524265"/>
    <m/>
    <m/>
    <n v="-37980"/>
    <n v="-1.0229124789154518"/>
    <m/>
    <m/>
    <n v="16331.4"/>
    <n v="54311.4"/>
  </r>
  <r>
    <x v="82"/>
    <x v="82"/>
    <x v="0"/>
    <x v="0"/>
    <x v="0"/>
    <x v="0"/>
    <x v="0"/>
    <x v="0"/>
    <x v="1"/>
    <x v="0"/>
    <x v="1"/>
    <x v="0"/>
    <n v="15"/>
    <n v="0"/>
    <n v="2045"/>
    <n v="0"/>
    <n v="368100"/>
    <n v="0"/>
    <n v="1489138"/>
    <n v="0"/>
    <n v="1080274"/>
    <n v="0"/>
    <n v="40764"/>
    <n v="0"/>
    <n v="158283"/>
    <n v="567147"/>
  </r>
  <r>
    <x v="82"/>
    <x v="82"/>
    <x v="1"/>
    <x v="0"/>
    <x v="0"/>
    <x v="0"/>
    <x v="0"/>
    <x v="0"/>
    <x v="1"/>
    <x v="0"/>
    <x v="1"/>
    <x v="0"/>
    <n v="14"/>
    <n v="-6.6666666666666652E-2"/>
    <n v="1657"/>
    <n v="-0.1897310513447433"/>
    <n v="278376"/>
    <n v="-0.2437489812550937"/>
    <n v="924221"/>
    <n v="-0.37935839391648052"/>
    <n v="614841"/>
    <n v="-0.4308471739577181"/>
    <n v="31004"/>
    <n v="-0.23942694534393091"/>
    <n v="119701.68"/>
    <n v="429081.68"/>
  </r>
  <r>
    <x v="82"/>
    <x v="82"/>
    <x v="2"/>
    <x v="0"/>
    <x v="0"/>
    <x v="0"/>
    <x v="0"/>
    <x v="0"/>
    <x v="1"/>
    <x v="0"/>
    <x v="1"/>
    <x v="0"/>
    <n v="15"/>
    <n v="7.1428571428571397E-2"/>
    <n v="2046"/>
    <n v="0.2347616173808087"/>
    <n v="368280"/>
    <n v="0.32295887576515225"/>
    <n v="641943"/>
    <n v="-0.30542262078009491"/>
    <n v="343272"/>
    <n v="-0.44168980272948621"/>
    <n v="-69609"/>
    <n v="-3.245161914591665"/>
    <n v="158360.4"/>
    <n v="457031.4"/>
  </r>
  <r>
    <x v="82"/>
    <x v="82"/>
    <x v="3"/>
    <x v="0"/>
    <x v="0"/>
    <x v="0"/>
    <x v="0"/>
    <x v="0"/>
    <x v="1"/>
    <x v="0"/>
    <x v="1"/>
    <x v="0"/>
    <n v="16"/>
    <n v="6.6666666666666652E-2"/>
    <n v="2269"/>
    <n v="0.1089931573802541"/>
    <n v="435648"/>
    <n v="0.18292603453893785"/>
    <n v="1895806"/>
    <n v="1.9532310501088099"/>
    <n v="1420712"/>
    <n v="3.1387354634225924"/>
    <n v="39446"/>
    <n v="-1.566679596029249"/>
    <n v="187328.63999999998"/>
    <n v="662422.64"/>
  </r>
  <r>
    <x v="82"/>
    <x v="82"/>
    <x v="4"/>
    <x v="0"/>
    <x v="0"/>
    <x v="0"/>
    <x v="0"/>
    <x v="0"/>
    <x v="1"/>
    <x v="0"/>
    <x v="1"/>
    <x v="0"/>
    <n v="18"/>
    <n v="0.125"/>
    <n v="2874"/>
    <n v="0.26663728514764218"/>
    <n v="620784"/>
    <n v="0.42496694579109739"/>
    <n v="1885334"/>
    <n v="-5.5237719471296076E-3"/>
    <n v="1222834"/>
    <n v="-0.13928086762130543"/>
    <n v="41716"/>
    <n v="5.7547026314455303E-2"/>
    <n v="266937.12"/>
    <n v="929437.12"/>
  </r>
  <r>
    <x v="82"/>
    <x v="82"/>
    <x v="5"/>
    <x v="0"/>
    <x v="0"/>
    <x v="0"/>
    <x v="0"/>
    <x v="0"/>
    <x v="1"/>
    <x v="0"/>
    <x v="1"/>
    <x v="0"/>
    <n v="18"/>
    <n v="0"/>
    <n v="3260"/>
    <n v="0.13430758524704259"/>
    <n v="704160"/>
    <n v="0.13430758524704256"/>
    <n v="1795590"/>
    <n v="-4.7601114709648229E-2"/>
    <n v="1076698"/>
    <n v="-0.11950599999672895"/>
    <n v="14732"/>
    <n v="-0.64685012944673503"/>
    <n v="302788.8"/>
    <n v="1021680.8"/>
  </r>
  <r>
    <x v="83"/>
    <x v="83"/>
    <x v="0"/>
    <x v="0"/>
    <x v="1"/>
    <x v="0"/>
    <x v="0"/>
    <x v="0"/>
    <x v="0"/>
    <x v="0"/>
    <x v="1"/>
    <x v="0"/>
    <n v="4"/>
    <n v="0"/>
    <n v="1062"/>
    <n v="0"/>
    <n v="50976"/>
    <n v="0"/>
    <n v="653976"/>
    <n v="0"/>
    <n v="542435"/>
    <n v="0"/>
    <n v="60565"/>
    <n v="0"/>
    <n v="21919.68"/>
    <n v="133460.68"/>
  </r>
  <r>
    <x v="83"/>
    <x v="83"/>
    <x v="1"/>
    <x v="0"/>
    <x v="1"/>
    <x v="0"/>
    <x v="0"/>
    <x v="0"/>
    <x v="0"/>
    <x v="0"/>
    <x v="1"/>
    <x v="0"/>
    <n v="4"/>
    <n v="0"/>
    <n v="1060"/>
    <n v="0"/>
    <n v="50880"/>
    <n v="-1.8832391713747842E-3"/>
    <n v="196389"/>
    <n v="-0.7"/>
    <n v="148480"/>
    <n v="-0.72627135048438984"/>
    <n v="-2971"/>
    <n v="-1.05"/>
    <n v="21878.400000000001"/>
    <n v="69787.399999999994"/>
  </r>
  <r>
    <x v="83"/>
    <x v="83"/>
    <x v="2"/>
    <x v="0"/>
    <x v="1"/>
    <x v="0"/>
    <x v="0"/>
    <x v="0"/>
    <x v="0"/>
    <x v="0"/>
    <x v="1"/>
    <x v="0"/>
    <n v="3"/>
    <n v="-0.25"/>
    <n v="1055"/>
    <n v="0"/>
    <n v="37980"/>
    <n v="-0.25353773584905659"/>
    <n v="399946"/>
    <n v="1.04"/>
    <n v="342249"/>
    <n v="1.3050175107758619"/>
    <n v="19717"/>
    <n v="7.64"/>
    <n v="16331.4"/>
    <n v="74028.399999999994"/>
  </r>
  <r>
    <x v="83"/>
    <x v="83"/>
    <x v="3"/>
    <x v="0"/>
    <x v="1"/>
    <x v="0"/>
    <x v="0"/>
    <x v="0"/>
    <x v="0"/>
    <x v="0"/>
    <x v="1"/>
    <x v="0"/>
    <n v="4"/>
    <n v="0.33333333333333326"/>
    <n v="1559"/>
    <n v="0.48"/>
    <n v="74832"/>
    <n v="0.97030015797788316"/>
    <n v="928031"/>
    <n v="1.32"/>
    <n v="697824"/>
    <n v="1.0389365637299157"/>
    <n v="155375"/>
    <n v="6.88"/>
    <n v="32177.759999999998"/>
    <n v="262384.76"/>
  </r>
  <r>
    <x v="83"/>
    <x v="83"/>
    <x v="4"/>
    <x v="0"/>
    <x v="1"/>
    <x v="0"/>
    <x v="0"/>
    <x v="0"/>
    <x v="0"/>
    <x v="0"/>
    <x v="1"/>
    <x v="0"/>
    <n v="4"/>
    <n v="0"/>
    <n v="1982"/>
    <n v="0.27"/>
    <n v="95136"/>
    <n v="0.27132777421423993"/>
    <n v="1228001"/>
    <n v="0.32"/>
    <n v="976468"/>
    <n v="0.39930412252946312"/>
    <n v="156397"/>
    <n v="0.01"/>
    <n v="40908.479999999996"/>
    <n v="292441.48"/>
  </r>
  <r>
    <x v="83"/>
    <x v="83"/>
    <x v="5"/>
    <x v="0"/>
    <x v="1"/>
    <x v="0"/>
    <x v="0"/>
    <x v="0"/>
    <x v="0"/>
    <x v="0"/>
    <x v="1"/>
    <x v="0"/>
    <n v="4"/>
    <n v="0"/>
    <n v="2195"/>
    <n v="0.11"/>
    <n v="105360"/>
    <n v="0.10746720484359229"/>
    <n v="1064448"/>
    <n v="-0.13"/>
    <n v="876070"/>
    <n v="-0.10281750144397972"/>
    <n v="83018"/>
    <n v="-0.47"/>
    <n v="45304.800000000003"/>
    <n v="233682.8"/>
  </r>
  <r>
    <x v="84"/>
    <x v="84"/>
    <x v="0"/>
    <x v="0"/>
    <x v="0"/>
    <x v="0"/>
    <x v="1"/>
    <x v="0"/>
    <x v="0"/>
    <x v="0"/>
    <x v="0"/>
    <x v="0"/>
    <n v="16"/>
    <n v="0"/>
    <n v="2194"/>
    <n v="0"/>
    <n v="421248"/>
    <n v="0"/>
    <n v="1161676"/>
    <n v="0"/>
    <n v="724977"/>
    <n v="0"/>
    <n v="15451"/>
    <n v="0"/>
    <n v="181136.63999999998"/>
    <n v="617835.64"/>
  </r>
  <r>
    <x v="84"/>
    <x v="84"/>
    <x v="1"/>
    <x v="0"/>
    <x v="0"/>
    <x v="0"/>
    <x v="1"/>
    <x v="0"/>
    <x v="0"/>
    <x v="0"/>
    <x v="0"/>
    <x v="0"/>
    <n v="27"/>
    <n v="0.6875"/>
    <n v="2182"/>
    <n v="-5.4694621695533518E-3"/>
    <n v="706968"/>
    <n v="0.67827028258887867"/>
    <n v="1881602"/>
    <n v="0.61973045840664698"/>
    <n v="1098150"/>
    <n v="0.51473770892042103"/>
    <n v="76484"/>
    <n v="3.9501003171315769"/>
    <n v="303996.24"/>
    <n v="1087448.24"/>
  </r>
  <r>
    <x v="84"/>
    <x v="84"/>
    <x v="2"/>
    <x v="0"/>
    <x v="0"/>
    <x v="0"/>
    <x v="1"/>
    <x v="0"/>
    <x v="0"/>
    <x v="0"/>
    <x v="0"/>
    <x v="0"/>
    <n v="41"/>
    <n v="0.5185185185185186"/>
    <n v="2407"/>
    <n v="0.10311640696608609"/>
    <n v="1184244"/>
    <n v="0.67510269205961237"/>
    <n v="2745328"/>
    <n v="0.45903756479850683"/>
    <n v="1533018"/>
    <n v="0.39600054637344617"/>
    <n v="28066"/>
    <n v="-0.63304743475759628"/>
    <n v="509224.92"/>
    <n v="1721534.92"/>
  </r>
  <r>
    <x v="84"/>
    <x v="84"/>
    <x v="3"/>
    <x v="0"/>
    <x v="0"/>
    <x v="0"/>
    <x v="1"/>
    <x v="0"/>
    <x v="0"/>
    <x v="0"/>
    <x v="0"/>
    <x v="0"/>
    <n v="52"/>
    <n v="0.26829268292682928"/>
    <n v="2574"/>
    <n v="6.9380972164520216E-2"/>
    <n v="1606176"/>
    <n v="0.35628806225744025"/>
    <n v="3189523"/>
    <n v="0.16180033861163401"/>
    <n v="1538476"/>
    <n v="3.5602974002915122E-3"/>
    <n v="44871"/>
    <n v="0.59876719161975345"/>
    <n v="690655.67999999993"/>
    <n v="2341702.6799999997"/>
  </r>
  <r>
    <x v="84"/>
    <x v="84"/>
    <x v="4"/>
    <x v="0"/>
    <x v="0"/>
    <x v="0"/>
    <x v="1"/>
    <x v="0"/>
    <x v="0"/>
    <x v="0"/>
    <x v="0"/>
    <x v="0"/>
    <n v="56"/>
    <n v="7.6923076923076872E-2"/>
    <n v="2787"/>
    <n v="8.275058275058278E-2"/>
    <n v="1872864"/>
    <n v="0.16603908911601217"/>
    <n v="3156815"/>
    <n v="-1.025482493777286E-2"/>
    <n v="1275452"/>
    <n v="-0.17096399293846642"/>
    <n v="8499"/>
    <n v="-0.81059035902921706"/>
    <n v="805331.52"/>
    <n v="2686694.52"/>
  </r>
  <r>
    <x v="84"/>
    <x v="84"/>
    <x v="5"/>
    <x v="0"/>
    <x v="0"/>
    <x v="0"/>
    <x v="1"/>
    <x v="0"/>
    <x v="0"/>
    <x v="0"/>
    <x v="0"/>
    <x v="0"/>
    <n v="50"/>
    <n v="-0.1071428571428571"/>
    <n v="3005"/>
    <n v="7.8220308575529307E-2"/>
    <n v="1803000"/>
    <n v="-3.7303295914706047E-2"/>
    <n v="3457966"/>
    <n v="9.5397101192182587E-2"/>
    <n v="1644962"/>
    <n v="0.28970906000382612"/>
    <n v="10004"/>
    <n v="0.17707965643016821"/>
    <n v="775290"/>
    <n v="2588294"/>
  </r>
  <r>
    <x v="85"/>
    <x v="85"/>
    <x v="0"/>
    <x v="0"/>
    <x v="0"/>
    <x v="0"/>
    <x v="0"/>
    <x v="0"/>
    <x v="1"/>
    <x v="0"/>
    <x v="1"/>
    <x v="0"/>
    <n v="8"/>
    <n v="0"/>
    <n v="1348"/>
    <n v="0"/>
    <n v="129408"/>
    <n v="0"/>
    <n v="310625"/>
    <n v="0"/>
    <n v="263493"/>
    <n v="0"/>
    <n v="-82276"/>
    <n v="0"/>
    <n v="55645.440000000002"/>
    <n v="102777.44"/>
  </r>
  <r>
    <x v="85"/>
    <x v="85"/>
    <x v="1"/>
    <x v="0"/>
    <x v="0"/>
    <x v="0"/>
    <x v="0"/>
    <x v="0"/>
    <x v="1"/>
    <x v="0"/>
    <x v="1"/>
    <x v="0"/>
    <n v="7"/>
    <n v="-0.125"/>
    <n v="1361"/>
    <n v="9.6439169139466152E-3"/>
    <n v="114324"/>
    <n v="-0.11656157270029677"/>
    <n v="253884"/>
    <n v="-0.18266720321931579"/>
    <n v="137079"/>
    <n v="-0.47976227072445943"/>
    <n v="2481"/>
    <n v="-1.030154601584909"/>
    <n v="49159.32"/>
    <n v="165964.32"/>
  </r>
  <r>
    <x v="85"/>
    <x v="85"/>
    <x v="2"/>
    <x v="0"/>
    <x v="0"/>
    <x v="0"/>
    <x v="0"/>
    <x v="0"/>
    <x v="1"/>
    <x v="0"/>
    <x v="1"/>
    <x v="0"/>
    <n v="7"/>
    <n v="0"/>
    <n v="1516"/>
    <n v="0.1138868479059516"/>
    <n v="127344"/>
    <n v="0.1138868479059516"/>
    <n v="351527"/>
    <n v="0.38459690252241191"/>
    <n v="206579"/>
    <n v="0.50700690842506879"/>
    <n v="17604"/>
    <n v="6.0955259975816203"/>
    <n v="54757.919999999998"/>
    <n v="199705.91999999998"/>
  </r>
  <r>
    <x v="85"/>
    <x v="85"/>
    <x v="3"/>
    <x v="0"/>
    <x v="0"/>
    <x v="0"/>
    <x v="0"/>
    <x v="0"/>
    <x v="1"/>
    <x v="0"/>
    <x v="1"/>
    <x v="0"/>
    <n v="7"/>
    <n v="0"/>
    <n v="1660"/>
    <n v="9.4986807387862804E-2"/>
    <n v="139440"/>
    <n v="9.4986807387862804E-2"/>
    <n v="322775"/>
    <n v="-8.1791725813379901E-2"/>
    <n v="191320"/>
    <n v="-7.3865204110776017E-2"/>
    <n v="-7985"/>
    <n v="-1.4535900931606449"/>
    <n v="59959.199999999997"/>
    <n v="191414.2"/>
  </r>
  <r>
    <x v="85"/>
    <x v="85"/>
    <x v="4"/>
    <x v="0"/>
    <x v="0"/>
    <x v="0"/>
    <x v="0"/>
    <x v="0"/>
    <x v="1"/>
    <x v="0"/>
    <x v="1"/>
    <x v="0"/>
    <n v="6"/>
    <n v="-0.1428571428571429"/>
    <n v="1793"/>
    <n v="8.0120481927710818E-2"/>
    <n v="129096"/>
    <n v="-7.4182444061962172E-2"/>
    <n v="684432"/>
    <n v="1.1204616218728221"/>
    <n v="496163"/>
    <n v="1.5933671335981603"/>
    <n v="59173"/>
    <n v="-8.4105197244834073"/>
    <n v="55511.28"/>
    <n v="243780.28"/>
  </r>
  <r>
    <x v="85"/>
    <x v="85"/>
    <x v="5"/>
    <x v="0"/>
    <x v="0"/>
    <x v="0"/>
    <x v="0"/>
    <x v="0"/>
    <x v="1"/>
    <x v="0"/>
    <x v="1"/>
    <x v="0"/>
    <n v="6"/>
    <n v="0"/>
    <n v="1977"/>
    <n v="0.10262130507529291"/>
    <n v="142344"/>
    <n v="0.10262130507529288"/>
    <n v="316507"/>
    <n v="-0.53756253360450712"/>
    <n v="176396"/>
    <n v="-0.64447973750561816"/>
    <n v="-2233"/>
    <n v="-1.0377368056377061"/>
    <n v="61207.92"/>
    <n v="201318.91999999998"/>
  </r>
  <r>
    <x v="86"/>
    <x v="86"/>
    <x v="0"/>
    <x v="0"/>
    <x v="1"/>
    <x v="0"/>
    <x v="0"/>
    <x v="0"/>
    <x v="0"/>
    <x v="0"/>
    <x v="1"/>
    <x v="0"/>
    <n v="5"/>
    <n v="0"/>
    <n v="1330"/>
    <n v="0"/>
    <n v="79800"/>
    <n v="0"/>
    <n v="821314"/>
    <n v="0"/>
    <n v="736822"/>
    <n v="0"/>
    <n v="4692"/>
    <n v="0"/>
    <n v="34314"/>
    <n v="118806"/>
  </r>
  <r>
    <x v="86"/>
    <x v="86"/>
    <x v="1"/>
    <x v="0"/>
    <x v="1"/>
    <x v="0"/>
    <x v="0"/>
    <x v="0"/>
    <x v="0"/>
    <x v="0"/>
    <x v="1"/>
    <x v="0"/>
    <n v="4"/>
    <n v="-0.19999999999999996"/>
    <n v="991"/>
    <n v="-0.25"/>
    <n v="47568"/>
    <n v="-0.40390977443609022"/>
    <n v="376895"/>
    <n v="-0.54"/>
    <n v="313237"/>
    <n v="-0.57488104318274968"/>
    <n v="16090"/>
    <n v="2.4300000000000002"/>
    <n v="20454.239999999998"/>
    <n v="84112.239999999991"/>
  </r>
  <r>
    <x v="86"/>
    <x v="86"/>
    <x v="2"/>
    <x v="0"/>
    <x v="1"/>
    <x v="0"/>
    <x v="0"/>
    <x v="0"/>
    <x v="0"/>
    <x v="0"/>
    <x v="1"/>
    <x v="0"/>
    <n v="3"/>
    <n v="-0.25"/>
    <n v="0"/>
    <n v="0"/>
    <n v="0"/>
    <n v="-1"/>
    <n v="930793"/>
    <n v="1.47"/>
    <n v="0"/>
    <n v="-1"/>
    <n v="92764"/>
    <n v="4.7699999999999996"/>
    <n v="0"/>
    <n v="930793"/>
  </r>
  <r>
    <x v="86"/>
    <x v="86"/>
    <x v="3"/>
    <x v="0"/>
    <x v="1"/>
    <x v="0"/>
    <x v="0"/>
    <x v="0"/>
    <x v="0"/>
    <x v="0"/>
    <x v="1"/>
    <x v="0"/>
    <n v="5"/>
    <n v="0.66666666666666674"/>
    <n v="2720"/>
    <n v="0"/>
    <n v="163200"/>
    <n v="0"/>
    <n v="1249429"/>
    <n v="0.34"/>
    <n v="1053337"/>
    <n v="0"/>
    <n v="32892"/>
    <n v="-0.65"/>
    <n v="70176"/>
    <n v="266268"/>
  </r>
  <r>
    <x v="86"/>
    <x v="86"/>
    <x v="4"/>
    <x v="0"/>
    <x v="1"/>
    <x v="0"/>
    <x v="0"/>
    <x v="0"/>
    <x v="0"/>
    <x v="0"/>
    <x v="1"/>
    <x v="0"/>
    <n v="4"/>
    <n v="-0.19999999999999996"/>
    <n v="3087"/>
    <n v="0.13"/>
    <n v="148176"/>
    <n v="-9.2058823529411749E-2"/>
    <n v="1249338"/>
    <n v="0"/>
    <n v="1058762"/>
    <n v="5.1502985274418656E-3"/>
    <n v="42400"/>
    <n v="0.28999999999999998"/>
    <n v="63715.68"/>
    <n v="254291.68"/>
  </r>
  <r>
    <x v="86"/>
    <x v="86"/>
    <x v="5"/>
    <x v="0"/>
    <x v="1"/>
    <x v="0"/>
    <x v="0"/>
    <x v="0"/>
    <x v="0"/>
    <x v="0"/>
    <x v="1"/>
    <x v="0"/>
    <n v="3"/>
    <n v="-0.25"/>
    <n v="3618"/>
    <n v="0.17"/>
    <n v="130248"/>
    <n v="-0.12099125364431484"/>
    <n v="1063817"/>
    <n v="-0.15"/>
    <n v="905362"/>
    <n v="-0.14488619727568608"/>
    <n v="28207"/>
    <n v="-0.33"/>
    <n v="56006.64"/>
    <n v="214461.64"/>
  </r>
  <r>
    <x v="87"/>
    <x v="87"/>
    <x v="0"/>
    <x v="0"/>
    <x v="0"/>
    <x v="1"/>
    <x v="0"/>
    <x v="1"/>
    <x v="1"/>
    <x v="0"/>
    <x v="1"/>
    <x v="0"/>
    <n v="17"/>
    <n v="0"/>
    <n v="2079"/>
    <n v="0"/>
    <n v="424116"/>
    <n v="0"/>
    <n v="872145"/>
    <n v="0"/>
    <n v="453930"/>
    <n v="0"/>
    <n v="-5901"/>
    <n v="0"/>
    <n v="182369.88"/>
    <n v="600584.88"/>
  </r>
  <r>
    <x v="87"/>
    <x v="87"/>
    <x v="1"/>
    <x v="0"/>
    <x v="0"/>
    <x v="1"/>
    <x v="0"/>
    <x v="1"/>
    <x v="1"/>
    <x v="0"/>
    <x v="1"/>
    <x v="0"/>
    <n v="12"/>
    <n v="-0.29411764705882348"/>
    <n v="1929"/>
    <n v="-7.0000000000000007E-2"/>
    <n v="277776"/>
    <n v="-0.34504710975299213"/>
    <n v="1143759"/>
    <n v="0.31"/>
    <n v="766636"/>
    <n v="0.68888595157843713"/>
    <n v="99347"/>
    <n v="17.84"/>
    <n v="119443.68"/>
    <n v="496566.68"/>
  </r>
  <r>
    <x v="87"/>
    <x v="87"/>
    <x v="2"/>
    <x v="0"/>
    <x v="0"/>
    <x v="1"/>
    <x v="0"/>
    <x v="1"/>
    <x v="1"/>
    <x v="0"/>
    <x v="1"/>
    <x v="0"/>
    <n v="15"/>
    <n v="0.25"/>
    <n v="2230"/>
    <n v="0.16"/>
    <n v="401400"/>
    <n v="0.44504924831518933"/>
    <n v="1618544"/>
    <n v="0.42"/>
    <n v="1117923"/>
    <n v="0.45821876353315005"/>
    <n v="99221"/>
    <n v="0"/>
    <n v="172602"/>
    <n v="673223"/>
  </r>
  <r>
    <x v="87"/>
    <x v="87"/>
    <x v="3"/>
    <x v="0"/>
    <x v="0"/>
    <x v="1"/>
    <x v="0"/>
    <x v="1"/>
    <x v="1"/>
    <x v="0"/>
    <x v="1"/>
    <x v="0"/>
    <n v="23"/>
    <n v="0.53333333333333344"/>
    <n v="2450"/>
    <n v="0.1"/>
    <n v="676200"/>
    <n v="0.68460388639760827"/>
    <n v="1813270"/>
    <n v="0.12"/>
    <n v="1121781"/>
    <n v="3.4510426925646875E-3"/>
    <n v="15289"/>
    <n v="-0.85"/>
    <n v="290766"/>
    <n v="982255"/>
  </r>
  <r>
    <x v="87"/>
    <x v="87"/>
    <x v="4"/>
    <x v="0"/>
    <x v="0"/>
    <x v="1"/>
    <x v="0"/>
    <x v="1"/>
    <x v="1"/>
    <x v="0"/>
    <x v="1"/>
    <x v="0"/>
    <n v="27"/>
    <n v="0.17391304347826098"/>
    <n v="2646"/>
    <n v="0.08"/>
    <n v="857304"/>
    <n v="0.26782608695652166"/>
    <n v="1905999"/>
    <n v="0.05"/>
    <n v="1139697"/>
    <n v="1.5971031778930111E-2"/>
    <n v="-91002"/>
    <n v="-6.95"/>
    <n v="368640.72"/>
    <n v="1134942.72"/>
  </r>
  <r>
    <x v="87"/>
    <x v="87"/>
    <x v="5"/>
    <x v="0"/>
    <x v="0"/>
    <x v="1"/>
    <x v="0"/>
    <x v="1"/>
    <x v="1"/>
    <x v="0"/>
    <x v="1"/>
    <x v="0"/>
    <n v="26"/>
    <n v="-3.703703703703709E-2"/>
    <n v="2529"/>
    <n v="-0.04"/>
    <n v="789048"/>
    <n v="-7.9617031997984422E-2"/>
    <n v="2631602"/>
    <n v="0.38069432355420973"/>
    <n v="1759902"/>
    <n v="0.54418411209295092"/>
    <n v="82652"/>
    <n v="1.90824377486209"/>
    <n v="339290.64"/>
    <n v="1210990.6400000001"/>
  </r>
  <r>
    <x v="88"/>
    <x v="88"/>
    <x v="0"/>
    <x v="0"/>
    <x v="1"/>
    <x v="0"/>
    <x v="0"/>
    <x v="0"/>
    <x v="0"/>
    <x v="0"/>
    <x v="1"/>
    <x v="0"/>
    <n v="12"/>
    <n v="0"/>
    <n v="1176"/>
    <n v="0"/>
    <n v="169344"/>
    <n v="0"/>
    <n v="829120"/>
    <n v="0"/>
    <n v="658842"/>
    <n v="0"/>
    <n v="934"/>
    <n v="0"/>
    <n v="72817.919999999998"/>
    <n v="243095.91999999998"/>
  </r>
  <r>
    <x v="88"/>
    <x v="88"/>
    <x v="1"/>
    <x v="0"/>
    <x v="1"/>
    <x v="0"/>
    <x v="0"/>
    <x v="0"/>
    <x v="0"/>
    <x v="0"/>
    <x v="1"/>
    <x v="0"/>
    <n v="12"/>
    <n v="0"/>
    <n v="1278"/>
    <n v="0.09"/>
    <n v="184032"/>
    <n v="8.6734693877551061E-2"/>
    <n v="824661"/>
    <n v="-0.01"/>
    <n v="563462"/>
    <n v="-0.14476915557903114"/>
    <n v="77167"/>
    <n v="81.62"/>
    <n v="79133.759999999995"/>
    <n v="340332.76"/>
  </r>
  <r>
    <x v="88"/>
    <x v="88"/>
    <x v="2"/>
    <x v="0"/>
    <x v="1"/>
    <x v="0"/>
    <x v="0"/>
    <x v="0"/>
    <x v="0"/>
    <x v="0"/>
    <x v="1"/>
    <x v="0"/>
    <n v="11"/>
    <n v="-8.333333333333337E-2"/>
    <n v="1653"/>
    <n v="0.28999999999999998"/>
    <n v="218196"/>
    <n v="0.18564162754303593"/>
    <n v="917347"/>
    <n v="0.11"/>
    <n v="596052"/>
    <n v="5.7838860473288456E-2"/>
    <n v="103099"/>
    <n v="0.34"/>
    <n v="93824.28"/>
    <n v="415119.28"/>
  </r>
  <r>
    <x v="88"/>
    <x v="88"/>
    <x v="3"/>
    <x v="0"/>
    <x v="1"/>
    <x v="0"/>
    <x v="0"/>
    <x v="0"/>
    <x v="0"/>
    <x v="0"/>
    <x v="1"/>
    <x v="0"/>
    <n v="11"/>
    <n v="0"/>
    <n v="1709"/>
    <n v="0.03"/>
    <n v="225588"/>
    <n v="3.3877797943133725E-2"/>
    <n v="1167788"/>
    <n v="0.27"/>
    <n v="822182"/>
    <n v="0.37937965143980734"/>
    <n v="120018"/>
    <n v="0.16"/>
    <n v="97002.84"/>
    <n v="442608.83999999997"/>
  </r>
  <r>
    <x v="88"/>
    <x v="88"/>
    <x v="4"/>
    <x v="0"/>
    <x v="1"/>
    <x v="0"/>
    <x v="0"/>
    <x v="0"/>
    <x v="0"/>
    <x v="0"/>
    <x v="1"/>
    <x v="0"/>
    <n v="12"/>
    <n v="9.0909090909090828E-2"/>
    <n v="1889"/>
    <n v="0.11"/>
    <n v="272016"/>
    <n v="0.20580881961806474"/>
    <n v="1503595"/>
    <n v="0.28999999999999998"/>
    <n v="1124963"/>
    <n v="0.36826517729651109"/>
    <n v="106616"/>
    <n v="-0.11"/>
    <n v="116966.88"/>
    <n v="495598.88"/>
  </r>
  <r>
    <x v="88"/>
    <x v="88"/>
    <x v="5"/>
    <x v="0"/>
    <x v="1"/>
    <x v="0"/>
    <x v="0"/>
    <x v="0"/>
    <x v="0"/>
    <x v="0"/>
    <x v="1"/>
    <x v="0"/>
    <n v="13"/>
    <n v="8.3333333333333259E-2"/>
    <n v="2139"/>
    <n v="0.13"/>
    <n v="333684"/>
    <n v="0.22670725251455792"/>
    <n v="1851227"/>
    <n v="0.23"/>
    <n v="1396915"/>
    <n v="0.24174306177180949"/>
    <n v="120628"/>
    <n v="0.13"/>
    <n v="143484.12"/>
    <n v="597796.12"/>
  </r>
  <r>
    <x v="89"/>
    <x v="89"/>
    <x v="0"/>
    <x v="0"/>
    <x v="0"/>
    <x v="0"/>
    <x v="1"/>
    <x v="0"/>
    <x v="0"/>
    <x v="0"/>
    <x v="1"/>
    <x v="0"/>
    <n v="21"/>
    <n v="0"/>
    <n v="2175"/>
    <n v="0"/>
    <n v="548100"/>
    <n v="0"/>
    <n v="6385159"/>
    <n v="0"/>
    <n v="5779960"/>
    <n v="0"/>
    <n v="57099"/>
    <n v="0"/>
    <n v="235683"/>
    <n v="840882"/>
  </r>
  <r>
    <x v="89"/>
    <x v="89"/>
    <x v="1"/>
    <x v="0"/>
    <x v="0"/>
    <x v="0"/>
    <x v="1"/>
    <x v="0"/>
    <x v="0"/>
    <x v="0"/>
    <x v="1"/>
    <x v="0"/>
    <n v="20"/>
    <n v="-4.7619047619047672E-2"/>
    <n v="2572"/>
    <n v="0.18252873563218391"/>
    <n v="617280"/>
    <n v="0.12621784345922271"/>
    <n v="5903710"/>
    <n v="-7.54012546907602E-2"/>
    <n v="5043570"/>
    <n v="-0.12740399587540396"/>
    <n v="242860"/>
    <n v="3.253314418816442"/>
    <n v="265430.40000000002"/>
    <n v="1125570.3999999999"/>
  </r>
  <r>
    <x v="89"/>
    <x v="89"/>
    <x v="2"/>
    <x v="0"/>
    <x v="0"/>
    <x v="0"/>
    <x v="1"/>
    <x v="0"/>
    <x v="0"/>
    <x v="0"/>
    <x v="1"/>
    <x v="0"/>
    <n v="19"/>
    <n v="-5.0000000000000044E-2"/>
    <n v="2688"/>
    <n v="4.510108864696738E-2"/>
    <n v="612864"/>
    <n v="-7.1539657853810779E-3"/>
    <n v="7141593"/>
    <n v="0.20967882907527649"/>
    <n v="6188641"/>
    <n v="0.22703580995207751"/>
    <n v="340088"/>
    <n v="0.40034587828378498"/>
    <n v="263531.52000000002"/>
    <n v="1216483.52"/>
  </r>
  <r>
    <x v="89"/>
    <x v="89"/>
    <x v="3"/>
    <x v="0"/>
    <x v="0"/>
    <x v="0"/>
    <x v="1"/>
    <x v="0"/>
    <x v="0"/>
    <x v="0"/>
    <x v="1"/>
    <x v="0"/>
    <n v="20"/>
    <n v="5.2631578947368363E-2"/>
    <n v="2915"/>
    <n v="8.4449404761904656E-2"/>
    <n v="699600"/>
    <n v="0.14152568922305764"/>
    <n v="7598409"/>
    <n v="6.3965560624919426E-2"/>
    <n v="6799474"/>
    <n v="9.870228374856449E-2"/>
    <n v="99335"/>
    <n v="-0.7079138340664769"/>
    <n v="300828"/>
    <n v="1099763"/>
  </r>
  <r>
    <x v="89"/>
    <x v="89"/>
    <x v="4"/>
    <x v="0"/>
    <x v="0"/>
    <x v="0"/>
    <x v="1"/>
    <x v="0"/>
    <x v="0"/>
    <x v="0"/>
    <x v="1"/>
    <x v="0"/>
    <n v="20"/>
    <n v="0"/>
    <n v="3033"/>
    <n v="4.0480274442538537E-2"/>
    <n v="727920"/>
    <n v="4.0480274442538544E-2"/>
    <n v="7543028"/>
    <n v="-7.2884994740346487E-3"/>
    <n v="6748356"/>
    <n v="-7.5179344755197386E-3"/>
    <n v="66752"/>
    <n v="-0.32801127497860771"/>
    <n v="313005.59999999998"/>
    <n v="1107677.6000000001"/>
  </r>
  <r>
    <x v="89"/>
    <x v="89"/>
    <x v="5"/>
    <x v="0"/>
    <x v="0"/>
    <x v="0"/>
    <x v="1"/>
    <x v="0"/>
    <x v="0"/>
    <x v="0"/>
    <x v="1"/>
    <x v="0"/>
    <n v="24"/>
    <n v="0.19999999999999996"/>
    <n v="2672"/>
    <n v="-0.11902406857896471"/>
    <n v="769536"/>
    <n v="5.7171117705242303E-2"/>
    <n v="8271381"/>
    <n v="9.6559763532628962E-2"/>
    <n v="7370369"/>
    <n v="9.2172523204170131E-2"/>
    <n v="131476"/>
    <n v="0.96961888782358585"/>
    <n v="330900.47999999998"/>
    <n v="1231912.48"/>
  </r>
  <r>
    <x v="90"/>
    <x v="90"/>
    <x v="0"/>
    <x v="0"/>
    <x v="0"/>
    <x v="0"/>
    <x v="0"/>
    <x v="0"/>
    <x v="1"/>
    <x v="0"/>
    <x v="0"/>
    <x v="0"/>
    <n v="11"/>
    <n v="0"/>
    <n v="2115"/>
    <n v="0"/>
    <n v="279180"/>
    <n v="0"/>
    <n v="696612"/>
    <n v="0"/>
    <n v="298546"/>
    <n v="0"/>
    <n v="118886"/>
    <n v="0"/>
    <n v="120047.4"/>
    <n v="518113.4"/>
  </r>
  <r>
    <x v="90"/>
    <x v="90"/>
    <x v="1"/>
    <x v="0"/>
    <x v="0"/>
    <x v="0"/>
    <x v="0"/>
    <x v="0"/>
    <x v="1"/>
    <x v="0"/>
    <x v="0"/>
    <x v="0"/>
    <n v="11"/>
    <n v="0"/>
    <n v="1562"/>
    <n v="-0.26"/>
    <n v="206184"/>
    <n v="-0.26146572104018917"/>
    <n v="883128"/>
    <n v="0.27"/>
    <n v="523145"/>
    <n v="0.75230952684008501"/>
    <n v="153799"/>
    <n v="0.28999999999999998"/>
    <n v="88659.12"/>
    <n v="448642.12"/>
  </r>
  <r>
    <x v="90"/>
    <x v="90"/>
    <x v="2"/>
    <x v="0"/>
    <x v="0"/>
    <x v="0"/>
    <x v="0"/>
    <x v="0"/>
    <x v="1"/>
    <x v="0"/>
    <x v="0"/>
    <x v="0"/>
    <n v="14"/>
    <n v="0.27272727272727271"/>
    <n v="2120"/>
    <n v="0.36"/>
    <n v="356160"/>
    <n v="0.72738912815737389"/>
    <n v="2308986"/>
    <n v="1.61"/>
    <n v="1800484"/>
    <n v="2.4416538435806516"/>
    <n v="152342"/>
    <n v="-0.01"/>
    <n v="153148.79999999999"/>
    <n v="661650.80000000005"/>
  </r>
  <r>
    <x v="90"/>
    <x v="90"/>
    <x v="3"/>
    <x v="0"/>
    <x v="0"/>
    <x v="0"/>
    <x v="0"/>
    <x v="0"/>
    <x v="1"/>
    <x v="0"/>
    <x v="0"/>
    <x v="0"/>
    <n v="16"/>
    <n v="0.14285714285714279"/>
    <n v="2689"/>
    <n v="0.27"/>
    <n v="516288"/>
    <n v="0.44959568733153632"/>
    <n v="3091351"/>
    <n v="0.34"/>
    <n v="2404840"/>
    <n v="0.33566307726144751"/>
    <n v="170223"/>
    <n v="0.12"/>
    <n v="222003.84"/>
    <n v="908514.84"/>
  </r>
  <r>
    <x v="90"/>
    <x v="90"/>
    <x v="4"/>
    <x v="0"/>
    <x v="0"/>
    <x v="0"/>
    <x v="0"/>
    <x v="0"/>
    <x v="1"/>
    <x v="0"/>
    <x v="0"/>
    <x v="0"/>
    <n v="17"/>
    <n v="6.25E-2"/>
    <n v="2813"/>
    <n v="0.05"/>
    <n v="573852"/>
    <n v="0.1114959092599479"/>
    <n v="3630118"/>
    <n v="0.17"/>
    <n v="2871010"/>
    <n v="0.19384657607158906"/>
    <n v="185256"/>
    <n v="0.09"/>
    <n v="246756.36"/>
    <n v="1005864.36"/>
  </r>
  <r>
    <x v="90"/>
    <x v="90"/>
    <x v="5"/>
    <x v="0"/>
    <x v="0"/>
    <x v="0"/>
    <x v="0"/>
    <x v="0"/>
    <x v="1"/>
    <x v="0"/>
    <x v="0"/>
    <x v="0"/>
    <n v="15"/>
    <n v="-0.11764705882352944"/>
    <n v="2848"/>
    <n v="0.01"/>
    <n v="512640"/>
    <n v="-0.10666861838941055"/>
    <n v="3855674"/>
    <n v="0.06"/>
    <n v="3161705"/>
    <n v="0.10125182427090129"/>
    <n v="181329"/>
    <n v="-0.02"/>
    <n v="220435.19999999998"/>
    <n v="914404.2"/>
  </r>
  <r>
    <x v="91"/>
    <x v="91"/>
    <x v="0"/>
    <x v="0"/>
    <x v="0"/>
    <x v="0"/>
    <x v="0"/>
    <x v="1"/>
    <x v="0"/>
    <x v="0"/>
    <x v="1"/>
    <x v="0"/>
    <n v="2"/>
    <n v="0"/>
    <n v="0"/>
    <n v="0"/>
    <n v="0"/>
    <n v="0"/>
    <n v="1171259"/>
    <n v="0"/>
    <n v="0"/>
    <n v="0"/>
    <n v="93664"/>
    <n v="0"/>
    <n v="0"/>
    <n v="1171259"/>
  </r>
  <r>
    <x v="91"/>
    <x v="91"/>
    <x v="1"/>
    <x v="0"/>
    <x v="0"/>
    <x v="0"/>
    <x v="0"/>
    <x v="1"/>
    <x v="0"/>
    <x v="0"/>
    <x v="1"/>
    <x v="0"/>
    <n v="2"/>
    <n v="0"/>
    <n v="0"/>
    <n v="0"/>
    <n v="0"/>
    <n v="0"/>
    <n v="607912"/>
    <n v="-0.48"/>
    <n v="0"/>
    <n v="0"/>
    <n v="-2056"/>
    <n v="-1.02"/>
    <n v="0"/>
    <n v="607912"/>
  </r>
  <r>
    <x v="91"/>
    <x v="91"/>
    <x v="2"/>
    <x v="0"/>
    <x v="0"/>
    <x v="0"/>
    <x v="0"/>
    <x v="1"/>
    <x v="0"/>
    <x v="0"/>
    <x v="1"/>
    <x v="0"/>
    <n v="2"/>
    <n v="0"/>
    <n v="0"/>
    <n v="0"/>
    <n v="0"/>
    <n v="0"/>
    <n v="882594"/>
    <n v="0.45"/>
    <n v="0"/>
    <n v="0"/>
    <n v="38215"/>
    <n v="19.59"/>
    <n v="0"/>
    <n v="882594"/>
  </r>
  <r>
    <x v="91"/>
    <x v="91"/>
    <x v="3"/>
    <x v="0"/>
    <x v="0"/>
    <x v="0"/>
    <x v="0"/>
    <x v="1"/>
    <x v="0"/>
    <x v="0"/>
    <x v="1"/>
    <x v="0"/>
    <n v="1"/>
    <n v="-0.5"/>
    <n v="0"/>
    <n v="0"/>
    <n v="0"/>
    <n v="0"/>
    <n v="1040136"/>
    <n v="0.18"/>
    <n v="0"/>
    <n v="0"/>
    <n v="40347"/>
    <n v="0.06"/>
    <n v="0"/>
    <n v="1040136"/>
  </r>
  <r>
    <x v="91"/>
    <x v="91"/>
    <x v="4"/>
    <x v="0"/>
    <x v="0"/>
    <x v="0"/>
    <x v="0"/>
    <x v="1"/>
    <x v="0"/>
    <x v="0"/>
    <x v="1"/>
    <x v="0"/>
    <n v="1"/>
    <n v="0"/>
    <n v="0"/>
    <n v="0"/>
    <n v="0"/>
    <n v="0"/>
    <n v="1946579"/>
    <n v="0.87"/>
    <n v="0"/>
    <n v="0"/>
    <n v="187358"/>
    <n v="3.64"/>
    <n v="0"/>
    <n v="1946579"/>
  </r>
  <r>
    <x v="91"/>
    <x v="91"/>
    <x v="5"/>
    <x v="0"/>
    <x v="0"/>
    <x v="0"/>
    <x v="0"/>
    <x v="1"/>
    <x v="0"/>
    <x v="0"/>
    <x v="1"/>
    <x v="0"/>
    <n v="2"/>
    <n v="1"/>
    <n v="0"/>
    <n v="0"/>
    <n v="0"/>
    <n v="0"/>
    <n v="1713642"/>
    <n v="-0.12"/>
    <n v="0"/>
    <n v="0"/>
    <n v="58387"/>
    <n v="-0.69"/>
    <n v="0"/>
    <n v="1713642"/>
  </r>
  <r>
    <x v="92"/>
    <x v="92"/>
    <x v="0"/>
    <x v="0"/>
    <x v="0"/>
    <x v="0"/>
    <x v="0"/>
    <x v="0"/>
    <x v="0"/>
    <x v="0"/>
    <x v="1"/>
    <x v="1"/>
    <n v="0"/>
    <n v="0"/>
    <n v="0"/>
    <n v="0"/>
    <n v="0"/>
    <n v="0"/>
    <n v="0"/>
    <n v="0"/>
    <n v="0"/>
    <n v="0"/>
    <n v="0"/>
    <n v="0"/>
    <n v="0"/>
    <n v="0"/>
  </r>
  <r>
    <x v="92"/>
    <x v="92"/>
    <x v="1"/>
    <x v="0"/>
    <x v="0"/>
    <x v="0"/>
    <x v="0"/>
    <x v="0"/>
    <x v="0"/>
    <x v="0"/>
    <x v="1"/>
    <x v="1"/>
    <n v="0"/>
    <n v="0"/>
    <n v="0"/>
    <n v="0"/>
    <n v="0"/>
    <n v="0"/>
    <n v="466610"/>
    <n v="0"/>
    <n v="0"/>
    <n v="0"/>
    <n v="246874"/>
    <n v="0"/>
    <n v="0"/>
    <n v="466610"/>
  </r>
  <r>
    <x v="92"/>
    <x v="92"/>
    <x v="2"/>
    <x v="0"/>
    <x v="0"/>
    <x v="0"/>
    <x v="0"/>
    <x v="0"/>
    <x v="0"/>
    <x v="0"/>
    <x v="1"/>
    <x v="1"/>
    <n v="3"/>
    <n v="0"/>
    <n v="0"/>
    <n v="0"/>
    <n v="0"/>
    <n v="0"/>
    <n v="232351"/>
    <n v="35.024530121514758"/>
    <n v="0"/>
    <n v="0"/>
    <n v="37207"/>
    <n v="0.93900127190388627"/>
    <n v="0"/>
    <n v="232351"/>
  </r>
  <r>
    <x v="92"/>
    <x v="92"/>
    <x v="3"/>
    <x v="0"/>
    <x v="0"/>
    <x v="0"/>
    <x v="0"/>
    <x v="0"/>
    <x v="0"/>
    <x v="0"/>
    <x v="1"/>
    <x v="1"/>
    <n v="3"/>
    <n v="0"/>
    <n v="0"/>
    <n v="0"/>
    <n v="0"/>
    <n v="0"/>
    <n v="266892"/>
    <n v="-1"/>
    <n v="0"/>
    <n v="0"/>
    <n v="56020"/>
    <n v="-1"/>
    <n v="0"/>
    <n v="266892"/>
  </r>
  <r>
    <x v="92"/>
    <x v="92"/>
    <x v="4"/>
    <x v="0"/>
    <x v="0"/>
    <x v="0"/>
    <x v="0"/>
    <x v="0"/>
    <x v="0"/>
    <x v="0"/>
    <x v="1"/>
    <x v="1"/>
    <n v="1"/>
    <n v="-0.66666666666666674"/>
    <n v="0"/>
    <n v="0"/>
    <n v="0"/>
    <n v="0"/>
    <n v="299971"/>
    <n v="-1"/>
    <n v="0"/>
    <n v="0"/>
    <n v="61467"/>
    <n v="-1"/>
    <n v="0"/>
    <n v="299971"/>
  </r>
  <r>
    <x v="92"/>
    <x v="92"/>
    <x v="5"/>
    <x v="0"/>
    <x v="0"/>
    <x v="0"/>
    <x v="0"/>
    <x v="0"/>
    <x v="0"/>
    <x v="0"/>
    <x v="1"/>
    <x v="1"/>
    <n v="1"/>
    <n v="0"/>
    <n v="0"/>
    <n v="0"/>
    <n v="0"/>
    <n v="0"/>
    <n v="299712"/>
    <n v="-0.76251370965860032"/>
    <n v="0"/>
    <n v="0"/>
    <n v="93548"/>
    <n v="-0.85865586412221195"/>
    <n v="0"/>
    <n v="299712"/>
  </r>
  <r>
    <x v="93"/>
    <x v="93"/>
    <x v="0"/>
    <x v="0"/>
    <x v="0"/>
    <x v="0"/>
    <x v="0"/>
    <x v="0"/>
    <x v="0"/>
    <x v="0"/>
    <x v="0"/>
    <x v="0"/>
    <n v="15"/>
    <n v="0"/>
    <n v="1899"/>
    <n v="0"/>
    <n v="341820"/>
    <n v="0"/>
    <n v="1390424"/>
    <n v="0"/>
    <n v="969025"/>
    <n v="0"/>
    <n v="79579"/>
    <n v="0"/>
    <n v="146982.6"/>
    <n v="568381.6"/>
  </r>
  <r>
    <x v="93"/>
    <x v="93"/>
    <x v="1"/>
    <x v="0"/>
    <x v="0"/>
    <x v="0"/>
    <x v="0"/>
    <x v="0"/>
    <x v="0"/>
    <x v="0"/>
    <x v="0"/>
    <x v="0"/>
    <n v="15"/>
    <n v="0"/>
    <n v="2244"/>
    <n v="0.18"/>
    <n v="403920"/>
    <n v="0.1816745655608214"/>
    <n v="1685954"/>
    <n v="0.21"/>
    <n v="1223365"/>
    <n v="0.26247000851371216"/>
    <n v="58669"/>
    <n v="-0.26"/>
    <n v="173685.6"/>
    <n v="636274.6"/>
  </r>
  <r>
    <x v="93"/>
    <x v="93"/>
    <x v="2"/>
    <x v="0"/>
    <x v="0"/>
    <x v="0"/>
    <x v="0"/>
    <x v="0"/>
    <x v="0"/>
    <x v="0"/>
    <x v="0"/>
    <x v="0"/>
    <n v="15"/>
    <n v="0"/>
    <n v="2645"/>
    <n v="0.18"/>
    <n v="476100"/>
    <n v="0.178698752228164"/>
    <n v="1951484"/>
    <n v="0.16"/>
    <n v="1410576"/>
    <n v="0.15302955373089788"/>
    <n v="64808"/>
    <n v="0.1"/>
    <n v="204723"/>
    <n v="745631"/>
  </r>
  <r>
    <x v="93"/>
    <x v="93"/>
    <x v="3"/>
    <x v="0"/>
    <x v="0"/>
    <x v="0"/>
    <x v="0"/>
    <x v="0"/>
    <x v="0"/>
    <x v="0"/>
    <x v="0"/>
    <x v="0"/>
    <n v="15"/>
    <n v="0"/>
    <n v="2804"/>
    <n v="0.06"/>
    <n v="504720"/>
    <n v="6.011342155009447E-2"/>
    <n v="2060853"/>
    <n v="0.06"/>
    <n v="1492250"/>
    <n v="5.7901169451344714E-2"/>
    <n v="63883"/>
    <n v="-0.01"/>
    <n v="217029.6"/>
    <n v="785632.6"/>
  </r>
  <r>
    <x v="93"/>
    <x v="93"/>
    <x v="4"/>
    <x v="0"/>
    <x v="0"/>
    <x v="0"/>
    <x v="0"/>
    <x v="0"/>
    <x v="0"/>
    <x v="0"/>
    <x v="0"/>
    <x v="0"/>
    <n v="15"/>
    <n v="0"/>
    <n v="3033"/>
    <n v="0.08"/>
    <n v="545940"/>
    <n v="8.1669044222539178E-2"/>
    <n v="2135316"/>
    <n v="0.04"/>
    <n v="1456449"/>
    <n v="-2.3991288323002125E-2"/>
    <n v="132927"/>
    <n v="1.08"/>
    <n v="234754.19999999998"/>
    <n v="913621.2"/>
  </r>
  <r>
    <x v="93"/>
    <x v="93"/>
    <x v="5"/>
    <x v="0"/>
    <x v="0"/>
    <x v="0"/>
    <x v="0"/>
    <x v="0"/>
    <x v="0"/>
    <x v="0"/>
    <x v="0"/>
    <x v="0"/>
    <n v="14"/>
    <n v="-6.6666666666666652E-2"/>
    <n v="3354"/>
    <n v="0.11"/>
    <n v="563472"/>
    <n v="3.2113419057039128E-2"/>
    <n v="2179847"/>
    <n v="0.02"/>
    <n v="1573882"/>
    <n v="8.0629668460756365E-2"/>
    <n v="42493"/>
    <n v="-0.68"/>
    <n v="242292.96"/>
    <n v="848257.96"/>
  </r>
  <r>
    <x v="94"/>
    <x v="94"/>
    <x v="0"/>
    <x v="0"/>
    <x v="0"/>
    <x v="0"/>
    <x v="1"/>
    <x v="0"/>
    <x v="0"/>
    <x v="0"/>
    <x v="1"/>
    <x v="0"/>
    <n v="19"/>
    <n v="0"/>
    <n v="2532"/>
    <n v="0"/>
    <n v="577296"/>
    <n v="0"/>
    <n v="6233775"/>
    <n v="0"/>
    <n v="5544226"/>
    <n v="0"/>
    <n v="112253"/>
    <n v="0"/>
    <n v="248237.28"/>
    <n v="937786.28"/>
  </r>
  <r>
    <x v="94"/>
    <x v="94"/>
    <x v="1"/>
    <x v="0"/>
    <x v="0"/>
    <x v="0"/>
    <x v="1"/>
    <x v="0"/>
    <x v="0"/>
    <x v="0"/>
    <x v="1"/>
    <x v="0"/>
    <n v="18"/>
    <n v="-5.2631578947368474E-2"/>
    <n v="2641"/>
    <n v="4.3048973143759772E-2"/>
    <n v="570456"/>
    <n v="-1.1848341232227444E-2"/>
    <n v="4829619"/>
    <n v="-0.2252497082425978"/>
    <n v="4163805"/>
    <n v="-0.2489835371068928"/>
    <n v="95358"/>
    <n v="-0.15050822695161831"/>
    <n v="245296.08"/>
    <n v="911110.08"/>
  </r>
  <r>
    <x v="94"/>
    <x v="94"/>
    <x v="2"/>
    <x v="0"/>
    <x v="0"/>
    <x v="0"/>
    <x v="1"/>
    <x v="0"/>
    <x v="0"/>
    <x v="0"/>
    <x v="1"/>
    <x v="0"/>
    <n v="24"/>
    <n v="0.33333333333333326"/>
    <n v="2528"/>
    <n v="-4.27868231730405E-2"/>
    <n v="728064"/>
    <n v="0.27628423576927941"/>
    <n v="9494507"/>
    <n v="0.96589151235325188"/>
    <n v="8574500"/>
    <n v="1.0592943233412706"/>
    <n v="191943"/>
    <n v="1.012867300069213"/>
    <n v="313067.52000000002"/>
    <n v="1233074.52"/>
  </r>
  <r>
    <x v="94"/>
    <x v="94"/>
    <x v="3"/>
    <x v="0"/>
    <x v="0"/>
    <x v="0"/>
    <x v="1"/>
    <x v="0"/>
    <x v="0"/>
    <x v="0"/>
    <x v="1"/>
    <x v="0"/>
    <n v="28"/>
    <n v="0.16666666666666674"/>
    <n v="2626"/>
    <n v="3.8765822784810222E-2"/>
    <n v="882336"/>
    <n v="0.2118934599156117"/>
    <n v="10013897"/>
    <n v="5.4704262159162242E-2"/>
    <n v="8945402"/>
    <n v="4.3256399790075228E-2"/>
    <n v="186159"/>
    <n v="-3.0133946015223231E-2"/>
    <n v="379404.48"/>
    <n v="1447899.48"/>
  </r>
  <r>
    <x v="94"/>
    <x v="94"/>
    <x v="4"/>
    <x v="0"/>
    <x v="0"/>
    <x v="0"/>
    <x v="1"/>
    <x v="0"/>
    <x v="0"/>
    <x v="0"/>
    <x v="1"/>
    <x v="0"/>
    <n v="26"/>
    <n v="-7.1428571428571397E-2"/>
    <n v="2861"/>
    <n v="8.9489718202589552E-2"/>
    <n v="892632"/>
    <n v="1.1669024045261711E-2"/>
    <n v="8389454"/>
    <n v="-0.16221886444408209"/>
    <n v="7324112"/>
    <n v="-0.18124283291013643"/>
    <n v="172710"/>
    <n v="-7.2244694051858849E-2"/>
    <n v="383831.76"/>
    <n v="1449173.76"/>
  </r>
  <r>
    <x v="94"/>
    <x v="94"/>
    <x v="5"/>
    <x v="0"/>
    <x v="0"/>
    <x v="0"/>
    <x v="1"/>
    <x v="0"/>
    <x v="0"/>
    <x v="0"/>
    <x v="1"/>
    <x v="0"/>
    <n v="25"/>
    <n v="-3.8461538461538436E-2"/>
    <n v="3073"/>
    <n v="7.40999650471863E-2"/>
    <n v="921900"/>
    <n v="3.2788427929986819E-2"/>
    <n v="8837519"/>
    <n v="5.3408124056702588E-2"/>
    <n v="7690258"/>
    <n v="4.9991862494729755E-2"/>
    <n v="225361"/>
    <n v="0.30485206415378369"/>
    <n v="396417"/>
    <n v="1543678"/>
  </r>
  <r>
    <x v="95"/>
    <x v="95"/>
    <x v="0"/>
    <x v="0"/>
    <x v="0"/>
    <x v="0"/>
    <x v="0"/>
    <x v="1"/>
    <x v="0"/>
    <x v="0"/>
    <x v="1"/>
    <x v="0"/>
    <n v="1"/>
    <n v="0"/>
    <n v="0"/>
    <n v="0"/>
    <n v="0"/>
    <n v="0"/>
    <n v="123105"/>
    <n v="0"/>
    <n v="0"/>
    <n v="0"/>
    <n v="38230"/>
    <n v="0"/>
    <n v="0"/>
    <n v="123105"/>
  </r>
  <r>
    <x v="95"/>
    <x v="95"/>
    <x v="1"/>
    <x v="0"/>
    <x v="0"/>
    <x v="0"/>
    <x v="0"/>
    <x v="1"/>
    <x v="0"/>
    <x v="0"/>
    <x v="1"/>
    <x v="0"/>
    <n v="0"/>
    <n v="-1"/>
    <n v="0"/>
    <n v="0"/>
    <n v="0"/>
    <n v="0"/>
    <n v="97942"/>
    <n v="-0.2044027456236546"/>
    <n v="0"/>
    <n v="0"/>
    <n v="-3183"/>
    <n v="-1.0832592205074549"/>
    <n v="0"/>
    <n v="97942"/>
  </r>
  <r>
    <x v="95"/>
    <x v="95"/>
    <x v="2"/>
    <x v="0"/>
    <x v="0"/>
    <x v="0"/>
    <x v="0"/>
    <x v="1"/>
    <x v="0"/>
    <x v="0"/>
    <x v="1"/>
    <x v="0"/>
    <n v="0"/>
    <n v="0"/>
    <n v="0"/>
    <n v="0"/>
    <n v="0"/>
    <n v="0"/>
    <n v="136496"/>
    <n v="0.39364113454901872"/>
    <n v="0"/>
    <n v="0"/>
    <n v="9646"/>
    <n v="-4.0304743952246307"/>
    <n v="0"/>
    <n v="136496"/>
  </r>
  <r>
    <x v="95"/>
    <x v="95"/>
    <x v="3"/>
    <x v="0"/>
    <x v="0"/>
    <x v="0"/>
    <x v="0"/>
    <x v="1"/>
    <x v="0"/>
    <x v="0"/>
    <x v="1"/>
    <x v="0"/>
    <n v="0"/>
    <n v="0"/>
    <n v="0"/>
    <n v="0"/>
    <n v="0"/>
    <n v="0"/>
    <n v="200535"/>
    <n v="0.46916393154378139"/>
    <n v="0"/>
    <n v="0"/>
    <n v="10605"/>
    <n v="9.9419448476052219E-2"/>
    <n v="0"/>
    <n v="200535"/>
  </r>
  <r>
    <x v="95"/>
    <x v="95"/>
    <x v="4"/>
    <x v="0"/>
    <x v="0"/>
    <x v="0"/>
    <x v="0"/>
    <x v="1"/>
    <x v="0"/>
    <x v="0"/>
    <x v="1"/>
    <x v="0"/>
    <n v="0"/>
    <n v="0"/>
    <n v="0"/>
    <n v="0"/>
    <n v="0"/>
    <n v="0"/>
    <n v="177910"/>
    <n v="-0.11282319794549581"/>
    <n v="0"/>
    <n v="0"/>
    <n v="42203"/>
    <n v="2.9795379537953801"/>
    <n v="0"/>
    <n v="177910"/>
  </r>
  <r>
    <x v="95"/>
    <x v="95"/>
    <x v="5"/>
    <x v="0"/>
    <x v="0"/>
    <x v="0"/>
    <x v="0"/>
    <x v="1"/>
    <x v="0"/>
    <x v="0"/>
    <x v="1"/>
    <x v="0"/>
    <n v="0"/>
    <n v="0"/>
    <n v="0"/>
    <n v="0"/>
    <n v="0"/>
    <n v="0"/>
    <n v="122111"/>
    <n v="-0.31363610814456738"/>
    <n v="0"/>
    <n v="0"/>
    <n v="-20529"/>
    <n v="-1.486434613653058"/>
    <n v="0"/>
    <n v="122111"/>
  </r>
  <r>
    <x v="96"/>
    <x v="96"/>
    <x v="0"/>
    <x v="0"/>
    <x v="0"/>
    <x v="0"/>
    <x v="0"/>
    <x v="0"/>
    <x v="0"/>
    <x v="0"/>
    <x v="0"/>
    <x v="0"/>
    <n v="2"/>
    <n v="0"/>
    <n v="0"/>
    <n v="0"/>
    <n v="0"/>
    <n v="0"/>
    <n v="106868"/>
    <n v="0"/>
    <n v="0"/>
    <n v="0"/>
    <n v="35778"/>
    <n v="0"/>
    <n v="0"/>
    <n v="106868"/>
  </r>
  <r>
    <x v="96"/>
    <x v="96"/>
    <x v="1"/>
    <x v="0"/>
    <x v="0"/>
    <x v="0"/>
    <x v="0"/>
    <x v="0"/>
    <x v="0"/>
    <x v="0"/>
    <x v="0"/>
    <x v="0"/>
    <n v="3"/>
    <n v="0.5"/>
    <n v="0"/>
    <n v="0"/>
    <n v="0"/>
    <n v="0"/>
    <n v="188503"/>
    <n v="0.76"/>
    <n v="0"/>
    <n v="0"/>
    <n v="84072"/>
    <n v="1.35"/>
    <n v="0"/>
    <n v="188503"/>
  </r>
  <r>
    <x v="96"/>
    <x v="96"/>
    <x v="2"/>
    <x v="0"/>
    <x v="0"/>
    <x v="0"/>
    <x v="0"/>
    <x v="0"/>
    <x v="0"/>
    <x v="0"/>
    <x v="0"/>
    <x v="0"/>
    <n v="5"/>
    <n v="0.66666666666666674"/>
    <n v="1467"/>
    <n v="0"/>
    <n v="88020"/>
    <n v="0"/>
    <n v="334901"/>
    <n v="0.78"/>
    <n v="180247"/>
    <n v="0"/>
    <n v="66634"/>
    <n v="-0.21"/>
    <n v="37848.6"/>
    <n v="192502.6"/>
  </r>
  <r>
    <x v="96"/>
    <x v="96"/>
    <x v="3"/>
    <x v="0"/>
    <x v="0"/>
    <x v="0"/>
    <x v="0"/>
    <x v="0"/>
    <x v="0"/>
    <x v="0"/>
    <x v="0"/>
    <x v="0"/>
    <n v="7"/>
    <n v="0.39999999999999991"/>
    <n v="1828"/>
    <n v="0.25"/>
    <n v="153552"/>
    <n v="0.74451261077027953"/>
    <n v="557757"/>
    <n v="0.67"/>
    <n v="315467"/>
    <n v="0.75019279100345626"/>
    <n v="88738"/>
    <n v="0.33"/>
    <n v="66027.360000000001"/>
    <n v="308317.36"/>
  </r>
  <r>
    <x v="96"/>
    <x v="96"/>
    <x v="4"/>
    <x v="0"/>
    <x v="0"/>
    <x v="0"/>
    <x v="0"/>
    <x v="0"/>
    <x v="0"/>
    <x v="0"/>
    <x v="0"/>
    <x v="0"/>
    <n v="8"/>
    <n v="0.14285714285714279"/>
    <n v="2501"/>
    <n v="0.37"/>
    <n v="240096"/>
    <n v="0.56361362925914338"/>
    <n v="663263"/>
    <n v="0.19"/>
    <n v="322915"/>
    <n v="2.3609442509042067E-2"/>
    <n v="100252"/>
    <n v="0.13"/>
    <n v="103241.28"/>
    <n v="443589.28"/>
  </r>
  <r>
    <x v="96"/>
    <x v="96"/>
    <x v="5"/>
    <x v="0"/>
    <x v="0"/>
    <x v="0"/>
    <x v="0"/>
    <x v="0"/>
    <x v="0"/>
    <x v="0"/>
    <x v="0"/>
    <x v="0"/>
    <n v="8"/>
    <n v="0"/>
    <n v="2967"/>
    <n v="0.19"/>
    <n v="284832"/>
    <n v="0.1863254698120751"/>
    <n v="542041"/>
    <n v="-0.18"/>
    <n v="167263"/>
    <n v="-0.48202158462753353"/>
    <n v="89946"/>
    <n v="-0.1"/>
    <n v="122477.75999999999"/>
    <n v="497255.76"/>
  </r>
  <r>
    <x v="97"/>
    <x v="97"/>
    <x v="0"/>
    <x v="0"/>
    <x v="0"/>
    <x v="0"/>
    <x v="0"/>
    <x v="0"/>
    <x v="0"/>
    <x v="1"/>
    <x v="0"/>
    <x v="0"/>
    <n v="7"/>
    <n v="0"/>
    <n v="1630"/>
    <n v="0"/>
    <n v="136920"/>
    <n v="0"/>
    <n v="184041"/>
    <n v="0"/>
    <n v="81266"/>
    <n v="0"/>
    <n v="-34145"/>
    <n v="0"/>
    <n v="58875.6"/>
    <n v="161650.6"/>
  </r>
  <r>
    <x v="97"/>
    <x v="97"/>
    <x v="1"/>
    <x v="0"/>
    <x v="0"/>
    <x v="0"/>
    <x v="0"/>
    <x v="0"/>
    <x v="0"/>
    <x v="1"/>
    <x v="0"/>
    <x v="0"/>
    <n v="8"/>
    <n v="0.14285714285714279"/>
    <n v="1620"/>
    <n v="-6.1349693251533388E-3"/>
    <n v="155520"/>
    <n v="0.1358457493426819"/>
    <n v="185268"/>
    <n v="6.6669926809785904E-3"/>
    <n v="75161"/>
    <n v="-7.5123667954618223E-2"/>
    <n v="-45413"/>
    <n v="0.33000439302972612"/>
    <n v="66873.600000000006"/>
    <n v="176980.6"/>
  </r>
  <r>
    <x v="97"/>
    <x v="97"/>
    <x v="2"/>
    <x v="0"/>
    <x v="0"/>
    <x v="0"/>
    <x v="0"/>
    <x v="0"/>
    <x v="0"/>
    <x v="1"/>
    <x v="0"/>
    <x v="0"/>
    <n v="7"/>
    <n v="-0.125"/>
    <n v="1770"/>
    <n v="9.259259259259256E-2"/>
    <n v="148680"/>
    <n v="-4.398148148148151E-2"/>
    <n v="137096"/>
    <n v="-0.26001252239998268"/>
    <n v="57715"/>
    <n v="-0.23211505967190427"/>
    <n v="-69299"/>
    <n v="0.52597273908352227"/>
    <n v="63932.4"/>
    <n v="143313.4"/>
  </r>
  <r>
    <x v="97"/>
    <x v="97"/>
    <x v="3"/>
    <x v="0"/>
    <x v="0"/>
    <x v="0"/>
    <x v="0"/>
    <x v="0"/>
    <x v="0"/>
    <x v="1"/>
    <x v="0"/>
    <x v="0"/>
    <n v="6"/>
    <n v="-0.1428571428571429"/>
    <n v="1272"/>
    <n v="-0.28135593220338978"/>
    <n v="91584"/>
    <n v="-0.38401937046004841"/>
    <n v="176468"/>
    <n v="0.28718562175409929"/>
    <n v="59283"/>
    <n v="2.7167980594299479E-2"/>
    <n v="25601"/>
    <n v="-1.36942813027605"/>
    <n v="39381.120000000003"/>
    <n v="156566.12"/>
  </r>
  <r>
    <x v="97"/>
    <x v="97"/>
    <x v="4"/>
    <x v="0"/>
    <x v="0"/>
    <x v="0"/>
    <x v="0"/>
    <x v="0"/>
    <x v="0"/>
    <x v="1"/>
    <x v="0"/>
    <x v="0"/>
    <n v="6"/>
    <n v="0"/>
    <n v="939"/>
    <n v="-0.2617924528301887"/>
    <n v="67608"/>
    <n v="-0.2617924528301887"/>
    <n v="145013"/>
    <n v="-0.17824761429834299"/>
    <n v="42361"/>
    <n v="-0.28544439383971798"/>
    <n v="35044"/>
    <n v="0.36885277918831288"/>
    <n v="29071.439999999999"/>
    <n v="131723.44"/>
  </r>
  <r>
    <x v="97"/>
    <x v="97"/>
    <x v="5"/>
    <x v="0"/>
    <x v="0"/>
    <x v="0"/>
    <x v="0"/>
    <x v="0"/>
    <x v="0"/>
    <x v="1"/>
    <x v="0"/>
    <x v="0"/>
    <n v="5"/>
    <n v="-0.16666666666666663"/>
    <n v="116"/>
    <n v="-0.87646432374866878"/>
    <n v="6960"/>
    <n v="-0.89705360312389071"/>
    <n v="87681"/>
    <n v="-0.39535765758931962"/>
    <n v="-5984"/>
    <n v="-1.141262009867567"/>
    <n v="86705"/>
    <n v="1.4741753224517751"/>
    <n v="2992.7999999999997"/>
    <n v="96657.8"/>
  </r>
  <r>
    <x v="98"/>
    <x v="98"/>
    <x v="0"/>
    <x v="0"/>
    <x v="0"/>
    <x v="0"/>
    <x v="0"/>
    <x v="0"/>
    <x v="0"/>
    <x v="0"/>
    <x v="0"/>
    <x v="0"/>
    <n v="0"/>
    <n v="0"/>
    <n v="0"/>
    <n v="0"/>
    <n v="0"/>
    <n v="0"/>
    <n v="0"/>
    <n v="0"/>
    <n v="0"/>
    <n v="0"/>
    <n v="0"/>
    <n v="0"/>
    <n v="0"/>
    <n v="0"/>
  </r>
  <r>
    <x v="98"/>
    <x v="98"/>
    <x v="1"/>
    <x v="0"/>
    <x v="0"/>
    <x v="0"/>
    <x v="0"/>
    <x v="0"/>
    <x v="0"/>
    <x v="0"/>
    <x v="0"/>
    <x v="0"/>
    <n v="0"/>
    <n v="0"/>
    <n v="0"/>
    <n v="0"/>
    <n v="0"/>
    <n v="0"/>
    <n v="0"/>
    <n v="0"/>
    <n v="0"/>
    <n v="0"/>
    <n v="0"/>
    <n v="0"/>
    <n v="0"/>
    <n v="0"/>
  </r>
  <r>
    <x v="98"/>
    <x v="98"/>
    <x v="2"/>
    <x v="0"/>
    <x v="0"/>
    <x v="0"/>
    <x v="0"/>
    <x v="0"/>
    <x v="0"/>
    <x v="0"/>
    <x v="0"/>
    <x v="0"/>
    <n v="0"/>
    <n v="0"/>
    <n v="0"/>
    <n v="0"/>
    <n v="0"/>
    <n v="0"/>
    <n v="20541"/>
    <n v="0"/>
    <n v="0"/>
    <n v="0"/>
    <n v="8091"/>
    <n v="0"/>
    <n v="0"/>
    <n v="20541"/>
  </r>
  <r>
    <x v="98"/>
    <x v="98"/>
    <x v="3"/>
    <x v="0"/>
    <x v="0"/>
    <x v="0"/>
    <x v="0"/>
    <x v="0"/>
    <x v="0"/>
    <x v="0"/>
    <x v="0"/>
    <x v="0"/>
    <n v="1"/>
    <n v="0"/>
    <n v="0"/>
    <n v="0"/>
    <n v="0"/>
    <n v="0"/>
    <n v="109420"/>
    <n v="4.3269071612871821"/>
    <n v="0"/>
    <n v="0"/>
    <n v="-1170"/>
    <n v="-1.1446051167964399"/>
    <n v="0"/>
    <n v="109420"/>
  </r>
  <r>
    <x v="98"/>
    <x v="98"/>
    <x v="4"/>
    <x v="0"/>
    <x v="0"/>
    <x v="0"/>
    <x v="0"/>
    <x v="0"/>
    <x v="0"/>
    <x v="0"/>
    <x v="0"/>
    <x v="0"/>
    <n v="1"/>
    <n v="0"/>
    <n v="0"/>
    <n v="0"/>
    <n v="0"/>
    <n v="0"/>
    <n v="87472"/>
    <n v="-0.2005849022116615"/>
    <n v="0"/>
    <n v="0"/>
    <n v="-8800"/>
    <n v="6.5213675213675213"/>
    <n v="0"/>
    <n v="87472"/>
  </r>
  <r>
    <x v="98"/>
    <x v="98"/>
    <x v="5"/>
    <x v="0"/>
    <x v="0"/>
    <x v="0"/>
    <x v="0"/>
    <x v="0"/>
    <x v="0"/>
    <x v="0"/>
    <x v="0"/>
    <x v="0"/>
    <n v="1"/>
    <n v="0"/>
    <n v="0"/>
    <n v="0"/>
    <n v="0"/>
    <n v="0"/>
    <n v="124520"/>
    <n v="0.4235412474849094"/>
    <n v="0"/>
    <n v="0"/>
    <n v="4937"/>
    <n v="-1.5610227272727271"/>
    <n v="0"/>
    <n v="124520"/>
  </r>
  <r>
    <x v="99"/>
    <x v="99"/>
    <x v="0"/>
    <x v="0"/>
    <x v="0"/>
    <x v="1"/>
    <x v="0"/>
    <x v="0"/>
    <x v="0"/>
    <x v="0"/>
    <x v="0"/>
    <x v="0"/>
    <n v="10"/>
    <n v="0"/>
    <n v="2052"/>
    <n v="0"/>
    <n v="246240"/>
    <n v="0"/>
    <n v="338919"/>
    <n v="0"/>
    <n v="96194"/>
    <n v="0"/>
    <n v="-3515"/>
    <n v="0"/>
    <n v="105883.2"/>
    <n v="348608.2"/>
  </r>
  <r>
    <x v="99"/>
    <x v="99"/>
    <x v="1"/>
    <x v="0"/>
    <x v="0"/>
    <x v="1"/>
    <x v="0"/>
    <x v="0"/>
    <x v="0"/>
    <x v="0"/>
    <x v="0"/>
    <x v="0"/>
    <n v="10"/>
    <n v="0"/>
    <n v="2182"/>
    <n v="6.3352826510721272E-2"/>
    <n v="261840"/>
    <n v="6.3352826510721272E-2"/>
    <n v="514461"/>
    <n v="0.51794676604144363"/>
    <n v="160132"/>
    <n v="0.66467763062145258"/>
    <n v="92489"/>
    <n v="-27.3126600284495"/>
    <n v="112591.2"/>
    <n v="466920.2"/>
  </r>
  <r>
    <x v="99"/>
    <x v="99"/>
    <x v="2"/>
    <x v="0"/>
    <x v="0"/>
    <x v="1"/>
    <x v="0"/>
    <x v="0"/>
    <x v="0"/>
    <x v="0"/>
    <x v="0"/>
    <x v="0"/>
    <n v="17"/>
    <n v="0.7"/>
    <n v="2301"/>
    <n v="5.4537121906507828E-2"/>
    <n v="469404"/>
    <n v="0.79271310724106314"/>
    <n v="747732"/>
    <n v="0.45342795663811247"/>
    <n v="234089"/>
    <n v="0.46185022356555838"/>
    <n v="44239"/>
    <n v="-0.52168365967844821"/>
    <n v="201843.72"/>
    <n v="715486.71999999997"/>
  </r>
  <r>
    <x v="99"/>
    <x v="99"/>
    <x v="3"/>
    <x v="0"/>
    <x v="0"/>
    <x v="1"/>
    <x v="0"/>
    <x v="0"/>
    <x v="0"/>
    <x v="0"/>
    <x v="0"/>
    <x v="0"/>
    <n v="21"/>
    <n v="0.23529411764705888"/>
    <n v="2659"/>
    <n v="0.1555845284658843"/>
    <n v="670068"/>
    <n v="0.4274867704578571"/>
    <n v="966637"/>
    <n v="0.29275863544692488"/>
    <n v="327694"/>
    <n v="0.39986928048733605"/>
    <n v="-31125"/>
    <n v="-1.7035647279549719"/>
    <n v="288129.24"/>
    <n v="927072.24"/>
  </r>
  <r>
    <x v="99"/>
    <x v="99"/>
    <x v="4"/>
    <x v="0"/>
    <x v="0"/>
    <x v="1"/>
    <x v="0"/>
    <x v="0"/>
    <x v="0"/>
    <x v="0"/>
    <x v="0"/>
    <x v="0"/>
    <n v="22"/>
    <n v="4.7619047619047672E-2"/>
    <n v="2964"/>
    <n v="0.114704776231666"/>
    <n v="782496"/>
    <n v="0.16778595605222146"/>
    <n v="1097125"/>
    <n v="0.13499172905651241"/>
    <n v="305611"/>
    <n v="-6.7389088600950942E-2"/>
    <n v="9018"/>
    <n v="-1.2897349397590361"/>
    <n v="336473.27999999997"/>
    <n v="1127987.28"/>
  </r>
  <r>
    <x v="99"/>
    <x v="99"/>
    <x v="5"/>
    <x v="0"/>
    <x v="0"/>
    <x v="1"/>
    <x v="0"/>
    <x v="0"/>
    <x v="0"/>
    <x v="0"/>
    <x v="0"/>
    <x v="0"/>
    <n v="23"/>
    <n v="4.5454545454545414E-2"/>
    <n v="3336"/>
    <n v="0.12550607287449389"/>
    <n v="920736"/>
    <n v="0.17666543982333449"/>
    <n v="1247022"/>
    <n v="0.13662709353993391"/>
    <n v="215072"/>
    <n v="-0.29625569760250781"/>
    <n v="111214"/>
    <n v="11.332446218673759"/>
    <n v="395916.48"/>
    <n v="1427866.48"/>
  </r>
  <r>
    <x v="100"/>
    <x v="100"/>
    <x v="0"/>
    <x v="0"/>
    <x v="0"/>
    <x v="0"/>
    <x v="1"/>
    <x v="0"/>
    <x v="1"/>
    <x v="0"/>
    <x v="0"/>
    <x v="0"/>
    <n v="17"/>
    <n v="0"/>
    <n v="972"/>
    <n v="0"/>
    <n v="198288"/>
    <n v="0"/>
    <n v="1140388"/>
    <n v="0"/>
    <n v="841767"/>
    <n v="0"/>
    <n v="100333"/>
    <n v="0"/>
    <n v="85263.84"/>
    <n v="383884.83999999997"/>
  </r>
  <r>
    <x v="100"/>
    <x v="100"/>
    <x v="1"/>
    <x v="0"/>
    <x v="0"/>
    <x v="0"/>
    <x v="1"/>
    <x v="0"/>
    <x v="1"/>
    <x v="0"/>
    <x v="0"/>
    <x v="0"/>
    <n v="20"/>
    <n v="0.17647058823529416"/>
    <n v="1273"/>
    <n v="0.30967078189300401"/>
    <n v="305520"/>
    <n v="0.54078915516824022"/>
    <n v="1946452"/>
    <n v="0.70683311294050788"/>
    <n v="1517334"/>
    <n v="0.80255819009298301"/>
    <n v="123598"/>
    <n v="0.23187784677025511"/>
    <n v="131373.6"/>
    <n v="560491.6"/>
  </r>
  <r>
    <x v="100"/>
    <x v="100"/>
    <x v="2"/>
    <x v="0"/>
    <x v="0"/>
    <x v="0"/>
    <x v="1"/>
    <x v="0"/>
    <x v="1"/>
    <x v="0"/>
    <x v="0"/>
    <x v="0"/>
    <n v="21"/>
    <n v="5.0000000000000044E-2"/>
    <n v="1535"/>
    <n v="0.20581304006284371"/>
    <n v="386820"/>
    <n v="0.26610369206598583"/>
    <n v="6988301"/>
    <n v="2.5902765647444679"/>
    <n v="6458179"/>
    <n v="3.2562672424133385"/>
    <n v="143302"/>
    <n v="0.15942005534070119"/>
    <n v="166332.6"/>
    <n v="696454.6"/>
  </r>
  <r>
    <x v="100"/>
    <x v="100"/>
    <x v="3"/>
    <x v="0"/>
    <x v="0"/>
    <x v="0"/>
    <x v="1"/>
    <x v="0"/>
    <x v="1"/>
    <x v="0"/>
    <x v="0"/>
    <x v="0"/>
    <n v="30"/>
    <n v="0.4285714285714286"/>
    <n v="1938"/>
    <n v="0.26254071661237788"/>
    <n v="697680"/>
    <n v="0.80362959516053989"/>
    <n v="7033233"/>
    <n v="6.4296028462424992E-3"/>
    <n v="6420840"/>
    <n v="-5.7816607436864675E-3"/>
    <n v="-85287"/>
    <n v="-1.5951556851962989"/>
    <n v="300002.40000000002"/>
    <n v="912395.4"/>
  </r>
  <r>
    <x v="100"/>
    <x v="100"/>
    <x v="4"/>
    <x v="0"/>
    <x v="0"/>
    <x v="0"/>
    <x v="1"/>
    <x v="0"/>
    <x v="1"/>
    <x v="0"/>
    <x v="0"/>
    <x v="0"/>
    <n v="35"/>
    <n v="0.16666666666666674"/>
    <n v="2374"/>
    <n v="0.22497420020639841"/>
    <n v="997080"/>
    <n v="0.42913656690746471"/>
    <n v="8766185"/>
    <n v="0.24639479454185589"/>
    <n v="7719153"/>
    <n v="0.20220298278729887"/>
    <n v="49952"/>
    <n v="-1.5856930130031539"/>
    <n v="428744.39999999997"/>
    <n v="1475776.4"/>
  </r>
  <r>
    <x v="100"/>
    <x v="100"/>
    <x v="5"/>
    <x v="0"/>
    <x v="0"/>
    <x v="0"/>
    <x v="1"/>
    <x v="0"/>
    <x v="1"/>
    <x v="0"/>
    <x v="0"/>
    <x v="0"/>
    <n v="36"/>
    <n v="2.857142857142847E-2"/>
    <n v="2497"/>
    <n v="5.1811288963774287E-2"/>
    <n v="1078704"/>
    <n v="8.1863040077024829E-2"/>
    <n v="11931673"/>
    <n v="0.36110212139031977"/>
    <n v="11235900"/>
    <n v="0.45558716092296647"/>
    <n v="-382931"/>
    <n v="-8.6659793401665599"/>
    <n v="463842.72"/>
    <n v="1159615.72"/>
  </r>
  <r>
    <x v="101"/>
    <x v="101"/>
    <x v="0"/>
    <x v="0"/>
    <x v="0"/>
    <x v="0"/>
    <x v="0"/>
    <x v="1"/>
    <x v="0"/>
    <x v="0"/>
    <x v="1"/>
    <x v="0"/>
    <n v="14"/>
    <n v="0"/>
    <n v="1019"/>
    <n v="0"/>
    <n v="171192"/>
    <n v="0"/>
    <n v="542303"/>
    <n v="0"/>
    <n v="366930"/>
    <n v="0"/>
    <n v="4181"/>
    <n v="0"/>
    <n v="73612.56"/>
    <n v="248985.56"/>
  </r>
  <r>
    <x v="101"/>
    <x v="101"/>
    <x v="1"/>
    <x v="0"/>
    <x v="0"/>
    <x v="0"/>
    <x v="0"/>
    <x v="1"/>
    <x v="0"/>
    <x v="0"/>
    <x v="1"/>
    <x v="0"/>
    <n v="16"/>
    <n v="0.14285714285714279"/>
    <n v="974"/>
    <n v="-0.04"/>
    <n v="187008"/>
    <n v="9.2387494742744991E-2"/>
    <n v="658028"/>
    <n v="0.21"/>
    <n v="379764"/>
    <n v="3.4976698552857455E-2"/>
    <n v="91256"/>
    <n v="20.83"/>
    <n v="80413.440000000002"/>
    <n v="358677.44"/>
  </r>
  <r>
    <x v="101"/>
    <x v="101"/>
    <x v="2"/>
    <x v="0"/>
    <x v="0"/>
    <x v="0"/>
    <x v="0"/>
    <x v="1"/>
    <x v="0"/>
    <x v="0"/>
    <x v="1"/>
    <x v="0"/>
    <n v="16"/>
    <n v="0"/>
    <n v="1437"/>
    <n v="0.48"/>
    <n v="275904"/>
    <n v="0.47535934291581117"/>
    <n v="752783"/>
    <n v="0.14000000000000001"/>
    <n v="427656"/>
    <n v="0.12610989983252763"/>
    <n v="49223"/>
    <n v="-0.46"/>
    <n v="118638.72"/>
    <n v="443765.72"/>
  </r>
  <r>
    <x v="101"/>
    <x v="101"/>
    <x v="3"/>
    <x v="0"/>
    <x v="0"/>
    <x v="0"/>
    <x v="0"/>
    <x v="1"/>
    <x v="0"/>
    <x v="0"/>
    <x v="1"/>
    <x v="0"/>
    <n v="13"/>
    <n v="-0.1875"/>
    <n v="1826"/>
    <n v="0.27"/>
    <n v="284856"/>
    <n v="3.2446068197633959E-2"/>
    <n v="684723"/>
    <n v="-0.09"/>
    <n v="369811"/>
    <n v="-0.13526058327253676"/>
    <n v="30056"/>
    <n v="-0.39"/>
    <n v="122488.08"/>
    <n v="437400.08"/>
  </r>
  <r>
    <x v="101"/>
    <x v="101"/>
    <x v="4"/>
    <x v="0"/>
    <x v="0"/>
    <x v="0"/>
    <x v="0"/>
    <x v="1"/>
    <x v="0"/>
    <x v="0"/>
    <x v="1"/>
    <x v="0"/>
    <n v="11"/>
    <n v="-0.15384615384615385"/>
    <n v="2196"/>
    <n v="0.2"/>
    <n v="289872"/>
    <n v="1.7608897126969447E-2"/>
    <n v="670301"/>
    <n v="-0.02"/>
    <n v="360868"/>
    <n v="-2.4182623015540416E-2"/>
    <n v="19561"/>
    <n v="-0.35"/>
    <n v="124644.95999999999"/>
    <n v="434077.95999999996"/>
  </r>
  <r>
    <x v="101"/>
    <x v="101"/>
    <x v="5"/>
    <x v="0"/>
    <x v="0"/>
    <x v="0"/>
    <x v="0"/>
    <x v="1"/>
    <x v="0"/>
    <x v="0"/>
    <x v="1"/>
    <x v="0"/>
    <n v="8"/>
    <n v="-0.27272727272727271"/>
    <n v="2276"/>
    <n v="0.04"/>
    <n v="218496"/>
    <n v="-0.24623282000331181"/>
    <n v="808733"/>
    <n v="0.21"/>
    <n v="568793"/>
    <n v="0.57618020993826002"/>
    <n v="21444"/>
    <n v="0.1"/>
    <n v="93953.279999999999"/>
    <n v="333893.28000000003"/>
  </r>
  <r>
    <x v="102"/>
    <x v="102"/>
    <x v="1"/>
    <x v="0"/>
    <x v="0"/>
    <x v="0"/>
    <x v="0"/>
    <x v="1"/>
    <x v="0"/>
    <x v="0"/>
    <x v="1"/>
    <x v="0"/>
    <n v="3"/>
    <n v="-0.625"/>
    <n v="0"/>
    <n v="0"/>
    <n v="0"/>
    <n v="-1"/>
    <n v="312761"/>
    <n v="0"/>
    <n v="0"/>
    <n v="-1"/>
    <n v="15166"/>
    <n v="0"/>
    <n v="0"/>
    <n v="312761"/>
  </r>
  <r>
    <x v="102"/>
    <x v="102"/>
    <x v="2"/>
    <x v="0"/>
    <x v="0"/>
    <x v="0"/>
    <x v="0"/>
    <x v="1"/>
    <x v="0"/>
    <x v="0"/>
    <x v="1"/>
    <x v="0"/>
    <n v="6"/>
    <n v="1"/>
    <n v="0"/>
    <n v="0"/>
    <n v="0"/>
    <n v="0"/>
    <n v="762774"/>
    <n v="21.942870114880051"/>
    <n v="0"/>
    <n v="0"/>
    <n v="-22892"/>
    <n v="29.915205063958854"/>
    <n v="0"/>
    <n v="762774"/>
  </r>
  <r>
    <x v="102"/>
    <x v="102"/>
    <x v="3"/>
    <x v="0"/>
    <x v="0"/>
    <x v="0"/>
    <x v="0"/>
    <x v="1"/>
    <x v="0"/>
    <x v="0"/>
    <x v="1"/>
    <x v="0"/>
    <n v="5"/>
    <n v="-0.16666666666666663"/>
    <n v="3500"/>
    <n v="0"/>
    <n v="210000"/>
    <n v="0"/>
    <n v="1178640"/>
    <n v="13.989576204747408"/>
    <n v="940979"/>
    <n v="0"/>
    <n v="27661"/>
    <n v="-26.660449065175609"/>
    <n v="90300"/>
    <n v="327961"/>
  </r>
  <r>
    <x v="102"/>
    <x v="102"/>
    <x v="4"/>
    <x v="0"/>
    <x v="0"/>
    <x v="0"/>
    <x v="0"/>
    <x v="1"/>
    <x v="0"/>
    <x v="0"/>
    <x v="1"/>
    <x v="0"/>
    <n v="3"/>
    <n v="-0.4"/>
    <n v="3435"/>
    <n v="-5.514285714285716E-2"/>
    <n v="123660"/>
    <n v="-0.41114285714285714"/>
    <n v="1337678"/>
    <n v="15.75298479603611"/>
    <n v="1141604"/>
    <n v="0.21320879637058843"/>
    <n v="72414"/>
    <n v="11.485918802646324"/>
    <n v="53173.799999999996"/>
    <n v="249247.8"/>
  </r>
  <r>
    <x v="102"/>
    <x v="102"/>
    <x v="5"/>
    <x v="0"/>
    <x v="0"/>
    <x v="0"/>
    <x v="0"/>
    <x v="1"/>
    <x v="0"/>
    <x v="0"/>
    <x v="1"/>
    <x v="0"/>
    <n v="2"/>
    <n v="-0.33333333333333337"/>
    <n v="0"/>
    <n v="0"/>
    <n v="0"/>
    <n v="-1"/>
    <n v="844981"/>
    <n v="7.6169556500144289"/>
    <n v="0"/>
    <n v="-1"/>
    <n v="38886"/>
    <n v="0.31691385643660075"/>
    <n v="0"/>
    <n v="844981"/>
  </r>
  <r>
    <x v="103"/>
    <x v="103"/>
    <x v="1"/>
    <x v="0"/>
    <x v="0"/>
    <x v="0"/>
    <x v="0"/>
    <x v="0"/>
    <x v="1"/>
    <x v="0"/>
    <x v="1"/>
    <x v="0"/>
    <n v="7"/>
    <n v="0"/>
    <n v="0"/>
    <n v="0"/>
    <n v="0"/>
    <n v="0"/>
    <n v="536042"/>
    <n v="0"/>
    <n v="0"/>
    <n v="0"/>
    <n v="98117"/>
    <n v="0"/>
    <n v="0"/>
    <n v="536042"/>
  </r>
  <r>
    <x v="103"/>
    <x v="103"/>
    <x v="2"/>
    <x v="0"/>
    <x v="0"/>
    <x v="0"/>
    <x v="0"/>
    <x v="0"/>
    <x v="1"/>
    <x v="0"/>
    <x v="1"/>
    <x v="0"/>
    <n v="8"/>
    <n v="0.14285714285714279"/>
    <n v="0"/>
    <n v="0"/>
    <n v="0"/>
    <n v="0"/>
    <n v="677713"/>
    <n v="0.26429085780591821"/>
    <n v="0"/>
    <n v="0"/>
    <n v="96906"/>
    <n v="-1.234240753386262E-2"/>
    <n v="0"/>
    <n v="677713"/>
  </r>
  <r>
    <x v="103"/>
    <x v="103"/>
    <x v="3"/>
    <x v="0"/>
    <x v="0"/>
    <x v="0"/>
    <x v="0"/>
    <x v="0"/>
    <x v="1"/>
    <x v="0"/>
    <x v="1"/>
    <x v="0"/>
    <n v="10"/>
    <n v="0.25"/>
    <n v="0"/>
    <n v="0"/>
    <n v="0"/>
    <n v="0"/>
    <n v="648818"/>
    <n v="-4.263604210041716E-2"/>
    <n v="0"/>
    <n v="0"/>
    <n v="-44496"/>
    <n v="-1.4591666150702742"/>
    <n v="0"/>
    <n v="648818"/>
  </r>
  <r>
    <x v="103"/>
    <x v="103"/>
    <x v="4"/>
    <x v="0"/>
    <x v="0"/>
    <x v="0"/>
    <x v="0"/>
    <x v="0"/>
    <x v="1"/>
    <x v="0"/>
    <x v="1"/>
    <x v="0"/>
    <n v="9"/>
    <n v="-9.9999999999999978E-2"/>
    <n v="2750"/>
    <n v="0"/>
    <n v="297000"/>
    <n v="0"/>
    <n v="764293"/>
    <n v="0.17797749137662633"/>
    <n v="484799"/>
    <n v="0"/>
    <n v="-17506"/>
    <n v="-0.60657137720244514"/>
    <n v="127710"/>
    <n v="407204"/>
  </r>
  <r>
    <x v="103"/>
    <x v="103"/>
    <x v="5"/>
    <x v="0"/>
    <x v="0"/>
    <x v="0"/>
    <x v="0"/>
    <x v="0"/>
    <x v="1"/>
    <x v="0"/>
    <x v="1"/>
    <x v="0"/>
    <n v="9"/>
    <n v="0"/>
    <n v="2850"/>
    <n v="3.6363636363636376E-2"/>
    <n v="307800"/>
    <n v="3.6363636363636376E-2"/>
    <n v="671087"/>
    <n v="-0.12195061318107059"/>
    <n v="374019"/>
    <n v="-0.22850707200303633"/>
    <n v="-10732"/>
    <n v="-0.3869530446703987"/>
    <n v="132354"/>
    <n v="429422"/>
  </r>
  <r>
    <x v="104"/>
    <x v="104"/>
    <x v="1"/>
    <x v="0"/>
    <x v="0"/>
    <x v="0"/>
    <x v="0"/>
    <x v="0"/>
    <x v="1"/>
    <x v="0"/>
    <x v="1"/>
    <x v="0"/>
    <n v="9"/>
    <n v="0"/>
    <n v="0"/>
    <n v="0"/>
    <n v="0"/>
    <n v="-1"/>
    <n v="617121"/>
    <n v="0"/>
    <n v="0"/>
    <n v="-1"/>
    <n v="-28657"/>
    <n v="0"/>
    <n v="0"/>
    <n v="617121"/>
  </r>
  <r>
    <x v="104"/>
    <x v="104"/>
    <x v="2"/>
    <x v="0"/>
    <x v="0"/>
    <x v="0"/>
    <x v="0"/>
    <x v="0"/>
    <x v="1"/>
    <x v="0"/>
    <x v="1"/>
    <x v="0"/>
    <n v="9"/>
    <n v="0"/>
    <n v="0"/>
    <n v="0"/>
    <n v="0"/>
    <n v="0"/>
    <n v="662748"/>
    <n v="7.3935257429256218E-2"/>
    <n v="0"/>
    <n v="0"/>
    <n v="30759"/>
    <n v="2.07335031580417"/>
    <n v="0"/>
    <n v="662748"/>
  </r>
  <r>
    <x v="104"/>
    <x v="104"/>
    <x v="3"/>
    <x v="0"/>
    <x v="0"/>
    <x v="0"/>
    <x v="0"/>
    <x v="0"/>
    <x v="1"/>
    <x v="0"/>
    <x v="1"/>
    <x v="0"/>
    <n v="10"/>
    <n v="0.11111111111111116"/>
    <n v="0"/>
    <n v="0"/>
    <n v="0"/>
    <n v="0"/>
    <n v="566996"/>
    <n v="-0.14447723720026318"/>
    <n v="0"/>
    <n v="0"/>
    <n v="10453"/>
    <n v="-0.66016450469781196"/>
    <n v="0"/>
    <n v="566996"/>
  </r>
  <r>
    <x v="104"/>
    <x v="104"/>
    <x v="4"/>
    <x v="0"/>
    <x v="0"/>
    <x v="0"/>
    <x v="0"/>
    <x v="0"/>
    <x v="1"/>
    <x v="0"/>
    <x v="1"/>
    <x v="0"/>
    <n v="8"/>
    <n v="-0.19999999999999996"/>
    <n v="2100"/>
    <n v="0"/>
    <n v="201600"/>
    <n v="0"/>
    <n v="516376"/>
    <n v="-8.9277525767377575E-2"/>
    <n v="359258"/>
    <n v="0"/>
    <n v="-44482"/>
    <n v="-5.2554290634267673"/>
    <n v="86688"/>
    <n v="243806"/>
  </r>
  <r>
    <x v="104"/>
    <x v="104"/>
    <x v="5"/>
    <x v="0"/>
    <x v="0"/>
    <x v="0"/>
    <x v="0"/>
    <x v="0"/>
    <x v="1"/>
    <x v="0"/>
    <x v="1"/>
    <x v="0"/>
    <n v="6"/>
    <n v="-0.25"/>
    <n v="2450"/>
    <n v="0.16666666666666674"/>
    <n v="176400"/>
    <n v="-0.125"/>
    <n v="568422"/>
    <n v="0.10079089655599804"/>
    <n v="435999"/>
    <n v="0.21360971780725824"/>
    <n v="-43977"/>
    <n v="-1.1352906793759221E-2"/>
    <n v="75852"/>
    <n v="208275"/>
  </r>
  <r>
    <x v="105"/>
    <x v="105"/>
    <x v="1"/>
    <x v="0"/>
    <x v="0"/>
    <x v="0"/>
    <x v="0"/>
    <x v="0"/>
    <x v="1"/>
    <x v="0"/>
    <x v="1"/>
    <x v="0"/>
    <n v="14"/>
    <n v="0"/>
    <n v="0"/>
    <n v="0"/>
    <n v="0"/>
    <n v="0"/>
    <n v="418885"/>
    <n v="0"/>
    <n v="0"/>
    <n v="0"/>
    <n v="57212"/>
    <n v="0"/>
    <n v="0"/>
    <n v="418885"/>
  </r>
  <r>
    <x v="105"/>
    <x v="105"/>
    <x v="2"/>
    <x v="0"/>
    <x v="0"/>
    <x v="0"/>
    <x v="0"/>
    <x v="0"/>
    <x v="1"/>
    <x v="0"/>
    <x v="1"/>
    <x v="0"/>
    <n v="14"/>
    <n v="0"/>
    <n v="0"/>
    <n v="0"/>
    <n v="0"/>
    <n v="0"/>
    <n v="399199"/>
    <n v="-4.6996192272342086E-2"/>
    <n v="0"/>
    <n v="0"/>
    <n v="-14547"/>
    <n v="-1.2542648395441516"/>
    <n v="0"/>
    <n v="399199"/>
  </r>
  <r>
    <x v="105"/>
    <x v="105"/>
    <x v="3"/>
    <x v="0"/>
    <x v="0"/>
    <x v="0"/>
    <x v="0"/>
    <x v="0"/>
    <x v="1"/>
    <x v="0"/>
    <x v="1"/>
    <x v="0"/>
    <n v="14"/>
    <n v="0"/>
    <n v="0"/>
    <n v="0"/>
    <n v="0"/>
    <n v="0"/>
    <n v="468548"/>
    <n v="0.17372037505103965"/>
    <n v="0"/>
    <n v="0"/>
    <n v="-14679"/>
    <n v="9.0740358836873813E-3"/>
    <n v="0"/>
    <n v="468548"/>
  </r>
  <r>
    <x v="105"/>
    <x v="105"/>
    <x v="4"/>
    <x v="0"/>
    <x v="0"/>
    <x v="0"/>
    <x v="0"/>
    <x v="0"/>
    <x v="1"/>
    <x v="0"/>
    <x v="1"/>
    <x v="0"/>
    <n v="11"/>
    <n v="-0.2142857142857143"/>
    <n v="2450"/>
    <n v="0"/>
    <n v="323400"/>
    <n v="0"/>
    <n v="434990"/>
    <n v="-7.1621263990028772E-2"/>
    <n v="132784"/>
    <n v="0"/>
    <n v="-21194"/>
    <n v="0.44383132365964983"/>
    <n v="139062"/>
    <n v="441268"/>
  </r>
  <r>
    <x v="105"/>
    <x v="105"/>
    <x v="5"/>
    <x v="0"/>
    <x v="0"/>
    <x v="0"/>
    <x v="0"/>
    <x v="0"/>
    <x v="1"/>
    <x v="0"/>
    <x v="1"/>
    <x v="0"/>
    <n v="10"/>
    <n v="-9.0909090909090939E-2"/>
    <n v="3200"/>
    <n v="0.30612244897959173"/>
    <n v="384000"/>
    <n v="0.18738404452690172"/>
    <n v="415142"/>
    <n v="-4.5628635141037766E-2"/>
    <n v="45909"/>
    <n v="-0.6542580431377274"/>
    <n v="-14767"/>
    <n v="-0.30324620175521377"/>
    <n v="165120"/>
    <n v="534353"/>
  </r>
  <r>
    <x v="106"/>
    <x v="106"/>
    <x v="1"/>
    <x v="0"/>
    <x v="0"/>
    <x v="0"/>
    <x v="0"/>
    <x v="0"/>
    <x v="1"/>
    <x v="0"/>
    <x v="1"/>
    <x v="0"/>
    <n v="2"/>
    <n v="0"/>
    <n v="700"/>
    <n v="0"/>
    <n v="16800"/>
    <n v="-0.95625000000000004"/>
    <n v="167284"/>
    <n v="0"/>
    <n v="41771"/>
    <n v="-9.0134831950162253E-2"/>
    <n v="108713"/>
    <n v="0"/>
    <n v="7224"/>
    <n v="132737"/>
  </r>
  <r>
    <x v="106"/>
    <x v="106"/>
    <x v="2"/>
    <x v="0"/>
    <x v="0"/>
    <x v="0"/>
    <x v="0"/>
    <x v="0"/>
    <x v="1"/>
    <x v="0"/>
    <x v="1"/>
    <x v="0"/>
    <n v="2"/>
    <n v="0"/>
    <n v="700"/>
    <n v="0"/>
    <n v="16800"/>
    <n v="0"/>
    <n v="188202"/>
    <n v="0.12504483393510446"/>
    <n v="44817"/>
    <n v="7.2921404802374745E-2"/>
    <n v="126585"/>
    <n v="0.16439616237248544"/>
    <n v="7224"/>
    <n v="150609"/>
  </r>
  <r>
    <x v="106"/>
    <x v="106"/>
    <x v="3"/>
    <x v="0"/>
    <x v="0"/>
    <x v="0"/>
    <x v="0"/>
    <x v="0"/>
    <x v="1"/>
    <x v="0"/>
    <x v="1"/>
    <x v="0"/>
    <n v="2"/>
    <n v="0"/>
    <n v="700"/>
    <n v="0"/>
    <n v="16800"/>
    <n v="0"/>
    <n v="154432"/>
    <n v="-0.17943486254131202"/>
    <n v="53152"/>
    <n v="0.1859785349309413"/>
    <n v="84480"/>
    <n v="-0.33262234861950468"/>
    <n v="7224"/>
    <n v="108504"/>
  </r>
  <r>
    <x v="106"/>
    <x v="106"/>
    <x v="4"/>
    <x v="0"/>
    <x v="0"/>
    <x v="0"/>
    <x v="0"/>
    <x v="0"/>
    <x v="1"/>
    <x v="0"/>
    <x v="1"/>
    <x v="0"/>
    <n v="2"/>
    <n v="0"/>
    <n v="700"/>
    <n v="0"/>
    <n v="16800"/>
    <n v="0"/>
    <n v="204198"/>
    <n v="0.32225186489846669"/>
    <n v="66817"/>
    <n v="0.25709286574352808"/>
    <n v="120581"/>
    <n v="0.4273319128787878"/>
    <n v="7224"/>
    <n v="144605"/>
  </r>
  <r>
    <x v="106"/>
    <x v="106"/>
    <x v="5"/>
    <x v="0"/>
    <x v="0"/>
    <x v="0"/>
    <x v="0"/>
    <x v="0"/>
    <x v="1"/>
    <x v="0"/>
    <x v="1"/>
    <x v="0"/>
    <n v="2"/>
    <n v="0"/>
    <n v="700"/>
    <n v="0"/>
    <n v="16800"/>
    <n v="0"/>
    <n v="220696"/>
    <n v="8.0794131186397555E-2"/>
    <n v="70415"/>
    <n v="5.3848571471332152E-2"/>
    <n v="133481"/>
    <n v="0.10698202867781825"/>
    <n v="7224"/>
    <n v="157505"/>
  </r>
  <r>
    <x v="107"/>
    <x v="107"/>
    <x v="1"/>
    <x v="0"/>
    <x v="0"/>
    <x v="0"/>
    <x v="0"/>
    <x v="0"/>
    <x v="1"/>
    <x v="0"/>
    <x v="1"/>
    <x v="0"/>
    <n v="0"/>
    <n v="-1"/>
    <n v="0"/>
    <n v="0"/>
    <n v="0"/>
    <n v="-1"/>
    <n v="68621"/>
    <n v="0"/>
    <n v="0"/>
    <n v="-1"/>
    <n v="20617"/>
    <n v="0"/>
    <n v="0"/>
    <n v="68621"/>
  </r>
  <r>
    <x v="107"/>
    <x v="107"/>
    <x v="2"/>
    <x v="0"/>
    <x v="0"/>
    <x v="0"/>
    <x v="0"/>
    <x v="0"/>
    <x v="1"/>
    <x v="0"/>
    <x v="1"/>
    <x v="0"/>
    <n v="0"/>
    <n v="0"/>
    <n v="0"/>
    <n v="0"/>
    <n v="0"/>
    <n v="0"/>
    <n v="212369"/>
    <n v="2.094810626484604"/>
    <n v="0"/>
    <n v="0"/>
    <n v="27768"/>
    <n v="0.34684968715137998"/>
    <n v="0"/>
    <n v="212369"/>
  </r>
  <r>
    <x v="107"/>
    <x v="107"/>
    <x v="3"/>
    <x v="0"/>
    <x v="0"/>
    <x v="0"/>
    <x v="0"/>
    <x v="0"/>
    <x v="1"/>
    <x v="0"/>
    <x v="1"/>
    <x v="0"/>
    <n v="0"/>
    <n v="0"/>
    <n v="0"/>
    <n v="0"/>
    <n v="0"/>
    <n v="0"/>
    <n v="335052"/>
    <n v="0.57768789230066542"/>
    <n v="0"/>
    <n v="0"/>
    <n v="53306"/>
    <n v="0.91969173148948435"/>
    <n v="0"/>
    <n v="335052"/>
  </r>
  <r>
    <x v="107"/>
    <x v="107"/>
    <x v="4"/>
    <x v="0"/>
    <x v="0"/>
    <x v="0"/>
    <x v="0"/>
    <x v="0"/>
    <x v="1"/>
    <x v="0"/>
    <x v="1"/>
    <x v="0"/>
    <n v="0"/>
    <n v="0"/>
    <n v="0"/>
    <n v="0"/>
    <n v="0"/>
    <n v="0"/>
    <n v="373656"/>
    <n v="0.11521793632033228"/>
    <n v="0"/>
    <n v="0"/>
    <n v="50120"/>
    <n v="-5.9768131167223237E-2"/>
    <n v="0"/>
    <n v="373656"/>
  </r>
  <r>
    <x v="107"/>
    <x v="107"/>
    <x v="5"/>
    <x v="0"/>
    <x v="0"/>
    <x v="0"/>
    <x v="0"/>
    <x v="0"/>
    <x v="1"/>
    <x v="0"/>
    <x v="1"/>
    <x v="0"/>
    <n v="0"/>
    <n v="0"/>
    <n v="0"/>
    <n v="0"/>
    <n v="0"/>
    <n v="0"/>
    <n v="390217"/>
    <n v="4.4321514976341847E-2"/>
    <n v="0"/>
    <n v="0"/>
    <n v="92018"/>
    <n v="0.83595371109337591"/>
    <n v="0"/>
    <n v="390217"/>
  </r>
  <r>
    <x v="108"/>
    <x v="108"/>
    <x v="1"/>
    <x v="0"/>
    <x v="0"/>
    <x v="0"/>
    <x v="0"/>
    <x v="0"/>
    <x v="1"/>
    <x v="0"/>
    <x v="1"/>
    <x v="0"/>
    <n v="3"/>
    <n v="0"/>
    <n v="800"/>
    <n v="0"/>
    <n v="28800"/>
    <n v="0"/>
    <n v="121041"/>
    <n v="0"/>
    <n v="80041"/>
    <n v="0"/>
    <n v="12200"/>
    <n v="0"/>
    <n v="12384"/>
    <n v="53384"/>
  </r>
  <r>
    <x v="108"/>
    <x v="108"/>
    <x v="2"/>
    <x v="0"/>
    <x v="0"/>
    <x v="0"/>
    <x v="0"/>
    <x v="0"/>
    <x v="1"/>
    <x v="0"/>
    <x v="1"/>
    <x v="0"/>
    <n v="2"/>
    <n v="-0.33333333333333337"/>
    <n v="1400"/>
    <n v="0.75"/>
    <n v="33600"/>
    <n v="0.16666666666666674"/>
    <n v="133934"/>
    <n v="0.10651762625887096"/>
    <n v="76977"/>
    <n v="-3.8280381304581446E-2"/>
    <n v="23357"/>
    <n v="0.91450819672131156"/>
    <n v="14448"/>
    <n v="71405"/>
  </r>
  <r>
    <x v="108"/>
    <x v="108"/>
    <x v="3"/>
    <x v="0"/>
    <x v="0"/>
    <x v="0"/>
    <x v="0"/>
    <x v="0"/>
    <x v="1"/>
    <x v="0"/>
    <x v="1"/>
    <x v="0"/>
    <n v="0"/>
    <n v="-1"/>
    <n v="0"/>
    <n v="0"/>
    <n v="0"/>
    <n v="-1"/>
    <n v="328212"/>
    <n v="1.4505502710290141"/>
    <n v="0"/>
    <n v="-1"/>
    <n v="80738"/>
    <n v="2.4566939247334845"/>
    <n v="0"/>
    <n v="328212"/>
  </r>
  <r>
    <x v="108"/>
    <x v="108"/>
    <x v="4"/>
    <x v="0"/>
    <x v="0"/>
    <x v="0"/>
    <x v="0"/>
    <x v="0"/>
    <x v="1"/>
    <x v="0"/>
    <x v="1"/>
    <x v="0"/>
    <n v="0"/>
    <n v="0"/>
    <n v="0"/>
    <n v="0"/>
    <n v="0"/>
    <n v="0"/>
    <n v="249885"/>
    <n v="-0.23864758144126352"/>
    <n v="0"/>
    <n v="0"/>
    <n v="272"/>
    <n v="-0.99663107830265796"/>
    <n v="0"/>
    <n v="249885"/>
  </r>
  <r>
    <x v="108"/>
    <x v="108"/>
    <x v="5"/>
    <x v="0"/>
    <x v="0"/>
    <x v="0"/>
    <x v="0"/>
    <x v="0"/>
    <x v="1"/>
    <x v="0"/>
    <x v="1"/>
    <x v="0"/>
    <n v="0"/>
    <n v="0"/>
    <n v="0"/>
    <n v="0"/>
    <n v="0"/>
    <n v="0"/>
    <n v="212585"/>
    <n v="-0.14926866358524926"/>
    <n v="0"/>
    <n v="0"/>
    <n v="27478"/>
    <n v="100.02205882352941"/>
    <n v="0"/>
    <n v="212585"/>
  </r>
  <r>
    <x v="109"/>
    <x v="109"/>
    <x v="1"/>
    <x v="0"/>
    <x v="0"/>
    <x v="0"/>
    <x v="0"/>
    <x v="0"/>
    <x v="1"/>
    <x v="0"/>
    <x v="1"/>
    <x v="0"/>
    <n v="0"/>
    <n v="0"/>
    <n v="0"/>
    <n v="0"/>
    <n v="0"/>
    <n v="0"/>
    <n v="115045"/>
    <n v="0"/>
    <n v="0"/>
    <n v="0"/>
    <n v="8039"/>
    <n v="0"/>
    <n v="0"/>
    <n v="115045"/>
  </r>
  <r>
    <x v="109"/>
    <x v="109"/>
    <x v="2"/>
    <x v="0"/>
    <x v="0"/>
    <x v="0"/>
    <x v="0"/>
    <x v="0"/>
    <x v="1"/>
    <x v="0"/>
    <x v="1"/>
    <x v="0"/>
    <n v="0"/>
    <n v="0"/>
    <n v="0"/>
    <n v="0"/>
    <n v="0"/>
    <n v="0"/>
    <n v="186316"/>
    <n v="0.61950541092615929"/>
    <n v="0"/>
    <n v="0"/>
    <n v="3076"/>
    <n v="-0.61736534394825227"/>
    <n v="0"/>
    <n v="186316"/>
  </r>
  <r>
    <x v="109"/>
    <x v="109"/>
    <x v="3"/>
    <x v="0"/>
    <x v="0"/>
    <x v="0"/>
    <x v="0"/>
    <x v="0"/>
    <x v="1"/>
    <x v="0"/>
    <x v="1"/>
    <x v="0"/>
    <n v="0"/>
    <n v="0"/>
    <n v="0"/>
    <n v="0"/>
    <n v="0"/>
    <n v="0"/>
    <n v="224635"/>
    <n v="0.20566671676077197"/>
    <n v="0"/>
    <n v="0"/>
    <n v="12731"/>
    <n v="3.138816644993498"/>
    <n v="0"/>
    <n v="224635"/>
  </r>
  <r>
    <x v="109"/>
    <x v="109"/>
    <x v="4"/>
    <x v="0"/>
    <x v="0"/>
    <x v="0"/>
    <x v="0"/>
    <x v="0"/>
    <x v="1"/>
    <x v="0"/>
    <x v="1"/>
    <x v="0"/>
    <n v="0"/>
    <n v="0"/>
    <n v="0"/>
    <n v="0"/>
    <n v="0"/>
    <n v="0"/>
    <n v="511114"/>
    <n v="1.2753088343312484"/>
    <n v="0"/>
    <n v="0"/>
    <n v="6299"/>
    <n v="-0.50522347026942116"/>
    <n v="0"/>
    <n v="511114"/>
  </r>
  <r>
    <x v="109"/>
    <x v="109"/>
    <x v="5"/>
    <x v="0"/>
    <x v="0"/>
    <x v="0"/>
    <x v="0"/>
    <x v="0"/>
    <x v="1"/>
    <x v="0"/>
    <x v="1"/>
    <x v="0"/>
    <n v="0"/>
    <n v="0"/>
    <n v="0"/>
    <n v="0"/>
    <n v="0"/>
    <n v="0"/>
    <n v="165035"/>
    <n v="-0.67710725982853148"/>
    <n v="0"/>
    <n v="0"/>
    <n v="2248"/>
    <n v="-0.64311795523098902"/>
    <n v="0"/>
    <n v="165035"/>
  </r>
  <r>
    <x v="110"/>
    <x v="110"/>
    <x v="1"/>
    <x v="0"/>
    <x v="0"/>
    <x v="0"/>
    <x v="0"/>
    <x v="0"/>
    <x v="1"/>
    <x v="0"/>
    <x v="1"/>
    <x v="0"/>
    <n v="1"/>
    <n v="0"/>
    <n v="0"/>
    <n v="0"/>
    <n v="0"/>
    <n v="0"/>
    <n v="6163"/>
    <n v="0"/>
    <n v="0"/>
    <n v="0"/>
    <n v="-7439"/>
    <n v="0"/>
    <n v="0"/>
    <n v="6163"/>
  </r>
  <r>
    <x v="110"/>
    <x v="110"/>
    <x v="2"/>
    <x v="0"/>
    <x v="0"/>
    <x v="0"/>
    <x v="0"/>
    <x v="0"/>
    <x v="1"/>
    <x v="0"/>
    <x v="1"/>
    <x v="0"/>
    <n v="1"/>
    <n v="0"/>
    <n v="0"/>
    <n v="0"/>
    <n v="0"/>
    <n v="0"/>
    <n v="0"/>
    <n v="0"/>
    <n v="0"/>
    <n v="0"/>
    <n v="778367"/>
    <n v="105.633284043554"/>
    <n v="0"/>
    <n v="0"/>
  </r>
  <r>
    <x v="110"/>
    <x v="110"/>
    <x v="3"/>
    <x v="0"/>
    <x v="0"/>
    <x v="0"/>
    <x v="0"/>
    <x v="0"/>
    <x v="1"/>
    <x v="0"/>
    <x v="1"/>
    <x v="0"/>
    <n v="1"/>
    <n v="0"/>
    <n v="0"/>
    <n v="0"/>
    <n v="0"/>
    <n v="0"/>
    <n v="0"/>
    <n v="0"/>
    <n v="0"/>
    <n v="0"/>
    <n v="970"/>
    <n v="-0.99875380122744151"/>
    <n v="0"/>
    <n v="0"/>
  </r>
  <r>
    <x v="110"/>
    <x v="110"/>
    <x v="4"/>
    <x v="0"/>
    <x v="0"/>
    <x v="0"/>
    <x v="0"/>
    <x v="0"/>
    <x v="1"/>
    <x v="0"/>
    <x v="1"/>
    <x v="0"/>
    <n v="1"/>
    <n v="0"/>
    <n v="0"/>
    <n v="0"/>
    <n v="0"/>
    <n v="0"/>
    <n v="0"/>
    <n v="0"/>
    <n v="0"/>
    <n v="0"/>
    <n v="8291"/>
    <n v="7.547422680412371"/>
    <n v="0"/>
    <n v="0"/>
  </r>
  <r>
    <x v="110"/>
    <x v="110"/>
    <x v="5"/>
    <x v="0"/>
    <x v="0"/>
    <x v="0"/>
    <x v="0"/>
    <x v="0"/>
    <x v="1"/>
    <x v="0"/>
    <x v="1"/>
    <x v="0"/>
    <n v="1"/>
    <n v="0"/>
    <n v="0"/>
    <n v="0"/>
    <n v="0"/>
    <n v="0"/>
    <n v="0"/>
    <n v="0"/>
    <n v="0"/>
    <n v="0"/>
    <n v="-1940"/>
    <n v="-1.2339886624050176"/>
    <n v="0"/>
    <n v="0"/>
  </r>
  <r>
    <x v="111"/>
    <x v="111"/>
    <x v="1"/>
    <x v="0"/>
    <x v="0"/>
    <x v="0"/>
    <x v="0"/>
    <x v="0"/>
    <x v="1"/>
    <x v="0"/>
    <x v="1"/>
    <x v="0"/>
    <n v="12"/>
    <n v="11"/>
    <n v="0"/>
    <n v="0"/>
    <n v="0"/>
    <n v="0"/>
    <n v="1101114"/>
    <n v="0"/>
    <n v="0"/>
    <n v="0"/>
    <n v="147777"/>
    <n v="0"/>
    <n v="0"/>
    <n v="1101114"/>
  </r>
  <r>
    <x v="111"/>
    <x v="111"/>
    <x v="2"/>
    <x v="0"/>
    <x v="0"/>
    <x v="0"/>
    <x v="0"/>
    <x v="0"/>
    <x v="1"/>
    <x v="0"/>
    <x v="1"/>
    <x v="0"/>
    <n v="13"/>
    <n v="8.3333333333333259E-2"/>
    <n v="0"/>
    <n v="0"/>
    <n v="0"/>
    <n v="0"/>
    <n v="1676343"/>
    <n v="0.52240639933739841"/>
    <n v="0"/>
    <n v="0"/>
    <n v="112474"/>
    <n v="-0.23889373853847351"/>
    <n v="0"/>
    <n v="1676343"/>
  </r>
  <r>
    <x v="111"/>
    <x v="111"/>
    <x v="3"/>
    <x v="0"/>
    <x v="0"/>
    <x v="0"/>
    <x v="0"/>
    <x v="0"/>
    <x v="1"/>
    <x v="0"/>
    <x v="1"/>
    <x v="0"/>
    <n v="11"/>
    <n v="-0.15384615384615385"/>
    <n v="0"/>
    <n v="0"/>
    <n v="0"/>
    <n v="0"/>
    <n v="2096869"/>
    <n v="0.25085916187796897"/>
    <n v="0"/>
    <n v="0"/>
    <n v="142133"/>
    <n v="0.26369649874637702"/>
    <n v="0"/>
    <n v="2096869"/>
  </r>
  <r>
    <x v="111"/>
    <x v="111"/>
    <x v="4"/>
    <x v="0"/>
    <x v="0"/>
    <x v="0"/>
    <x v="0"/>
    <x v="0"/>
    <x v="1"/>
    <x v="0"/>
    <x v="1"/>
    <x v="0"/>
    <n v="9"/>
    <n v="-0.18181818181818177"/>
    <n v="3450"/>
    <n v="0"/>
    <n v="372600"/>
    <n v="0"/>
    <n v="2316830"/>
    <n v="0.10489973384126516"/>
    <n v="1824343"/>
    <n v="0"/>
    <n v="119887"/>
    <n v="-0.15651537644319058"/>
    <n v="160218"/>
    <n v="652705"/>
  </r>
  <r>
    <x v="111"/>
    <x v="111"/>
    <x v="5"/>
    <x v="0"/>
    <x v="0"/>
    <x v="0"/>
    <x v="0"/>
    <x v="0"/>
    <x v="1"/>
    <x v="0"/>
    <x v="1"/>
    <x v="0"/>
    <n v="7"/>
    <n v="-0.22222222222222221"/>
    <n v="3000"/>
    <n v="-0.13043478260869568"/>
    <n v="252000"/>
    <n v="-0.32367149758454106"/>
    <n v="1247369"/>
    <n v="-0.4616052968927371"/>
    <n v="982845"/>
    <n v="-0.46126084842598125"/>
    <n v="12524"/>
    <n v="-0.89553496208930072"/>
    <n v="108360"/>
    <n v="372884"/>
  </r>
  <r>
    <x v="112"/>
    <x v="112"/>
    <x v="1"/>
    <x v="0"/>
    <x v="0"/>
    <x v="0"/>
    <x v="0"/>
    <x v="0"/>
    <x v="1"/>
    <x v="0"/>
    <x v="1"/>
    <x v="0"/>
    <n v="10"/>
    <n v="0"/>
    <n v="0"/>
    <n v="0"/>
    <n v="0"/>
    <n v="-1"/>
    <n v="440087"/>
    <n v="0"/>
    <n v="0"/>
    <n v="-1"/>
    <n v="24362"/>
    <n v="0"/>
    <n v="0"/>
    <n v="440087"/>
  </r>
  <r>
    <x v="112"/>
    <x v="112"/>
    <x v="2"/>
    <x v="0"/>
    <x v="0"/>
    <x v="0"/>
    <x v="0"/>
    <x v="0"/>
    <x v="1"/>
    <x v="0"/>
    <x v="1"/>
    <x v="0"/>
    <n v="10"/>
    <n v="0"/>
    <n v="0"/>
    <n v="0"/>
    <n v="0"/>
    <n v="0"/>
    <n v="434920"/>
    <n v="-1.1740860329889302E-2"/>
    <n v="0"/>
    <n v="0"/>
    <n v="73525"/>
    <n v="2.018019867005993"/>
    <n v="0"/>
    <n v="434920"/>
  </r>
  <r>
    <x v="112"/>
    <x v="112"/>
    <x v="3"/>
    <x v="0"/>
    <x v="0"/>
    <x v="0"/>
    <x v="0"/>
    <x v="0"/>
    <x v="1"/>
    <x v="0"/>
    <x v="1"/>
    <x v="0"/>
    <n v="9"/>
    <n v="-9.9999999999999978E-2"/>
    <n v="0"/>
    <n v="0"/>
    <n v="0"/>
    <n v="0"/>
    <n v="680849"/>
    <n v="0.56545801526717554"/>
    <n v="0"/>
    <n v="0"/>
    <n v="59054"/>
    <n v="-0.1968174090445427"/>
    <n v="0"/>
    <n v="680849"/>
  </r>
  <r>
    <x v="112"/>
    <x v="112"/>
    <x v="4"/>
    <x v="0"/>
    <x v="0"/>
    <x v="0"/>
    <x v="0"/>
    <x v="0"/>
    <x v="1"/>
    <x v="0"/>
    <x v="1"/>
    <x v="0"/>
    <n v="8"/>
    <n v="-0.11111111111111116"/>
    <n v="2100"/>
    <n v="0"/>
    <n v="201600"/>
    <n v="0"/>
    <n v="596611"/>
    <n v="-0.12372493754121694"/>
    <n v="388658"/>
    <n v="0"/>
    <n v="6353"/>
    <n v="-0.89242049649473365"/>
    <n v="86688"/>
    <n v="294641"/>
  </r>
  <r>
    <x v="112"/>
    <x v="112"/>
    <x v="5"/>
    <x v="0"/>
    <x v="0"/>
    <x v="0"/>
    <x v="0"/>
    <x v="0"/>
    <x v="1"/>
    <x v="0"/>
    <x v="1"/>
    <x v="0"/>
    <n v="8"/>
    <n v="0"/>
    <n v="2900"/>
    <n v="0.38095238095238093"/>
    <n v="278400"/>
    <n v="0.38095238095238093"/>
    <n v="645958"/>
    <n v="8.2712185997241061E-2"/>
    <n v="365564"/>
    <n v="-5.9419849842277772E-2"/>
    <n v="1994"/>
    <n v="-0.68613253580985356"/>
    <n v="119712"/>
    <n v="400106"/>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r>
    <x v="113"/>
    <x v="113"/>
    <x v="6"/>
    <x v="2"/>
    <x v="2"/>
    <x v="2"/>
    <x v="2"/>
    <x v="2"/>
    <x v="2"/>
    <x v="2"/>
    <x v="2"/>
    <x v="2"/>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9BE64-EFE9-47DD-A0A7-17A93EAC29D2}" name="PivotTable1" cacheId="1" applyNumberFormats="0" applyBorderFormats="0" applyFontFormats="0" applyPatternFormats="0" applyAlignmentFormats="0" applyWidthHeightFormats="1" dataCaption="Values" errorCaption="0" showError="1" missingCaption="0" updatedVersion="8" minRefreshableVersion="3" useAutoFormatting="1" rowGrandTotals="0" colGrandTotals="0" itemPrintTitles="1" createdVersion="8" indent="0" compact="0" compactData="0" chartFormat="1">
  <location ref="W2:AE22" firstHeaderRow="0" firstDataRow="1" firstDataCol="2"/>
  <pivotFields count="26">
    <pivotField axis="axisRow" compact="0" outline="0" subtotalTop="0" showAll="0" defaultSubtotal="0">
      <items count="117">
        <item x="0"/>
        <item x="1"/>
        <item x="2"/>
        <item x="3"/>
        <item x="4"/>
        <item x="5"/>
        <item x="6"/>
        <item x="7"/>
        <item x="8"/>
        <item x="9"/>
        <item x="10"/>
        <item m="1" x="114"/>
        <item x="12"/>
        <item x="13"/>
        <item x="14"/>
        <item x="16"/>
        <item x="17"/>
        <item x="18"/>
        <item x="19"/>
        <item x="20"/>
        <item x="21"/>
        <item x="22"/>
        <item x="23"/>
        <item x="24"/>
        <item x="25"/>
        <item x="26"/>
        <item x="27"/>
        <item x="28"/>
        <item x="29"/>
        <item x="30"/>
        <item x="31"/>
        <item x="32"/>
        <item m="1" x="115"/>
        <item x="34"/>
        <item x="35"/>
        <item x="36"/>
        <item x="37"/>
        <item x="38"/>
        <item x="39"/>
        <item x="40"/>
        <item x="41"/>
        <item x="42"/>
        <item x="43"/>
        <item x="44"/>
        <item x="45"/>
        <item x="46"/>
        <item x="47"/>
        <item x="48"/>
        <item x="49"/>
        <item x="50"/>
        <item x="51"/>
        <item x="52"/>
        <item x="53"/>
        <item x="54"/>
        <item x="55"/>
        <item x="56"/>
        <item x="57"/>
        <item x="58"/>
        <item x="59"/>
        <item x="60"/>
        <item x="61"/>
        <item m="1" x="116"/>
        <item x="62"/>
        <item x="63"/>
        <item x="64"/>
        <item x="65"/>
        <item x="66"/>
        <item x="67"/>
        <item x="68"/>
        <item x="69"/>
        <item x="70"/>
        <item x="71"/>
        <item x="72"/>
        <item x="73"/>
        <item x="74"/>
        <item x="75"/>
        <item x="76"/>
        <item x="78"/>
        <item x="79"/>
        <item x="80"/>
        <item x="81"/>
        <item x="82"/>
        <item x="83"/>
        <item x="84"/>
        <item x="77"/>
        <item x="85"/>
        <item x="86"/>
        <item x="87"/>
        <item x="88"/>
        <item x="89"/>
        <item x="90"/>
        <item x="91"/>
        <item x="92"/>
        <item x="93"/>
        <item x="94"/>
        <item x="95"/>
        <item x="96"/>
        <item x="97"/>
        <item x="98"/>
        <item x="99"/>
        <item x="100"/>
        <item x="101"/>
        <item x="102"/>
        <item x="113"/>
        <item x="15"/>
        <item x="11"/>
        <item x="33"/>
        <item x="103"/>
        <item x="104"/>
        <item x="105"/>
        <item x="106"/>
        <item x="107"/>
        <item x="108"/>
        <item x="109"/>
        <item x="110"/>
        <item x="111"/>
        <item x="112"/>
      </items>
    </pivotField>
    <pivotField axis="axisRow" compact="0" outline="0" showAll="0" sortType="ascending" defaultSubtotal="0">
      <items count="116">
        <item x="0"/>
        <item x="3"/>
        <item x="4"/>
        <item x="5"/>
        <item x="7"/>
        <item x="9"/>
        <item x="10"/>
        <item x="1"/>
        <item x="11"/>
        <item x="14"/>
        <item x="24"/>
        <item x="17"/>
        <item x="18"/>
        <item x="21"/>
        <item x="23"/>
        <item x="25"/>
        <item x="26"/>
        <item m="1" x="114"/>
        <item x="29"/>
        <item x="30"/>
        <item x="31"/>
        <item x="32"/>
        <item x="37"/>
        <item x="39"/>
        <item x="40"/>
        <item x="42"/>
        <item x="45"/>
        <item x="46"/>
        <item x="47"/>
        <item x="48"/>
        <item x="49"/>
        <item x="55"/>
        <item x="56"/>
        <item x="58"/>
        <item x="60"/>
        <item x="36"/>
        <item x="62"/>
        <item x="63"/>
        <item x="64"/>
        <item x="65"/>
        <item x="2"/>
        <item x="66"/>
        <item x="67"/>
        <item x="68"/>
        <item x="69"/>
        <item x="95"/>
        <item x="70"/>
        <item x="71"/>
        <item x="53"/>
        <item x="73"/>
        <item x="74"/>
        <item x="54"/>
        <item x="75"/>
        <item x="80"/>
        <item x="82"/>
        <item x="84"/>
        <item x="77"/>
        <item x="85"/>
        <item m="1" x="115"/>
        <item x="8"/>
        <item x="92"/>
        <item x="94"/>
        <item x="97"/>
        <item x="98"/>
        <item x="99"/>
        <item x="33"/>
        <item x="100"/>
        <item x="113"/>
        <item x="41"/>
        <item x="72"/>
        <item x="51"/>
        <item x="52"/>
        <item x="81"/>
        <item x="102"/>
        <item x="19"/>
        <item x="43"/>
        <item x="91"/>
        <item x="34"/>
        <item x="101"/>
        <item x="20"/>
        <item x="50"/>
        <item x="38"/>
        <item x="6"/>
        <item x="90"/>
        <item x="12"/>
        <item x="13"/>
        <item x="61"/>
        <item x="87"/>
        <item x="57"/>
        <item x="79"/>
        <item x="76"/>
        <item x="27"/>
        <item x="93"/>
        <item x="59"/>
        <item x="78"/>
        <item x="22"/>
        <item x="15"/>
        <item x="96"/>
        <item x="83"/>
        <item x="86"/>
        <item x="35"/>
        <item x="88"/>
        <item x="44"/>
        <item x="28"/>
        <item x="16"/>
        <item x="89"/>
        <item x="103"/>
        <item x="104"/>
        <item x="105"/>
        <item x="106"/>
        <item x="107"/>
        <item x="108"/>
        <item x="109"/>
        <item x="110"/>
        <item x="111"/>
        <item x="112"/>
      </items>
      <autoSortScope>
        <pivotArea dataOnly="0" outline="0" fieldPosition="0">
          <references count="1">
            <reference field="4294967294" count="1" selected="0">
              <x v="0"/>
            </reference>
          </references>
        </pivotArea>
      </autoSortScope>
    </pivotField>
    <pivotField compact="0" outline="0" showAll="0" defaultSubtotal="0">
      <items count="7">
        <item h="1" x="0"/>
        <item h="1" x="1"/>
        <item h="1" x="2"/>
        <item h="1" x="3"/>
        <item h="1" x="4"/>
        <item x="5"/>
        <item h="1" x="6"/>
      </items>
    </pivotField>
    <pivotField compact="0" outline="0" subtotalTop="0" showAll="0" defaultSubtotal="0">
      <items count="3">
        <item x="0"/>
        <item x="1"/>
        <item x="2"/>
      </items>
    </pivotField>
    <pivotField compact="0" outline="0" subtotalTop="0" showAll="0" defaultSubtotal="0">
      <items count="3">
        <item x="1"/>
        <item x="0"/>
        <item x="2"/>
      </items>
    </pivotField>
    <pivotField compact="0" outline="0" subtotalTop="0" showAll="0" defaultSubtotal="0">
      <items count="3">
        <item x="1"/>
        <item x="0"/>
        <item x="2"/>
      </items>
    </pivotField>
    <pivotField compact="0" outline="0" subtotalTop="0" showAll="0" defaultSubtotal="0">
      <items count="3">
        <item x="1"/>
        <item x="0"/>
        <item x="2"/>
      </items>
    </pivotField>
    <pivotField compact="0" outline="0" subtotalTop="0" showAll="0" defaultSubtotal="0">
      <items count="3">
        <item x="0"/>
        <item x="1"/>
        <item x="2"/>
      </items>
    </pivotField>
    <pivotField compact="0" outline="0" showAll="0" defaultSubtotal="0">
      <items count="3">
        <item x="1"/>
        <item x="0"/>
        <item x="2"/>
      </items>
    </pivotField>
    <pivotField compact="0" outline="0" showAll="0" defaultSubtotal="0">
      <items count="3">
        <item x="1"/>
        <item h="1" x="0"/>
        <item h="1" x="2"/>
      </items>
    </pivotField>
    <pivotField compact="0" outline="0" showAll="0" defaultSubtotal="0">
      <items count="3">
        <item x="0"/>
        <item x="1"/>
        <item x="2"/>
      </items>
    </pivotField>
    <pivotField compact="0" outline="0" showAll="0" defaultSubtotal="0">
      <items count="3">
        <item x="0"/>
        <item x="1"/>
        <item x="2"/>
      </items>
    </pivotField>
    <pivotField dataField="1" compact="0" outline="0" showAll="0" defaultSubtotal="0"/>
    <pivotField compact="0" outline="0" showAll="0" defaultSubtotal="0"/>
    <pivotField dataField="1" compact="0" outline="0" subtotalTop="0" showAll="0" defaultSubtotal="0"/>
    <pivotField compact="0" outline="0" showAll="0" defaultSubtotal="0"/>
    <pivotField dataField="1" compact="0" outline="0" showAll="0" defaultSubtotal="0"/>
    <pivotField compact="0" outline="0" subtotalTop="0" showAll="0" defaultSubtotal="0"/>
    <pivotField dataField="1" compact="0" outline="0" showAll="0" defaultSubtotal="0"/>
    <pivotField compact="0" outline="0" showAll="0" defaultSubtotal="0"/>
    <pivotField dataField="1" compact="0" outline="0" subtotalTop="0" showAll="0" defaultSubtotal="0"/>
    <pivotField compact="0" outline="0" subtotalTop="0" showAll="0" defaultSubtotal="0"/>
    <pivotField dataField="1" compact="0" outline="0" showAll="0" defaultSubtotal="0"/>
    <pivotField compact="0" outline="0" showAll="0" defaultSubtotal="0"/>
    <pivotField compact="0" outline="0" subtotalTop="0" showAll="0" defaultSubtotal="0"/>
    <pivotField dataField="1" compact="0" outline="0" subtotalTop="0" showAll="0" defaultSubtotal="0"/>
  </pivotFields>
  <rowFields count="2">
    <field x="0"/>
    <field x="1"/>
  </rowFields>
  <rowItems count="20">
    <i>
      <x v="4"/>
      <x v="2"/>
    </i>
    <i>
      <x v="12"/>
      <x v="84"/>
    </i>
    <i>
      <x v="13"/>
      <x v="85"/>
    </i>
    <i>
      <x v="16"/>
      <x v="11"/>
    </i>
    <i>
      <x v="24"/>
      <x v="15"/>
    </i>
    <i>
      <x v="30"/>
      <x v="20"/>
    </i>
    <i>
      <x v="39"/>
      <x v="24"/>
    </i>
    <i>
      <x v="40"/>
      <x v="68"/>
    </i>
    <i>
      <x v="41"/>
      <x v="25"/>
    </i>
    <i>
      <x v="45"/>
      <x v="27"/>
    </i>
    <i>
      <x v="47"/>
      <x v="29"/>
    </i>
    <i>
      <x v="48"/>
      <x v="30"/>
    </i>
    <i>
      <x v="54"/>
      <x v="31"/>
    </i>
    <i>
      <x v="57"/>
      <x v="33"/>
    </i>
    <i>
      <x v="67"/>
      <x v="42"/>
    </i>
    <i>
      <x v="68"/>
      <x v="43"/>
    </i>
    <i>
      <x v="70"/>
      <x v="46"/>
    </i>
    <i>
      <x v="71"/>
      <x v="47"/>
    </i>
    <i>
      <x v="73"/>
      <x v="49"/>
    </i>
    <i>
      <x v="97"/>
      <x v="62"/>
    </i>
  </rowItems>
  <colFields count="1">
    <field x="-2"/>
  </colFields>
  <colItems count="7">
    <i>
      <x/>
    </i>
    <i i="1">
      <x v="1"/>
    </i>
    <i i="2">
      <x v="2"/>
    </i>
    <i i="3">
      <x v="3"/>
    </i>
    <i i="4">
      <x v="4"/>
    </i>
    <i i="5">
      <x v="5"/>
    </i>
    <i i="6">
      <x v="6"/>
    </i>
  </colItems>
  <dataFields count="7">
    <dataField name="Apyvarta-" fld="18" baseField="0" baseItem="0" numFmtId="4"/>
    <dataField name="DU sąnaudos-" fld="16" baseField="0" baseItem="0"/>
    <dataField name="Atlyginimo vidurkis-" fld="14" baseField="0" baseItem="0"/>
    <dataField name="Darbuotojų skaičius-" fld="12" baseField="0" baseItem="0"/>
    <dataField name="Ne-atlyginimų sąnaudos-" fld="20" baseField="0" baseItem="0"/>
    <dataField name="Grynasis Pelnas" fld="22" baseField="0" baseItem="0"/>
    <dataField name="Spėjamos pajamos-" fld="25" baseField="0" baseItem="0"/>
  </dataFields>
  <formats count="6">
    <format dxfId="18">
      <pivotArea outline="0" collapsedLevelsAreSubtotals="1" fieldPosition="0"/>
    </format>
    <format dxfId="17">
      <pivotArea dataOnly="0" labelOnly="1" outline="0" fieldPosition="0">
        <references count="1">
          <reference field="4294967294" count="1">
            <x v="0"/>
          </reference>
        </references>
      </pivotArea>
    </format>
    <format dxfId="16">
      <pivotArea outline="0" fieldPosition="0">
        <references count="1">
          <reference field="4294967294" count="1">
            <x v="0"/>
          </reference>
        </references>
      </pivotArea>
    </format>
    <format dxfId="15">
      <pivotArea field="1" type="button" dataOnly="0" labelOnly="1" outline="0" axis="axisRow" fieldPosition="1"/>
    </format>
    <format dxfId="14">
      <pivotArea dataOnly="0" labelOnly="1" outline="0" fieldPosition="0">
        <references count="1">
          <reference field="4294967294" count="1">
            <x v="0"/>
          </reference>
        </references>
      </pivotArea>
    </format>
    <format dxfId="13">
      <pivotArea outline="0"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7D3F73-9532-9746-9DE0-75A675F96FB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H3:BS118" firstHeaderRow="1" firstDataRow="3" firstDataCol="2"/>
  <pivotFields count="26">
    <pivotField axis="axisRow" compact="0" outline="0" showAll="0" defaultSubtotal="0">
      <items count="119">
        <item x="0"/>
        <item x="1"/>
        <item x="2"/>
        <item x="3"/>
        <item x="4"/>
        <item x="5"/>
        <item m="1" x="118"/>
        <item x="6"/>
        <item x="7"/>
        <item x="8"/>
        <item x="9"/>
        <item x="10"/>
        <item m="1" x="114"/>
        <item x="12"/>
        <item x="13"/>
        <item x="14"/>
        <item x="16"/>
        <item x="17"/>
        <item x="18"/>
        <item x="19"/>
        <item x="20"/>
        <item x="21"/>
        <item x="22"/>
        <item x="23"/>
        <item x="24"/>
        <item x="25"/>
        <item x="26"/>
        <item x="27"/>
        <item x="28"/>
        <item x="29"/>
        <item x="30"/>
        <item x="31"/>
        <item x="32"/>
        <item m="1" x="115"/>
        <item x="34"/>
        <item x="35"/>
        <item x="36"/>
        <item x="37"/>
        <item x="38"/>
        <item x="39"/>
        <item x="40"/>
        <item x="41"/>
        <item x="42"/>
        <item x="43"/>
        <item x="44"/>
        <item x="45"/>
        <item x="46"/>
        <item m="1" x="117"/>
        <item x="47"/>
        <item x="48"/>
        <item x="49"/>
        <item x="50"/>
        <item x="51"/>
        <item x="52"/>
        <item x="53"/>
        <item x="54"/>
        <item x="55"/>
        <item x="56"/>
        <item x="57"/>
        <item x="58"/>
        <item x="59"/>
        <item x="60"/>
        <item x="61"/>
        <item m="1" x="116"/>
        <item x="62"/>
        <item x="63"/>
        <item x="64"/>
        <item x="65"/>
        <item x="66"/>
        <item x="67"/>
        <item x="68"/>
        <item x="69"/>
        <item x="70"/>
        <item x="71"/>
        <item x="72"/>
        <item x="73"/>
        <item x="74"/>
        <item x="75"/>
        <item x="76"/>
        <item x="78"/>
        <item x="79"/>
        <item x="80"/>
        <item x="81"/>
        <item x="82"/>
        <item x="83"/>
        <item x="84"/>
        <item x="77"/>
        <item x="85"/>
        <item x="86"/>
        <item x="87"/>
        <item x="88"/>
        <item x="89"/>
        <item x="90"/>
        <item x="91"/>
        <item x="92"/>
        <item x="93"/>
        <item x="94"/>
        <item x="95"/>
        <item x="96"/>
        <item x="97"/>
        <item x="98"/>
        <item x="99"/>
        <item x="100"/>
        <item x="101"/>
        <item x="102"/>
        <item x="15"/>
        <item m="1" x="113"/>
        <item x="11"/>
        <item x="33"/>
        <item x="103"/>
        <item x="104"/>
        <item x="105"/>
        <item x="106"/>
        <item x="107"/>
        <item x="108"/>
        <item x="109"/>
        <item x="110"/>
        <item x="111"/>
        <item x="112"/>
      </items>
    </pivotField>
    <pivotField axis="axisRow" compact="0" outline="0" showAll="0" defaultSubtotal="0">
      <items count="117">
        <item x="0"/>
        <item x="3"/>
        <item x="4"/>
        <item x="5"/>
        <item x="6"/>
        <item x="7"/>
        <item x="51"/>
        <item x="9"/>
        <item x="10"/>
        <item x="1"/>
        <item x="11"/>
        <item x="12"/>
        <item x="13"/>
        <item x="14"/>
        <item x="15"/>
        <item x="90"/>
        <item x="24"/>
        <item x="17"/>
        <item x="18"/>
        <item x="16"/>
        <item x="19"/>
        <item x="20"/>
        <item x="21"/>
        <item x="22"/>
        <item x="23"/>
        <item x="25"/>
        <item x="26"/>
        <item x="27"/>
        <item m="1" x="114"/>
        <item x="86"/>
        <item x="28"/>
        <item x="29"/>
        <item x="30"/>
        <item x="31"/>
        <item x="32"/>
        <item x="34"/>
        <item x="35"/>
        <item x="37"/>
        <item x="38"/>
        <item x="93"/>
        <item x="39"/>
        <item x="40"/>
        <item x="42"/>
        <item x="43"/>
        <item x="41"/>
        <item x="44"/>
        <item x="45"/>
        <item x="46"/>
        <item m="1" x="116"/>
        <item x="47"/>
        <item x="48"/>
        <item x="102"/>
        <item x="49"/>
        <item x="50"/>
        <item x="55"/>
        <item x="56"/>
        <item x="57"/>
        <item x="58"/>
        <item x="59"/>
        <item x="60"/>
        <item x="36"/>
        <item x="62"/>
        <item x="63"/>
        <item x="64"/>
        <item x="65"/>
        <item x="2"/>
        <item x="61"/>
        <item x="96"/>
        <item x="66"/>
        <item x="67"/>
        <item x="68"/>
        <item x="69"/>
        <item x="95"/>
        <item x="70"/>
        <item x="71"/>
        <item x="53"/>
        <item x="73"/>
        <item x="74"/>
        <item x="54"/>
        <item x="75"/>
        <item x="52"/>
        <item x="76"/>
        <item x="78"/>
        <item x="72"/>
        <item x="79"/>
        <item x="80"/>
        <item x="81"/>
        <item x="82"/>
        <item x="83"/>
        <item x="84"/>
        <item x="77"/>
        <item x="85"/>
        <item x="87"/>
        <item x="88"/>
        <item m="1" x="115"/>
        <item x="8"/>
        <item x="92"/>
        <item x="94"/>
        <item x="97"/>
        <item x="98"/>
        <item x="99"/>
        <item x="33"/>
        <item x="100"/>
        <item x="101"/>
        <item x="91"/>
        <item m="1" x="113"/>
        <item x="89"/>
        <item x="103"/>
        <item x="104"/>
        <item x="105"/>
        <item x="106"/>
        <item x="107"/>
        <item x="108"/>
        <item x="109"/>
        <item x="110"/>
        <item x="111"/>
        <item x="112"/>
      </items>
    </pivotField>
    <pivotField axis="axisCol" compact="0" outline="0" showAll="0" sortType="descending" defaultSubtotal="0">
      <items count="6">
        <item x="5"/>
        <item x="4"/>
        <item x="3"/>
        <item x="2"/>
        <item x="1"/>
        <item x="0"/>
      </items>
    </pivotField>
    <pivotField compact="0" outline="0" showAll="0" defaultSubtotal="0">
      <items count="3">
        <item x="0"/>
        <item x="1"/>
        <item m="1" x="2"/>
      </items>
    </pivotField>
    <pivotField compact="0" outline="0" showAll="0" defaultSubtotal="0">
      <items count="3">
        <item x="1"/>
        <item x="0"/>
        <item m="1" x="2"/>
      </items>
    </pivotField>
    <pivotField compact="0" outline="0" showAll="0" defaultSubtotal="0">
      <items count="3">
        <item x="1"/>
        <item x="0"/>
        <item m="1" x="2"/>
      </items>
    </pivotField>
    <pivotField compact="0" outline="0" showAll="0" defaultSubtotal="0">
      <items count="3">
        <item x="1"/>
        <item x="0"/>
        <item m="1" x="2"/>
      </items>
    </pivotField>
    <pivotField compact="0" outline="0" showAll="0" defaultSubtotal="0">
      <items count="3">
        <item x="0"/>
        <item x="1"/>
        <item m="1" x="2"/>
      </items>
    </pivotField>
    <pivotField compact="0" outline="0" showAll="0" defaultSubtotal="0">
      <items count="3">
        <item x="1"/>
        <item x="0"/>
        <item m="1" x="2"/>
      </items>
    </pivotField>
    <pivotField compact="0" outline="0" showAll="0" defaultSubtotal="0">
      <items count="3">
        <item x="1"/>
        <item x="0"/>
        <item m="1" x="2"/>
      </items>
    </pivotField>
    <pivotField compact="0" outline="0" showAll="0" defaultSubtotal="0">
      <items count="3">
        <item x="0"/>
        <item x="1"/>
        <item m="1" x="2"/>
      </items>
    </pivotField>
    <pivotField compact="0" outline="0" showAll="0" defaultSubtotal="0">
      <items count="3">
        <item x="0"/>
        <item x="1"/>
        <item m="1" x="2"/>
      </items>
    </pivotField>
    <pivotField compact="0" numFmtId="165" outline="0" showAll="0" defaultSubtotal="0"/>
    <pivotField dataField="1" compact="0" numFmtId="9" outline="0" showAll="0" defaultSubtotal="0"/>
    <pivotField compact="0" numFmtId="165" outline="0" showAll="0" defaultSubtotal="0"/>
    <pivotField dataField="1" compact="0" outline="0" showAll="0" defaultSubtotal="0"/>
    <pivotField compact="0" numFmtId="165" outline="0" showAll="0" defaultSubtotal="0"/>
    <pivotField dataField="1" compact="0" numFmtId="9" outline="0" subtotalTop="0" showAll="0" defaultSubtotal="0"/>
    <pivotField compact="0" outline="0" showAll="0" defaultSubtotal="0"/>
    <pivotField dataField="1" compact="0" outline="0" showAll="0" defaultSubtotal="0"/>
    <pivotField compact="0" numFmtId="165" outline="0" subtotalTop="0" showAll="0" defaultSubtotal="0"/>
    <pivotField dataField="1" compact="0" numFmtId="9" outline="0" subtotalTop="0" showAll="0" defaultSubtotal="0"/>
    <pivotField compact="0" outline="0" showAll="0" defaultSubtotal="0"/>
    <pivotField dataField="1" compact="0" outline="0" showAll="0" defaultSubtotal="0"/>
    <pivotField compact="0" numFmtId="165" outline="0" subtotalTop="0" showAll="0" defaultSubtotal="0"/>
    <pivotField compact="0" numFmtId="165" outline="0" subtotalTop="0" showAll="0" defaultSubtotal="0"/>
  </pivotFields>
  <rowFields count="2">
    <field x="0"/>
    <field x="1"/>
  </rowFields>
  <rowItems count="113">
    <i>
      <x/>
      <x/>
    </i>
    <i>
      <x v="1"/>
      <x v="9"/>
    </i>
    <i>
      <x v="2"/>
      <x v="65"/>
    </i>
    <i>
      <x v="3"/>
      <x v="1"/>
    </i>
    <i>
      <x v="4"/>
      <x v="2"/>
    </i>
    <i>
      <x v="5"/>
      <x v="3"/>
    </i>
    <i>
      <x v="7"/>
      <x v="4"/>
    </i>
    <i>
      <x v="8"/>
      <x v="5"/>
    </i>
    <i>
      <x v="9"/>
      <x v="95"/>
    </i>
    <i>
      <x v="10"/>
      <x v="7"/>
    </i>
    <i>
      <x v="11"/>
      <x v="8"/>
    </i>
    <i>
      <x v="13"/>
      <x v="11"/>
    </i>
    <i>
      <x v="14"/>
      <x v="12"/>
    </i>
    <i>
      <x v="15"/>
      <x v="13"/>
    </i>
    <i>
      <x v="16"/>
      <x v="19"/>
    </i>
    <i>
      <x v="17"/>
      <x v="17"/>
    </i>
    <i>
      <x v="18"/>
      <x v="18"/>
    </i>
    <i>
      <x v="19"/>
      <x v="20"/>
    </i>
    <i>
      <x v="20"/>
      <x v="21"/>
    </i>
    <i>
      <x v="21"/>
      <x v="22"/>
    </i>
    <i>
      <x v="22"/>
      <x v="23"/>
    </i>
    <i>
      <x v="23"/>
      <x v="24"/>
    </i>
    <i>
      <x v="24"/>
      <x v="16"/>
    </i>
    <i>
      <x v="25"/>
      <x v="25"/>
    </i>
    <i>
      <x v="26"/>
      <x v="26"/>
    </i>
    <i>
      <x v="27"/>
      <x v="27"/>
    </i>
    <i>
      <x v="28"/>
      <x v="30"/>
    </i>
    <i>
      <x v="29"/>
      <x v="31"/>
    </i>
    <i>
      <x v="30"/>
      <x v="32"/>
    </i>
    <i>
      <x v="31"/>
      <x v="33"/>
    </i>
    <i>
      <x v="32"/>
      <x v="34"/>
    </i>
    <i>
      <x v="34"/>
      <x v="35"/>
    </i>
    <i>
      <x v="35"/>
      <x v="36"/>
    </i>
    <i>
      <x v="36"/>
      <x v="60"/>
    </i>
    <i>
      <x v="37"/>
      <x v="37"/>
    </i>
    <i>
      <x v="38"/>
      <x v="38"/>
    </i>
    <i>
      <x v="39"/>
      <x v="40"/>
    </i>
    <i>
      <x v="40"/>
      <x v="41"/>
    </i>
    <i>
      <x v="41"/>
      <x v="44"/>
    </i>
    <i>
      <x v="42"/>
      <x v="42"/>
    </i>
    <i>
      <x v="43"/>
      <x v="43"/>
    </i>
    <i>
      <x v="44"/>
      <x v="45"/>
    </i>
    <i>
      <x v="45"/>
      <x v="46"/>
    </i>
    <i>
      <x v="46"/>
      <x v="47"/>
    </i>
    <i>
      <x v="48"/>
      <x v="49"/>
    </i>
    <i>
      <x v="49"/>
      <x v="50"/>
    </i>
    <i>
      <x v="50"/>
      <x v="52"/>
    </i>
    <i>
      <x v="51"/>
      <x v="53"/>
    </i>
    <i>
      <x v="52"/>
      <x v="6"/>
    </i>
    <i>
      <x v="53"/>
      <x v="80"/>
    </i>
    <i>
      <x v="54"/>
      <x v="75"/>
    </i>
    <i>
      <x v="55"/>
      <x v="78"/>
    </i>
    <i>
      <x v="56"/>
      <x v="54"/>
    </i>
    <i>
      <x v="57"/>
      <x v="55"/>
    </i>
    <i>
      <x v="58"/>
      <x v="56"/>
    </i>
    <i>
      <x v="59"/>
      <x v="57"/>
    </i>
    <i>
      <x v="60"/>
      <x v="58"/>
    </i>
    <i>
      <x v="61"/>
      <x v="59"/>
    </i>
    <i>
      <x v="62"/>
      <x v="66"/>
    </i>
    <i>
      <x v="64"/>
      <x v="61"/>
    </i>
    <i>
      <x v="65"/>
      <x v="62"/>
    </i>
    <i>
      <x v="66"/>
      <x v="63"/>
    </i>
    <i>
      <x v="67"/>
      <x v="64"/>
    </i>
    <i>
      <x v="68"/>
      <x v="68"/>
    </i>
    <i>
      <x v="69"/>
      <x v="69"/>
    </i>
    <i>
      <x v="70"/>
      <x v="70"/>
    </i>
    <i>
      <x v="71"/>
      <x v="71"/>
    </i>
    <i>
      <x v="72"/>
      <x v="73"/>
    </i>
    <i>
      <x v="73"/>
      <x v="74"/>
    </i>
    <i>
      <x v="74"/>
      <x v="83"/>
    </i>
    <i>
      <x v="75"/>
      <x v="76"/>
    </i>
    <i>
      <x v="76"/>
      <x v="77"/>
    </i>
    <i>
      <x v="77"/>
      <x v="79"/>
    </i>
    <i>
      <x v="78"/>
      <x v="81"/>
    </i>
    <i>
      <x v="79"/>
      <x v="82"/>
    </i>
    <i>
      <x v="80"/>
      <x v="84"/>
    </i>
    <i>
      <x v="81"/>
      <x v="85"/>
    </i>
    <i>
      <x v="82"/>
      <x v="86"/>
    </i>
    <i>
      <x v="83"/>
      <x v="87"/>
    </i>
    <i>
      <x v="84"/>
      <x v="88"/>
    </i>
    <i>
      <x v="85"/>
      <x v="89"/>
    </i>
    <i>
      <x v="86"/>
      <x v="90"/>
    </i>
    <i>
      <x v="87"/>
      <x v="91"/>
    </i>
    <i>
      <x v="88"/>
      <x v="29"/>
    </i>
    <i>
      <x v="89"/>
      <x v="92"/>
    </i>
    <i>
      <x v="90"/>
      <x v="93"/>
    </i>
    <i>
      <x v="91"/>
      <x v="106"/>
    </i>
    <i>
      <x v="92"/>
      <x v="15"/>
    </i>
    <i>
      <x v="93"/>
      <x v="104"/>
    </i>
    <i>
      <x v="94"/>
      <x v="96"/>
    </i>
    <i>
      <x v="95"/>
      <x v="39"/>
    </i>
    <i>
      <x v="96"/>
      <x v="97"/>
    </i>
    <i>
      <x v="97"/>
      <x v="72"/>
    </i>
    <i>
      <x v="98"/>
      <x v="67"/>
    </i>
    <i>
      <x v="99"/>
      <x v="98"/>
    </i>
    <i>
      <x v="100"/>
      <x v="99"/>
    </i>
    <i>
      <x v="101"/>
      <x v="100"/>
    </i>
    <i>
      <x v="102"/>
      <x v="102"/>
    </i>
    <i>
      <x v="103"/>
      <x v="103"/>
    </i>
    <i>
      <x v="104"/>
      <x v="51"/>
    </i>
    <i>
      <x v="105"/>
      <x v="14"/>
    </i>
    <i>
      <x v="107"/>
      <x v="10"/>
    </i>
    <i>
      <x v="108"/>
      <x v="101"/>
    </i>
    <i>
      <x v="109"/>
      <x v="107"/>
    </i>
    <i>
      <x v="110"/>
      <x v="108"/>
    </i>
    <i>
      <x v="111"/>
      <x v="109"/>
    </i>
    <i>
      <x v="112"/>
      <x v="110"/>
    </i>
    <i>
      <x v="113"/>
      <x v="111"/>
    </i>
    <i>
      <x v="114"/>
      <x v="112"/>
    </i>
    <i>
      <x v="115"/>
      <x v="113"/>
    </i>
    <i>
      <x v="116"/>
      <x v="114"/>
    </i>
    <i>
      <x v="117"/>
      <x v="115"/>
    </i>
    <i>
      <x v="118"/>
      <x v="116"/>
    </i>
  </rowItems>
  <colFields count="2">
    <field x="2"/>
    <field x="-2"/>
  </colFields>
  <colItems count="36">
    <i>
      <x/>
      <x/>
    </i>
    <i r="1" i="1">
      <x v="1"/>
    </i>
    <i r="1" i="2">
      <x v="2"/>
    </i>
    <i r="1" i="3">
      <x v="3"/>
    </i>
    <i r="1" i="4">
      <x v="4"/>
    </i>
    <i r="1" i="5">
      <x v="5"/>
    </i>
    <i>
      <x v="1"/>
      <x/>
    </i>
    <i r="1" i="1">
      <x v="1"/>
    </i>
    <i r="1" i="2">
      <x v="2"/>
    </i>
    <i r="1" i="3">
      <x v="3"/>
    </i>
    <i r="1" i="4">
      <x v="4"/>
    </i>
    <i r="1" i="5">
      <x v="5"/>
    </i>
    <i>
      <x v="2"/>
      <x/>
    </i>
    <i r="1" i="1">
      <x v="1"/>
    </i>
    <i r="1" i="2">
      <x v="2"/>
    </i>
    <i r="1" i="3">
      <x v="3"/>
    </i>
    <i r="1" i="4">
      <x v="4"/>
    </i>
    <i r="1" i="5">
      <x v="5"/>
    </i>
    <i>
      <x v="3"/>
      <x/>
    </i>
    <i r="1" i="1">
      <x v="1"/>
    </i>
    <i r="1" i="2">
      <x v="2"/>
    </i>
    <i r="1" i="3">
      <x v="3"/>
    </i>
    <i r="1" i="4">
      <x v="4"/>
    </i>
    <i r="1" i="5">
      <x v="5"/>
    </i>
    <i>
      <x v="4"/>
      <x/>
    </i>
    <i r="1" i="1">
      <x v="1"/>
    </i>
    <i r="1" i="2">
      <x v="2"/>
    </i>
    <i r="1" i="3">
      <x v="3"/>
    </i>
    <i r="1" i="4">
      <x v="4"/>
    </i>
    <i r="1" i="5">
      <x v="5"/>
    </i>
    <i>
      <x v="5"/>
      <x/>
    </i>
    <i r="1" i="1">
      <x v="1"/>
    </i>
    <i r="1" i="2">
      <x v="2"/>
    </i>
    <i r="1" i="3">
      <x v="3"/>
    </i>
    <i r="1" i="4">
      <x v="4"/>
    </i>
    <i r="1" i="5">
      <x v="5"/>
    </i>
  </colItems>
  <dataFields count="6">
    <dataField name="Sum of Apyvartos pokytis, %" fld="19" baseField="0" baseItem="0"/>
    <dataField name="Sum of Darbuotojų pokytis, %" fld="13" baseField="0" baseItem="0" numFmtId="9"/>
    <dataField name="Sum of Atlyginimo pokytis, %" fld="15" baseField="0" baseItem="0"/>
    <dataField name="Sum of DU sąnaudų pokytis, %" fld="17" baseField="0" baseItem="0" numFmtId="9"/>
    <dataField name="Sum of Ne-atlyginimų sąnaudų pokytis, %" fld="21" baseField="0" baseItem="0" numFmtId="9"/>
    <dataField name="Sum of Pelno pokytis, %" fld="23" baseField="0" baseItem="0"/>
  </dataFields>
  <formats count="1">
    <format dxfId="12">
      <pivotArea outline="0" fieldPosition="0">
        <references count="2">
          <reference field="0" count="89"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reference>
          <reference field="1" count="89" selected="0">
            <x v="0"/>
            <x v="1"/>
            <x v="2"/>
            <x v="3"/>
            <x v="4"/>
            <x v="5"/>
            <x v="6"/>
            <x v="7"/>
            <x v="8"/>
            <x v="9"/>
            <x v="10"/>
            <x v="11"/>
            <x v="12"/>
            <x v="13"/>
            <x v="14"/>
            <x v="16"/>
            <x v="17"/>
            <x v="18"/>
            <x v="19"/>
            <x v="20"/>
            <x v="21"/>
            <x v="22"/>
            <x v="23"/>
            <x v="24"/>
            <x v="25"/>
            <x v="26"/>
            <x v="27"/>
            <x v="28"/>
            <x v="29"/>
            <x v="30"/>
            <x v="31"/>
            <x v="32"/>
            <x v="33"/>
            <x v="34"/>
            <x v="35"/>
            <x v="36"/>
            <x v="37"/>
            <x v="38"/>
            <x v="40"/>
            <x v="41"/>
            <x v="42"/>
            <x v="43"/>
            <x v="44"/>
            <x v="45"/>
            <x v="46"/>
            <x v="47"/>
            <x v="48"/>
            <x v="49"/>
            <x v="50"/>
            <x v="52"/>
            <x v="53"/>
            <x v="54"/>
            <x v="55"/>
            <x v="56"/>
            <x v="57"/>
            <x v="58"/>
            <x v="59"/>
            <x v="60"/>
            <x v="61"/>
            <x v="62"/>
            <x v="63"/>
            <x v="64"/>
            <x v="65"/>
            <x v="66"/>
            <x v="68"/>
            <x v="69"/>
            <x v="70"/>
            <x v="71"/>
            <x v="73"/>
            <x v="74"/>
            <x v="75"/>
            <x v="76"/>
            <x v="77"/>
            <x v="78"/>
            <x v="79"/>
            <x v="80"/>
            <x v="81"/>
            <x v="82"/>
            <x v="83"/>
            <x v="84"/>
            <x v="85"/>
            <x v="86"/>
            <x v="87"/>
            <x v="88"/>
            <x v="89"/>
            <x v="90"/>
            <x v="91"/>
            <x v="95"/>
            <x v="10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5DE913-3999-41AD-A3C4-574C3A151023}" autoFormatId="16" applyNumberFormats="0" applyBorderFormats="0" applyFontFormats="0" applyPatternFormats="0" applyAlignmentFormats="0" applyWidthHeightFormats="0">
  <queryTableRefresh nextId="105" unboundColumnsLeft="3" unboundColumnsRight="1">
    <queryTableFields count="83">
      <queryTableField id="77" dataBound="0" tableColumnId="74"/>
      <queryTableField id="89" dataBound="0" tableColumnId="10"/>
      <queryTableField id="79" dataBound="0" tableColumnId="77"/>
      <queryTableField id="33" name="EVRK v2 veiklos kodas" tableColumnId="33"/>
      <queryTableField id="34" name="EVRK v2 veikla" tableColumnId="34"/>
      <queryTableField id="88" dataBound="0" tableColumnId="53"/>
      <queryTableField id="85" dataBound="0" tableColumnId="42"/>
      <queryTableField id="86" dataBound="0" tableColumnId="43"/>
      <queryTableField id="87" dataBound="0" tableColumnId="44"/>
      <queryTableField id="1" name="Kodas" tableColumnId="1"/>
      <queryTableField id="2" name="PVM kodas" tableColumnId="2"/>
      <queryTableField id="3" name="Įmonė" tableColumnId="3"/>
      <queryTableField id="4" name="Adresas" tableColumnId="4"/>
      <queryTableField id="5" name="Miestas" tableColumnId="5"/>
      <queryTableField id="6" name="El. paštas" tableColumnId="6"/>
      <queryTableField id="7" name="Telefonas" tableColumnId="7"/>
      <queryTableField id="8" name="Mobilus" tableColumnId="8"/>
      <queryTableField id="41" dataBound="0" tableColumnId="41"/>
      <queryTableField id="40" dataBound="0" tableColumnId="40"/>
      <queryTableField id="57" dataBound="0" tableColumnId="54"/>
      <queryTableField id="39" dataBound="0" tableColumnId="39"/>
      <queryTableField id="58" dataBound="0" tableColumnId="55"/>
      <queryTableField id="38" dataBound="0" tableColumnId="38"/>
      <queryTableField id="59" dataBound="0" tableColumnId="56"/>
      <queryTableField id="37" dataBound="0" tableColumnId="37"/>
      <queryTableField id="60" dataBound="0" tableColumnId="57"/>
      <queryTableField id="36" dataBound="0" tableColumnId="36"/>
      <queryTableField id="61" dataBound="0" tableColumnId="58"/>
      <queryTableField id="12" name="Darbuotojai" tableColumnId="12"/>
      <queryTableField id="53" dataBound="0" tableColumnId="52"/>
      <queryTableField id="91" dataBound="0" tableColumnId="75"/>
      <queryTableField id="98" dataBound="0" tableColumnId="84"/>
      <queryTableField id="52" dataBound="0" tableColumnId="51"/>
      <queryTableField id="92" dataBound="0" tableColumnId="76"/>
      <queryTableField id="99" dataBound="0" tableColumnId="86"/>
      <queryTableField id="62" dataBound="0" tableColumnId="59"/>
      <queryTableField id="51" dataBound="0" tableColumnId="50"/>
      <queryTableField id="93" dataBound="0" tableColumnId="78"/>
      <queryTableField id="100" dataBound="0" tableColumnId="87"/>
      <queryTableField id="63" dataBound="0" tableColumnId="60"/>
      <queryTableField id="50" dataBound="0" tableColumnId="49"/>
      <queryTableField id="94" dataBound="0" tableColumnId="79"/>
      <queryTableField id="101" dataBound="0" tableColumnId="88"/>
      <queryTableField id="64" dataBound="0" tableColumnId="61"/>
      <queryTableField id="49" dataBound="0" tableColumnId="48"/>
      <queryTableField id="95" dataBound="0" tableColumnId="80"/>
      <queryTableField id="102" dataBound="0" tableColumnId="89"/>
      <queryTableField id="65" dataBound="0" tableColumnId="62"/>
      <queryTableField id="48" dataBound="0" tableColumnId="47"/>
      <queryTableField id="96" dataBound="0" tableColumnId="81"/>
      <queryTableField id="103" dataBound="0" tableColumnId="90"/>
      <queryTableField id="66" dataBound="0" tableColumnId="63"/>
      <queryTableField id="47" dataBound="0" tableColumnId="46"/>
      <queryTableField id="97" dataBound="0" tableColumnId="82"/>
      <queryTableField id="13" name="Skola Sodrai" tableColumnId="13"/>
      <queryTableField id="14" name="Apyvarta 2019" tableColumnId="14"/>
      <queryTableField id="15" name="Apyvarta 2020" tableColumnId="15"/>
      <queryTableField id="67" dataBound="0" tableColumnId="64"/>
      <queryTableField id="16" name="Apyvarta 2021" tableColumnId="16"/>
      <queryTableField id="68" dataBound="0" tableColumnId="65"/>
      <queryTableField id="17" name="Apyvarta 2022" tableColumnId="17"/>
      <queryTableField id="69" dataBound="0" tableColumnId="66"/>
      <queryTableField id="18" name="Apyvarta 2023" tableColumnId="18"/>
      <queryTableField id="70" dataBound="0" tableColumnId="67"/>
      <queryTableField id="19" name="Apyvarta 2024" tableColumnId="19"/>
      <queryTableField id="71" dataBound="0" tableColumnId="68"/>
      <queryTableField id="20" name="Grynasis pelnas 2019" tableColumnId="20"/>
      <queryTableField id="21" name="Grynasis pelnas 2020" tableColumnId="21"/>
      <queryTableField id="72" dataBound="0" tableColumnId="69"/>
      <queryTableField id="22" name="Grynasis pelnas 2021" tableColumnId="22"/>
      <queryTableField id="73" dataBound="0" tableColumnId="70"/>
      <queryTableField id="23" name="Grynasis pelnas 2022" tableColumnId="23"/>
      <queryTableField id="74" dataBound="0" tableColumnId="71"/>
      <queryTableField id="24" name="Grynasis pelnas 2023" tableColumnId="24"/>
      <queryTableField id="75" dataBound="0" tableColumnId="72"/>
      <queryTableField id="25" name="Grynasis pelnas 2024" tableColumnId="25"/>
      <queryTableField id="76" dataBound="0" tableColumnId="73"/>
      <queryTableField id="27" name="Rekvizitai URL" tableColumnId="27"/>
      <queryTableField id="28" name="Facebook" tableColumnId="28"/>
      <queryTableField id="29" name="Instagram" tableColumnId="29"/>
      <queryTableField id="30" name="LinkedIn" tableColumnId="30"/>
      <queryTableField id="31" name="Kredito rizika" tableColumnId="31"/>
      <queryTableField id="46" dataBound="0" tableColumnId="45"/>
    </queryTableFields>
    <queryTableDeletedFields count="5">
      <deletedField name="Teisinis statusas"/>
      <deletedField name="Veiklos sritys"/>
      <deletedField name="Pagrindinė veiklos sritis"/>
      <deletedField name="Kiti telefonai"/>
      <deletedField name="Svetainė"/>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ai" xr10:uid="{C312EBC7-D632-DE4A-9028-EF50F66FAADA}" sourceName="Metai">
  <pivotTables>
    <pivotTable tabId="9" name="PivotTable1"/>
  </pivotTables>
  <data>
    <tabular pivotCacheId="621322566">
      <items count="7">
        <i x="0"/>
        <i x="1"/>
        <i x="2"/>
        <i x="3"/>
        <i x="4"/>
        <i x="5" s="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kūryba" xr10:uid="{D36A4B49-7314-0F41-AAEC-996364D0F559}" sourceName="Veikla (kūryba)">
  <pivotTables>
    <pivotTable tabId="9" name="PivotTable1"/>
  </pivotTables>
  <data>
    <tabular pivotCacheId="621322566">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Digital_media" xr10:uid="{ECC038D1-08A8-0F4F-A7A6-57E54AA60E9D}" sourceName="Veikla (Digital media)">
  <pivotTables>
    <pivotTable tabId="9" name="PivotTable1"/>
  </pivotTables>
  <data>
    <tabular pivotCacheId="621322566">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PA" xr10:uid="{E64CC6AB-5D4B-C442-855D-EB8104747E4A}" sourceName="Veikla (PA)">
  <pivotTables>
    <pivotTable tabId="9" name="PivotTable1"/>
  </pivotTables>
  <data>
    <tabular pivotCacheId="621322566">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renginiai" xr10:uid="{7DBE774D-3920-7A4C-AC59-401601F4D21C}" sourceName="Veikla (renginiai)">
  <pivotTables>
    <pivotTable tabId="9" name="PivotTable1"/>
  </pivotTables>
  <data>
    <tabular pivotCacheId="621322566">
      <items count="3">
        <i x="0" s="1"/>
        <i x="1" s="1" nd="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Konsultantai" xr10:uid="{1A29DAAC-8B3F-1646-9A2A-C17ED716D1A2}" sourceName="Veikla (Konsultantai)">
  <pivotTables>
    <pivotTable tabId="9" name="PivotTable1"/>
  </pivotTables>
  <data>
    <tabular pivotCacheId="621322566">
      <items count="3">
        <i x="1" s="1"/>
        <i x="0"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Media" xr10:uid="{6357BD9C-6E70-5341-AE99-0070006B6D9B}" sourceName="Veikla (Media)">
  <pivotTables>
    <pivotTable tabId="9" name="PivotTable1"/>
  </pivotTables>
  <data>
    <tabular pivotCacheId="621322566">
      <items count="3">
        <i x="0" s="1"/>
        <i x="1" s="1" nd="1"/>
        <i x="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Production_house" xr10:uid="{600FE196-C745-2340-BCF9-5D26F20E3D2A}" sourceName="Veikla (Production house)">
  <pivotTables>
    <pivotTable tabId="9" name="PivotTable1"/>
  </pivotTables>
  <data>
    <tabular pivotCacheId="621322566">
      <items count="3">
        <i x="0" s="1"/>
        <i x="1" s="1" nd="1"/>
        <i x="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PR" xr10:uid="{55F40A91-8FF2-8F4D-9E80-F46191BB26C8}" sourceName="Veikla (PR)">
  <pivotTables>
    <pivotTable tabId="9" name="PivotTable1"/>
  </pivotTables>
  <data>
    <tabular pivotCacheId="621322566">
      <items count="3">
        <i x="0"/>
        <i x="1" s="1"/>
        <i x="2"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BTL" xr10:uid="{C4686BDE-401D-3749-973D-0ADEBB9D0BC0}" sourceName="Veikla (BTL)">
  <pivotTables>
    <pivotTable tabId="9" name="PivotTable1"/>
  </pivotTables>
  <data>
    <tabular pivotCacheId="621322566">
      <items count="3">
        <i x="0" s="1"/>
        <i x="1" s="1" nd="1"/>
        <i x="2"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Renginiai1" xr10:uid="{9E371929-EABA-D643-859B-C8EAB9CF0086}" sourceName="Veikla (Renginiai)">
  <pivotTables>
    <pivotTable tabId="12" name="PivotTable1"/>
  </pivotTables>
  <data>
    <tabular pivotCacheId="664148603">
      <items count="3">
        <i x="0" s="1"/>
        <i x="1" s="1"/>
        <i x="2"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BTL1" xr10:uid="{802ED817-E806-A249-BB91-8AA8A0517107}" sourceName="Veikla (BTL)">
  <pivotTables>
    <pivotTable tabId="12" name="PivotTable1"/>
  </pivotTables>
  <data>
    <tabular pivotCacheId="664148603">
      <items count="3">
        <i x="1" s="1"/>
        <i x="0" s="1"/>
        <i x="2"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Konsultantai1" xr10:uid="{8387A0FC-148A-1D43-AA2A-55443A5C28FB}" sourceName="Veikla (Konsultantai)">
  <pivotTables>
    <pivotTable tabId="12" name="PivotTable1"/>
  </pivotTables>
  <data>
    <tabular pivotCacheId="664148603">
      <items count="3">
        <i x="1" s="1"/>
        <i x="0" s="1"/>
        <i x="2"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Media1" xr10:uid="{133E6F9A-24A0-1740-8C83-9F05BE792279}" sourceName="Veikla (Media)">
  <pivotTables>
    <pivotTable tabId="12" name="PivotTable1"/>
  </pivotTables>
  <data>
    <tabular pivotCacheId="664148603">
      <items count="3">
        <i x="1" s="1"/>
        <i x="0" s="1"/>
        <i x="2"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Production_house1" xr10:uid="{96ED1A8B-E608-8F4B-A03F-D019A1ED1668}" sourceName="Veikla (Production house)">
  <pivotTables>
    <pivotTable tabId="12" name="PivotTable1"/>
  </pivotTables>
  <data>
    <tabular pivotCacheId="664148603">
      <items count="3">
        <i x="0" s="1"/>
        <i x="1" s="1"/>
        <i x="2"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kūryba1" xr10:uid="{FAB84017-E2C7-634E-AFD5-825ADEC80FC6}" sourceName="Veikla (kūryba)">
  <pivotTables>
    <pivotTable tabId="12" name="PivotTable1"/>
  </pivotTables>
  <data>
    <tabular pivotCacheId="664148603">
      <items count="3">
        <i x="1" s="1"/>
        <i x="0" s="1"/>
        <i x="2"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PR1" xr10:uid="{7ECAE35E-E00C-2B41-A995-70D1188DF6D4}" sourceName="Veikla (PR)">
  <pivotTables>
    <pivotTable tabId="12" name="PivotTable1"/>
  </pivotTables>
  <data>
    <tabular pivotCacheId="664148603">
      <items count="3">
        <i x="1" s="1"/>
        <i x="0" s="1"/>
        <i x="2"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Digital_media1" xr10:uid="{DAE87B4A-A623-F14D-890D-C7CA8683E3EF}" sourceName="Veikla (Digital media)">
  <pivotTables>
    <pivotTable tabId="12" name="PivotTable1"/>
  </pivotTables>
  <data>
    <tabular pivotCacheId="664148603">
      <items count="3">
        <i x="0" s="1"/>
        <i x="1" s="1"/>
        <i x="2"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ikla__PA1" xr10:uid="{6B0D914D-7190-9843-A345-778ED98C1274}" sourceName="Veikla (PA)">
  <pivotTables>
    <pivotTable tabId="12" name="PivotTable1"/>
  </pivotTables>
  <data>
    <tabular pivotCacheId="664148603">
      <items count="3">
        <i x="0" s="1"/>
        <i x="1" s="1"/>
        <i x="2"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Įmonės_pavadinimas" xr10:uid="{53F7F5E9-618A-4C4C-B517-03A280768029}" sourceName="Įmonės pavadinimas">
  <pivotTables>
    <pivotTable tabId="9" name="PivotTable1"/>
  </pivotTables>
  <data>
    <tabular pivotCacheId="621322566">
      <items count="117">
        <i x="4" s="1"/>
        <i x="12" s="1"/>
        <i x="13" s="1"/>
        <i x="17" s="1"/>
        <i x="25" s="1"/>
        <i x="31" s="1"/>
        <i x="40" s="1"/>
        <i x="41" s="1"/>
        <i x="42" s="1"/>
        <i x="46" s="1"/>
        <i x="48" s="1"/>
        <i x="49" s="1"/>
        <i x="55" s="1"/>
        <i x="58" s="1"/>
        <i x="67" s="1"/>
        <i x="68" s="1"/>
        <i x="70" s="1"/>
        <i x="71" s="1"/>
        <i x="73" s="1"/>
        <i x="97" s="1"/>
        <i x="108" s="1" nd="1"/>
        <i x="0" s="1" nd="1"/>
        <i x="1" s="1" nd="1"/>
        <i x="2" s="1" nd="1"/>
        <i x="3" s="1" nd="1"/>
        <i x="5" s="1" nd="1"/>
        <i x="6" s="1" nd="1"/>
        <i x="7" s="1" nd="1"/>
        <i x="8" s="1" nd="1"/>
        <i x="9" s="1" nd="1"/>
        <i x="10" s="1" nd="1"/>
        <i x="114" s="1" nd="1"/>
        <i x="11" s="1" nd="1"/>
        <i x="14" s="1" nd="1"/>
        <i x="15" s="1" nd="1"/>
        <i x="16" s="1" nd="1"/>
        <i x="18" s="1" nd="1"/>
        <i x="19" s="1" nd="1"/>
        <i x="20" s="1" nd="1"/>
        <i x="21" s="1" nd="1"/>
        <i x="22" s="1" nd="1"/>
        <i x="23" s="1" nd="1"/>
        <i x="24" s="1" nd="1"/>
        <i x="26" s="1" nd="1"/>
        <i x="27" s="1" nd="1"/>
        <i x="28" s="1" nd="1"/>
        <i x="29" s="1" nd="1"/>
        <i x="30" s="1" nd="1"/>
        <i x="32" s="1" nd="1"/>
        <i x="115" s="1" nd="1"/>
        <i x="34" s="1" nd="1"/>
        <i x="35" s="1" nd="1"/>
        <i x="36" s="1" nd="1"/>
        <i x="37" s="1" nd="1"/>
        <i x="38" s="1" nd="1"/>
        <i x="39" s="1" nd="1"/>
        <i x="43" s="1" nd="1"/>
        <i x="44" s="1" nd="1"/>
        <i x="45" s="1" nd="1"/>
        <i x="47" s="1" nd="1"/>
        <i x="50" s="1" nd="1"/>
        <i x="51" s="1" nd="1"/>
        <i x="52" s="1" nd="1"/>
        <i x="53" s="1" nd="1"/>
        <i x="54" s="1" nd="1"/>
        <i x="56" s="1" nd="1"/>
        <i x="57" s="1" nd="1"/>
        <i x="107" s="1" nd="1"/>
        <i x="59" s="1" nd="1"/>
        <i x="60" s="1" nd="1"/>
        <i x="61" s="1" nd="1"/>
        <i x="116" s="1" nd="1"/>
        <i x="62" s="1" nd="1"/>
        <i x="63" s="1" nd="1"/>
        <i x="64" s="1" nd="1"/>
        <i x="65" s="1" nd="1"/>
        <i x="111" s="1" nd="1"/>
        <i x="66" s="1" nd="1"/>
        <i x="109" s="1" nd="1"/>
        <i x="69" s="1" nd="1"/>
        <i x="106" s="1" nd="1"/>
        <i x="72" s="1" nd="1"/>
        <i x="74" s="1" nd="1"/>
        <i x="105" s="1" nd="1"/>
        <i x="75" s="1" nd="1"/>
        <i x="112" s="1" nd="1"/>
        <i x="76" s="1" nd="1"/>
        <i x="78" s="1" nd="1"/>
        <i x="79" s="1" nd="1"/>
        <i x="80" s="1" nd="1"/>
        <i x="81" s="1" nd="1"/>
        <i x="82" s="1" nd="1"/>
        <i x="103" s="1" nd="1"/>
        <i x="83" s="1" nd="1"/>
        <i x="84" s="1" nd="1"/>
        <i x="77" s="1" nd="1"/>
        <i x="85" s="1" nd="1"/>
        <i x="86" s="1" nd="1"/>
        <i x="87" s="1" nd="1"/>
        <i x="88" s="1" nd="1"/>
        <i x="89" s="1" nd="1"/>
        <i x="90" s="1" nd="1"/>
        <i x="91" s="1" nd="1"/>
        <i x="92" s="1" nd="1"/>
        <i x="93" s="1" nd="1"/>
        <i x="94" s="1" nd="1"/>
        <i x="95" s="1" nd="1"/>
        <i x="110" s="1" nd="1"/>
        <i x="96" s="1" nd="1"/>
        <i x="104" s="1" nd="1"/>
        <i x="98" s="1" nd="1"/>
        <i x="99" s="1" nd="1"/>
        <i x="33" s="1" nd="1"/>
        <i x="100" s="1" nd="1"/>
        <i x="101" s="1" nd="1"/>
        <i x="102" s="1" nd="1"/>
        <i x="113"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grindinis_brandas" xr10:uid="{EC64AF38-2212-4C3F-AD6F-D9AE929A37F4}" sourceName="Pagrindinis brandas">
  <pivotTables>
    <pivotTable tabId="12" name="PivotTable1"/>
  </pivotTables>
  <data>
    <tabular pivotCacheId="664148603">
      <items count="117">
        <i x="108" s="1"/>
        <i x="0" s="1"/>
        <i x="3" s="1"/>
        <i x="4" s="1"/>
        <i x="105" s="1"/>
        <i x="5" s="1"/>
        <i x="6" s="1"/>
        <i x="7" s="1"/>
        <i x="51" s="1"/>
        <i x="9" s="1"/>
        <i x="10" s="1"/>
        <i x="1" s="1"/>
        <i x="11" s="1"/>
        <i x="12" s="1"/>
        <i x="106" s="1"/>
        <i x="13" s="1"/>
        <i x="14" s="1"/>
        <i x="15" s="1"/>
        <i x="90" s="1"/>
        <i x="16" s="1"/>
        <i x="24" s="1"/>
        <i x="17" s="1"/>
        <i x="18" s="1"/>
        <i x="19" s="1"/>
        <i x="20" s="1"/>
        <i x="21" s="1"/>
        <i x="22" s="1"/>
        <i x="23" s="1"/>
        <i x="25" s="1"/>
        <i x="26" s="1"/>
        <i x="27" s="1"/>
        <i x="86" s="1"/>
        <i x="28" s="1"/>
        <i x="29" s="1"/>
        <i x="30" s="1"/>
        <i x="31" s="1"/>
        <i x="32" s="1"/>
        <i x="34" s="1"/>
        <i x="35" s="1"/>
        <i x="37" s="1"/>
        <i x="38" s="1"/>
        <i x="93" s="1"/>
        <i x="39" s="1"/>
        <i x="40" s="1"/>
        <i x="42" s="1"/>
        <i x="43" s="1"/>
        <i x="41" s="1"/>
        <i x="44" s="1"/>
        <i x="45" s="1"/>
        <i x="46" s="1"/>
        <i x="47" s="1"/>
        <i x="48" s="1"/>
        <i x="102" s="1"/>
        <i x="49" s="1"/>
        <i x="50" s="1"/>
        <i x="55" s="1"/>
        <i x="56" s="1"/>
        <i x="57" s="1"/>
        <i x="58" s="1"/>
        <i x="107" s="1"/>
        <i x="59" s="1"/>
        <i x="60" s="1"/>
        <i x="89" s="1"/>
        <i x="36" s="1"/>
        <i x="62" s="1"/>
        <i x="63" s="1"/>
        <i x="64" s="1"/>
        <i x="65" s="1"/>
        <i x="111" s="1"/>
        <i x="2" s="1"/>
        <i x="61" s="1"/>
        <i x="96" s="1"/>
        <i x="66" s="1"/>
        <i x="67" s="1"/>
        <i x="109" s="1"/>
        <i x="68" s="1"/>
        <i x="69" s="1"/>
        <i x="95" s="1"/>
        <i x="70" s="1"/>
        <i x="71" s="1"/>
        <i x="53" s="1"/>
        <i x="73" s="1"/>
        <i x="74" s="1"/>
        <i x="54" s="1"/>
        <i x="75" s="1"/>
        <i x="112" s="1"/>
        <i x="52" s="1"/>
        <i x="76" s="1"/>
        <i x="77" s="1"/>
        <i x="78" s="1"/>
        <i x="72" s="1"/>
        <i x="79" s="1"/>
        <i x="80" s="1"/>
        <i x="81" s="1"/>
        <i x="82" s="1"/>
        <i x="103" s="1"/>
        <i x="83" s="1"/>
        <i x="84" s="1"/>
        <i x="85" s="1"/>
        <i x="87" s="1"/>
        <i x="88" s="1"/>
        <i x="8" s="1"/>
        <i x="92" s="1"/>
        <i x="94" s="1"/>
        <i x="110" s="1"/>
        <i x="97" s="1"/>
        <i x="104" s="1"/>
        <i x="98" s="1"/>
        <i x="99" s="1"/>
        <i x="33" s="1"/>
        <i x="100" s="1"/>
        <i x="101" s="1"/>
        <i x="91" s="1"/>
        <i x="114" s="1" nd="1"/>
        <i x="116" s="1" nd="1"/>
        <i x="115" s="1" nd="1"/>
        <i x="1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ai" xr10:uid="{1B69EDAC-4C41-AB4D-9B95-2AC6C2452EF3}" cache="Slicer_Metai" caption="Metai" startItem="4" style="SlicerStyleOther1" rowHeight="230716"/>
  <slicer name="Veikla (kūryba) 1" xr10:uid="{3B803BA6-B1CE-F942-9DA9-FD8F390F2DDA}" cache="Slicer_Veikla__kūryba" caption="Veikla (kūryba)" rowHeight="230716"/>
  <slicer name="Veikla (Digital media) 1" xr10:uid="{2FC7ED41-2D27-024F-8B89-643FF01BE81A}" cache="Slicer_Veikla__Digital_media" caption="Veikla (Digital media)" rowHeight="230716"/>
  <slicer name="Veikla (PA) 1" xr10:uid="{73D97C78-6E48-E441-96CC-A0CAE3636489}" cache="Slicer_Veikla__PA" caption="Veikla (PA)" startItem="1" rowHeight="230716"/>
  <slicer name="Veikla (renginiai)" xr10:uid="{27C94012-1A52-7541-B637-8E3FBF1BC95F}" cache="Slicer_Veikla__renginiai" caption="Veikla (renginiai)" rowHeight="230716"/>
  <slicer name="Veikla (Konsultantai)" xr10:uid="{5B68DE70-B7C7-AD42-B6E2-7658587538C9}" cache="Slicer_Veikla__Konsultantai" caption="Veikla (Konsultantai)" rowHeight="230716"/>
  <slicer name="Veikla (Media)" xr10:uid="{D051F021-7B16-C740-A151-FF14EAC3E47B}" cache="Slicer_Veikla__Media" caption="Veikla (Media)" rowHeight="230716"/>
  <slicer name="Veikla (Production house)" xr10:uid="{91C31C76-FDA7-A941-A646-9831400A06EA}" cache="Slicer_Veikla__Production_house" caption="Veikla (Production house)" rowHeight="230716"/>
  <slicer name="Veikla (PR)" xr10:uid="{442A7D2E-3F87-454E-9514-EB33AF2FBC94}" cache="Slicer_Veikla__PR" caption="Veikla (PR)" rowHeight="230716"/>
  <slicer name="Veikla (BTL)" xr10:uid="{31362FF1-E234-324D-9CB5-C70538B6EFE8}" cache="Slicer_Veikla__BTL" caption="Veikla (BTL)" rowHeight="230716"/>
  <slicer name="Įmonės pavadinimas" xr10:uid="{3EF183E9-474C-524D-BB37-A1122E99BA13}" cache="Slicer_Įmonės_pavadinimas" caption="Įmonės pavadinimas"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ikla (Renginiai) 1" xr10:uid="{836C1425-8D9E-A34B-AAB4-0DBEF9E7612A}" cache="Slicer_Veikla__Renginiai1" caption="Veikla (Renginiai)" rowHeight="230716"/>
  <slicer name="Veikla (BTL) 1" xr10:uid="{0FF50752-554A-8444-9843-8DAE4E8DA978}" cache="Slicer_Veikla__BTL1" caption="Veikla (BTL)" rowHeight="230716"/>
  <slicer name="Veikla (Konsultantai) 1" xr10:uid="{B3789C78-F92D-184D-B78C-34E697720AFF}" cache="Slicer_Veikla__Konsultantai1" caption="Veikla (Konsultantai)" rowHeight="230716"/>
  <slicer name="Veikla (Media) 1" xr10:uid="{53207DC8-750E-9142-AF24-A06670FC68B5}" cache="Slicer_Veikla__Media1" caption="Veikla (Media)" rowHeight="230716"/>
  <slicer name="Veikla (Production house) 1" xr10:uid="{673EF6FE-6A8B-C745-BB46-D2551EB51080}" cache="Slicer_Veikla__Production_house1" caption="Veikla (Production house)" rowHeight="230716"/>
  <slicer name="Veikla (kūryba)" xr10:uid="{C51BB6BA-0FA6-B140-9726-A705740C27C5}" cache="Slicer_Veikla__kūryba1" caption="Veikla (kūryba)" rowHeight="230716"/>
  <slicer name="Veikla (PR) 1" xr10:uid="{19ED2E8A-D01F-134B-99F0-799454BE1B71}" cache="Slicer_Veikla__PR1" caption="Veikla (PR)" rowHeight="230716"/>
  <slicer name="Veikla (Digital media)" xr10:uid="{814A3469-2A65-F94B-910A-A2BE59436939}" cache="Slicer_Veikla__Digital_media1" caption="Veikla (Digital media)" rowHeight="230716"/>
  <slicer name="Veikla (PA)" xr10:uid="{3099A1A0-9AD9-F147-9932-35CEF25737C2}" cache="Slicer_Veikla__PA1" caption="Veikla (PA)" rowHeight="230716"/>
  <slicer name="Pagrindinis brandas" xr10:uid="{3FBFF7E8-6344-4092-84A8-A4E189F5BF16}" cache="Slicer_Pagrindinis_brandas" caption="Pagrindinis brandas"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DC96B4-4B3F-4604-AC78-2FB69AE3840B}" name="_20250609_reklama_data" displayName="_20250609_reklama_data" ref="A1:CE170" tableType="queryTable" totalsRowShown="0" headerRowDxfId="132" dataDxfId="131">
  <autoFilter ref="A1:CE170" xr:uid="{35DC96B4-4B3F-4604-AC78-2FB69AE3840B}"/>
  <sortState xmlns:xlrd2="http://schemas.microsoft.com/office/spreadsheetml/2017/richdata2" ref="A2:CE170">
    <sortCondition ref="A1:A170"/>
  </sortState>
  <tableColumns count="83">
    <tableColumn id="74" xr3:uid="{023B6EE4-F08A-448A-A188-1930A4532A34}" uniqueName="74" name="Pavadinimas" queryTableFieldId="77" dataDxfId="130"/>
    <tableColumn id="10" xr3:uid="{2EE8D061-C080-4193-8877-1398256BADDE}" uniqueName="10" name="Pagrindinis brandas" queryTableFieldId="89" dataDxfId="129"/>
    <tableColumn id="77" xr3:uid="{E1E2CF7F-477C-4333-80BB-7FD4BEC3E800}" uniqueName="77" name="Svetainė" queryTableFieldId="79" dataDxfId="128"/>
    <tableColumn id="33" xr3:uid="{75CE1099-AA33-4A52-8F9A-9840DFB6BB7A}" uniqueName="33" name="EVRK v2 veiklos kodas" queryTableFieldId="33" dataDxfId="127"/>
    <tableColumn id="34" xr3:uid="{88667FDC-BBB0-4290-8ACF-238B2000542E}" uniqueName="34" name="EVRK v2 veikla" queryTableFieldId="34" dataDxfId="126"/>
    <tableColumn id="53" xr3:uid="{C5EBC0D7-F616-DE49-81FA-3C77AC057AFD}" uniqueName="53" name="Veikla (kūryba)" queryTableFieldId="88" dataDxfId="125"/>
    <tableColumn id="42" xr3:uid="{74172842-00A1-6B47-B0B4-D7AB615F88F8}" uniqueName="42" name="Veikla (PR)" queryTableFieldId="85" dataDxfId="124"/>
    <tableColumn id="43" xr3:uid="{EC08F7C3-BF66-924A-8C89-D3CA996156C0}" uniqueName="43" name="Veikla (Digital media)" queryTableFieldId="86" dataDxfId="123"/>
    <tableColumn id="44" xr3:uid="{A506D3EE-4BAE-B241-B6DA-141D0D89D7BC}" uniqueName="44" name="Veikla (PA)" queryTableFieldId="87" dataDxfId="122"/>
    <tableColumn id="1" xr3:uid="{896C9150-0C84-4569-89A1-846343A116B0}" uniqueName="1" name="Kodas" queryTableFieldId="1" dataDxfId="121"/>
    <tableColumn id="2" xr3:uid="{B618AB59-FB34-450C-8124-4E25BAF7C0AA}" uniqueName="2" name="PVM kodas" queryTableFieldId="2" dataDxfId="120"/>
    <tableColumn id="3" xr3:uid="{DCBF0D61-D627-44B4-899D-E916BF0FB269}" uniqueName="3" name="Įmonė" queryTableFieldId="3" dataDxfId="119"/>
    <tableColumn id="4" xr3:uid="{EC105617-86BD-4941-BC38-64CE36E903A0}" uniqueName="4" name="Adresas" queryTableFieldId="4" dataDxfId="118"/>
    <tableColumn id="5" xr3:uid="{FF0E0FFF-99DE-460A-8079-9B9C921324D8}" uniqueName="5" name="Miestas" queryTableFieldId="5" dataDxfId="117"/>
    <tableColumn id="6" xr3:uid="{14185EFF-CBBC-439A-8BCC-EAB0A16FAD9B}" uniqueName="6" name="El. paštas" queryTableFieldId="6" dataDxfId="116"/>
    <tableColumn id="7" xr3:uid="{3F459B57-B2EE-49AF-AE7D-25ABA3BA6836}" uniqueName="7" name="Telefonas" queryTableFieldId="7" dataDxfId="115"/>
    <tableColumn id="8" xr3:uid="{53D3D5D9-7591-4942-B7B4-EF74A1DEB3CA}" uniqueName="8" name="Mobilus" queryTableFieldId="8" dataDxfId="114"/>
    <tableColumn id="41" xr3:uid="{55CA0836-B223-4AEF-B526-2AC7C04EB9A5}" uniqueName="41" name="Darbuotojai 2019" queryTableFieldId="41" dataDxfId="113"/>
    <tableColumn id="40" xr3:uid="{880701E5-38D7-4B1C-A7A8-6F1B5FC3D96D}" uniqueName="40" name="Darbuotojai 2020" queryTableFieldId="40" dataDxfId="112"/>
    <tableColumn id="54" xr3:uid="{C361B4DD-9CDB-4B77-84AC-C03A195953FF}" uniqueName="54" name="Darb. Pokytis 19-20" queryTableFieldId="57" dataDxfId="111"/>
    <tableColumn id="39" xr3:uid="{6E13B82B-0B04-4C87-82B9-EE1789C14750}" uniqueName="39" name="Darbuotojai 2021" queryTableFieldId="39" dataDxfId="110"/>
    <tableColumn id="55" xr3:uid="{C9621F31-465A-4847-85B8-89A1EB571C2B}" uniqueName="55" name="Darb. Pokytis 20-21" queryTableFieldId="58" dataDxfId="109"/>
    <tableColumn id="38" xr3:uid="{79D37094-09E2-4E40-823D-4702591E4166}" uniqueName="38" name="Darbuotojai 2022" queryTableFieldId="38" dataDxfId="108"/>
    <tableColumn id="56" xr3:uid="{11D1CB24-87B8-4B72-BDAD-C8A606D6AE16}" uniqueName="56" name="Darb. Pokytis 21-22" queryTableFieldId="59" dataDxfId="107"/>
    <tableColumn id="37" xr3:uid="{0D90DFE6-BF7A-4EAE-85ED-603FE3FE3C78}" uniqueName="37" name="Darbuotojai 2023" queryTableFieldId="37" dataDxfId="106"/>
    <tableColumn id="57" xr3:uid="{0A7E4295-4427-4FA3-A7E5-7ED4164DFE8A}" uniqueName="57" name="Darb. Pokytis 22-23" queryTableFieldId="60" dataDxfId="105"/>
    <tableColumn id="36" xr3:uid="{D0E45105-0DD0-4586-8080-7C8B27296B1C}" uniqueName="36" name="Darbuotojai 2024" queryTableFieldId="36" dataDxfId="104"/>
    <tableColumn id="58" xr3:uid="{5BEDDA0C-2CE3-4240-BF79-C2344EA6220C}" uniqueName="58" name="Darb. Pokytis 23-24" queryTableFieldId="61" dataDxfId="103"/>
    <tableColumn id="12" xr3:uid="{98CFE85F-71B2-4DC8-96A1-63841141544C}" uniqueName="12" name="Darbuotojai 2025 06 09" queryTableFieldId="12" dataDxfId="102"/>
    <tableColumn id="52" xr3:uid="{DDB1039E-C6E3-44D1-A4E0-44CC8553F683}" uniqueName="52" name="Atlyginimų vidurkis 2019" queryTableFieldId="53" dataDxfId="101"/>
    <tableColumn id="75" xr3:uid="{0461A7B0-7705-4AF2-B84D-58BBE3F6AA52}" uniqueName="75" name="Atlyginimų sąnaudos 2019" queryTableFieldId="91" dataDxfId="100">
      <calculatedColumnFormula>_20250609_reklama_data[[#This Row],[Atlyginimų vidurkis 2019]]*_20250609_reklama_data[[#This Row],[Darbuotojai 2019]]*12</calculatedColumnFormula>
    </tableColumn>
    <tableColumn id="84" xr3:uid="{6DEDFB14-B477-4302-BF50-C1C8A654289B}" uniqueName="84" name="Ne atlyginimų sąnaudos darbuotojui 2019" queryTableFieldId="98" dataDxfId="99">
      <calculatedColumnFormula>(_20250609_reklama_data[[#This Row],[Apyvarta 2019]]-_20250609_reklama_data[[#This Row],[Atlyginimų sąnaudos 2019]])/_20250609_reklama_data[[#This Row],[Darbuotojai 2019]]</calculatedColumnFormula>
    </tableColumn>
    <tableColumn id="51" xr3:uid="{2023ADFD-DBF6-4831-9C62-6DA2B6FCFBF0}" uniqueName="51" name="Atlyginimų vidurkis 2020" queryTableFieldId="52" dataDxfId="98"/>
    <tableColumn id="76" xr3:uid="{B4379684-FAFB-403E-B3B8-CB933648C356}" uniqueName="76" name="Atlyginimų sąnaudos 2020" queryTableFieldId="92" dataDxfId="97">
      <calculatedColumnFormula>_20250609_reklama_data[[#This Row],[Atlyginimų vidurkis 2020]]*_20250609_reklama_data[[#This Row],[Darbuotojai 2020]]*12</calculatedColumnFormula>
    </tableColumn>
    <tableColumn id="86" xr3:uid="{9E394459-5862-48D4-BB00-2763E28BF622}" uniqueName="86" name="Ne atlyginimų sąnaudos darbuotojui 2020" queryTableFieldId="99" dataDxfId="96">
      <calculatedColumnFormula>(_20250609_reklama_data[[#This Row],[Apyvarta 2020]]-_20250609_reklama_data[[#This Row],[Atlyginimų sąnaudos 2020]])/_20250609_reklama_data[[#This Row],[Darbuotojai 2020]]</calculatedColumnFormula>
    </tableColumn>
    <tableColumn id="59" xr3:uid="{141999EB-8DE8-499F-AEC3-75BCD7B7003E}" uniqueName="59" name="Atl .Pokytis 19-20" queryTableFieldId="62" dataDxfId="95"/>
    <tableColumn id="50" xr3:uid="{25D53B6A-F0CB-4421-8662-612445EC9C0B}" uniqueName="50" name="Atlyginimų vidurkis 2021" queryTableFieldId="51" dataDxfId="94"/>
    <tableColumn id="78" xr3:uid="{EEED6070-E924-48E9-AC3B-2334BCC63447}" uniqueName="78" name="Atlyginimų sąnaudos 2021" queryTableFieldId="93" dataDxfId="93">
      <calculatedColumnFormula>_20250609_reklama_data[[#This Row],[Atlyginimų vidurkis 2021]]*_20250609_reklama_data[[#This Row],[Darbuotojai 2021]]*12</calculatedColumnFormula>
    </tableColumn>
    <tableColumn id="87" xr3:uid="{04045280-9072-4FC2-8A8D-C9383744FB87}" uniqueName="87" name="Ne atlyginimų sąnaudos darbuotojui 2021" queryTableFieldId="100" dataDxfId="92">
      <calculatedColumnFormula>(_20250609_reklama_data[[#This Row],[Apyvarta 2021]]-_20250609_reklama_data[[#This Row],[Atlyginimų sąnaudos 2021]])/_20250609_reklama_data[[#This Row],[Darbuotojai 2021]]</calculatedColumnFormula>
    </tableColumn>
    <tableColumn id="60" xr3:uid="{BBD25FDE-0908-4553-A2C3-0C92CB679D5C}" uniqueName="60" name="Atl. Pokytis 20-21" queryTableFieldId="63" dataDxfId="91"/>
    <tableColumn id="49" xr3:uid="{06FDA661-085A-484F-980B-D1FA860BCFEE}" uniqueName="49" name="Atlyginimų vidurkis 2022" queryTableFieldId="50" dataDxfId="90"/>
    <tableColumn id="79" xr3:uid="{89841939-8B07-4FB2-BD5F-8A26429EFBE9}" uniqueName="79" name="Atlyginimų sąnaudos 2022" queryTableFieldId="94" dataDxfId="89">
      <calculatedColumnFormula>_20250609_reklama_data[[#This Row],[Atlyginimų vidurkis 2022]]*_20250609_reklama_data[[#This Row],[Darbuotojai 2022]]*12</calculatedColumnFormula>
    </tableColumn>
    <tableColumn id="88" xr3:uid="{4186EA34-44F1-4F00-BBA6-FAF18F979F33}" uniqueName="88" name="Ne atlyginimų sąnaudos darbuotojui 2022" queryTableFieldId="101" dataDxfId="88">
      <calculatedColumnFormula>(_20250609_reklama_data[[#This Row],[Apyvarta 2022]]-_20250609_reklama_data[[#This Row],[Atlyginimų sąnaudos 2022]])/_20250609_reklama_data[[#This Row],[Darbuotojai 2022]]</calculatedColumnFormula>
    </tableColumn>
    <tableColumn id="61" xr3:uid="{EF76CED6-1494-464D-9AAE-8CC83C43B4A8}" uniqueName="61" name="Atl. Pokytis 21-22" queryTableFieldId="64" dataDxfId="87"/>
    <tableColumn id="48" xr3:uid="{1C957381-0460-4AD4-8221-3CBC141ABF6D}" uniqueName="48" name="Atlyginimų vidurkis 2023" queryTableFieldId="49" dataDxfId="86"/>
    <tableColumn id="80" xr3:uid="{E9B9EE36-9650-44B6-A5A1-DC8231ACEF95}" uniqueName="80" name="Atlyginimų sąnaudos 2023" queryTableFieldId="95" dataDxfId="85">
      <calculatedColumnFormula>_20250609_reklama_data[[#This Row],[Atlyginimų vidurkis 2023]]*_20250609_reklama_data[[#This Row],[Darbuotojai 2023]]*12</calculatedColumnFormula>
    </tableColumn>
    <tableColumn id="89" xr3:uid="{DC910F9E-FE63-4232-8A39-26C9629593A4}" uniqueName="89" name="Ne atlyginimų sąnaudos darbuotojui 2023" queryTableFieldId="102" dataDxfId="84">
      <calculatedColumnFormula>(_20250609_reklama_data[[#This Row],[Apyvarta 2023]]-_20250609_reklama_data[[#This Row],[Atlyginimų sąnaudos 2023]])/_20250609_reklama_data[[#This Row],[Darbuotojai 2023]]</calculatedColumnFormula>
    </tableColumn>
    <tableColumn id="62" xr3:uid="{E8B5D363-09ED-4FC1-B35B-03DE2C2A8B80}" uniqueName="62" name="Atl. Pokytis 22-23" queryTableFieldId="65" dataDxfId="83"/>
    <tableColumn id="47" xr3:uid="{EC1F5350-C127-4256-ADF8-635A7BD29E00}" uniqueName="47" name="Atlyginimų vidurkis 2024" queryTableFieldId="48" dataDxfId="82"/>
    <tableColumn id="81" xr3:uid="{3596E137-9921-4C80-85BB-35AF58858C77}" uniqueName="81" name="Atlyginimų sąnaudos 2024" queryTableFieldId="96" dataDxfId="81">
      <calculatedColumnFormula>_20250609_reklama_data[[#This Row],[Atlyginimų vidurkis 2024]]*_20250609_reklama_data[[#This Row],[Darbuotojai 2024]]*12</calculatedColumnFormula>
    </tableColumn>
    <tableColumn id="90" xr3:uid="{C4EB2F5E-FCDD-450F-88A9-D3120A1BC7DF}" uniqueName="90" name="Ne atlyginimų sąnaudos darbuotojui 2024" queryTableFieldId="103" dataDxfId="80">
      <calculatedColumnFormula>(_20250609_reklama_data[[#This Row],[Apyvarta 2024]]-_20250609_reklama_data[[#This Row],[Atlyginimų sąnaudos 2024]])/_20250609_reklama_data[[#This Row],[Darbuotojai 2024]]</calculatedColumnFormula>
    </tableColumn>
    <tableColumn id="63" xr3:uid="{63F86AB8-4EF6-4665-9397-A23EB6E44E17}" uniqueName="63" name="Atl. Pokytis 23-24" queryTableFieldId="66" dataDxfId="79"/>
    <tableColumn id="46" xr3:uid="{992B8005-602B-424F-ACF0-8D30E7383052}" uniqueName="46" name="Atlyginimų vidurkis 2025 04" queryTableFieldId="47" dataDxfId="78"/>
    <tableColumn id="82" xr3:uid="{B9E11AE9-7A0A-4187-9413-242F5D9F1715}" uniqueName="82" name="Atlyginimų sąnaudos 2025 05" queryTableFieldId="97" dataDxfId="77">
      <calculatedColumnFormula>_20250609_reklama_data[[#This Row],[Atlyginimų vidurkis 2025 04]]*_20250609_reklama_data[[#This Row],[Darbuotojai 2025 06 09]]*5</calculatedColumnFormula>
    </tableColumn>
    <tableColumn id="13" xr3:uid="{AEB90A6D-32A4-43EB-8587-1374287DE8EC}" uniqueName="13" name="Skola Sodrai" queryTableFieldId="13" dataDxfId="76"/>
    <tableColumn id="14" xr3:uid="{BBE87897-F78E-492A-862C-D67404CCF4D0}" uniqueName="14" name="Apyvarta 2019" queryTableFieldId="14" dataDxfId="75"/>
    <tableColumn id="15" xr3:uid="{8ECCAF08-5BCC-40A3-950B-5571A02E1D00}" uniqueName="15" name="Apyvarta 2020" queryTableFieldId="15" dataDxfId="74"/>
    <tableColumn id="64" xr3:uid="{83BC58A8-B44E-475C-9550-A533147E750C}" uniqueName="64" name="Apyvart. Pokytis 19-20" queryTableFieldId="67" dataDxfId="73"/>
    <tableColumn id="16" xr3:uid="{94E534EA-E3D9-4308-ACD4-BC3743BD9A58}" uniqueName="16" name="Apyvarta 2021" queryTableFieldId="16" dataDxfId="72"/>
    <tableColumn id="65" xr3:uid="{9954CE15-3598-4DAA-81AE-E60E723D1FE8}" uniqueName="65" name="Apyvart. Pokytis 20-21" queryTableFieldId="68" dataDxfId="71"/>
    <tableColumn id="17" xr3:uid="{545C8DA1-7791-44D7-A3FE-B5AD9E9DFC32}" uniqueName="17" name="Apyvarta 2022" queryTableFieldId="17" dataDxfId="70"/>
    <tableColumn id="66" xr3:uid="{4AAB9FD4-037E-45AC-948A-B7D6C568F367}" uniqueName="66" name="Apyvart. Pokytis 21-22" queryTableFieldId="69" dataDxfId="69"/>
    <tableColumn id="18" xr3:uid="{4654505F-4285-47CC-BA27-49E8ACBF0D2B}" uniqueName="18" name="Apyvarta 2023" queryTableFieldId="18" dataDxfId="68"/>
    <tableColumn id="67" xr3:uid="{90D29C90-CD98-4A8A-B806-A823E837312F}" uniqueName="67" name="Apyvart. Pokytis 22-23" queryTableFieldId="70" dataDxfId="67"/>
    <tableColumn id="19" xr3:uid="{69103968-B6B9-4193-BF59-521CC4D0D652}" uniqueName="19" name="Apyvarta 2024" queryTableFieldId="19" dataDxfId="66"/>
    <tableColumn id="68" xr3:uid="{D6B816FE-7295-488E-8152-370E783225B7}" uniqueName="68" name="Apyvart. Pokytis 23-24" queryTableFieldId="71" dataDxfId="65"/>
    <tableColumn id="20" xr3:uid="{531D87F4-C3B9-48D6-BE46-795B81B767B4}" uniqueName="20" name="Grynasis pelnas 2019" queryTableFieldId="20" dataDxfId="64"/>
    <tableColumn id="21" xr3:uid="{AE79C2C0-36DF-4E1F-A70D-119BEBCFD13A}" uniqueName="21" name="Grynasis pelnas 2020" queryTableFieldId="21" dataDxfId="63"/>
    <tableColumn id="69" xr3:uid="{C38BFD0D-9A87-4DFC-9126-64A0EAD2A630}" uniqueName="69" name="Gr. Peln. Pokytis 19-20" queryTableFieldId="72" dataDxfId="62"/>
    <tableColumn id="22" xr3:uid="{38ABCEF2-0A9A-4F0D-9D3E-86E51584AC1C}" uniqueName="22" name="Grynasis pelnas 2021" queryTableFieldId="22" dataDxfId="61"/>
    <tableColumn id="70" xr3:uid="{2C2661C3-061C-46C5-93AF-551C2C266652}" uniqueName="70" name="Gr. Peln. Pokytis 20-21" queryTableFieldId="73" dataDxfId="60"/>
    <tableColumn id="23" xr3:uid="{3C1AD7B6-BA2F-459B-A90E-3C895470AF40}" uniqueName="23" name="Grynasis pelnas 2022" queryTableFieldId="23" dataDxfId="59"/>
    <tableColumn id="71" xr3:uid="{A80F6D1A-E789-4406-B0E1-6BE2ED805D17}" uniqueName="71" name="Gr. Peln. Pokytis 21-22" queryTableFieldId="74" dataDxfId="58"/>
    <tableColumn id="24" xr3:uid="{6F4D3E84-AE91-4F7E-BA6A-C74CC0344695}" uniqueName="24" name="Grynasis pelnas 2023" queryTableFieldId="24" dataDxfId="57"/>
    <tableColumn id="72" xr3:uid="{D51C5AAE-D40B-4A5B-9BA0-99DDBCE77E0E}" uniqueName="72" name="Gr. Peln. Pokytis 22-23" queryTableFieldId="75" dataDxfId="56"/>
    <tableColumn id="25" xr3:uid="{F2CDEDA5-36F1-4518-85CE-529EBD7D7DA7}" uniqueName="25" name="Grynasis pelnas 2024" queryTableFieldId="25" dataDxfId="55"/>
    <tableColumn id="73" xr3:uid="{2DB9E42F-D381-4D8B-BE59-75768561F86B}" uniqueName="73" name="Gr. Peln. Pokytis 23-24" queryTableFieldId="76" dataDxfId="54"/>
    <tableColumn id="27" xr3:uid="{797CCCAD-D51F-4F36-8E71-DD26728F2B13}" uniqueName="27" name="Rekvizitai URL" queryTableFieldId="27" dataDxfId="53"/>
    <tableColumn id="28" xr3:uid="{6B284904-86B0-4D04-ADDD-A5C498141179}" uniqueName="28" name="Facebook" queryTableFieldId="28" dataDxfId="52"/>
    <tableColumn id="29" xr3:uid="{55BD47A3-F092-4ACC-92C5-20E4A6DCCD61}" uniqueName="29" name="Instagram" queryTableFieldId="29" dataDxfId="51"/>
    <tableColumn id="30" xr3:uid="{6A2E2272-2ADF-4F56-8C7E-6BFF1EB79D2E}" uniqueName="30" name="LinkedIn" queryTableFieldId="30" dataDxfId="50"/>
    <tableColumn id="31" xr3:uid="{FB733477-DD84-4886-8818-7FB311E2953E}" uniqueName="31" name="Kredito rizika" queryTableFieldId="31" dataDxfId="49"/>
    <tableColumn id="45" xr3:uid="{8B83D225-EDA8-4FBD-8882-0ED8449E5713}" uniqueName="45" name="Įregistruota" queryTableFieldId="46" dataDxfId="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B9667C-E731-3E4A-984D-2963CAA20CFD}" name="Table2" displayName="Table2" ref="A1:Z661" totalsRowShown="0" headerRowDxfId="47" headerRowBorderDxfId="46" tableBorderDxfId="45" headerRowCellStyle="Normal 2">
  <autoFilter ref="A1:Z661" xr:uid="{BDB9667C-E731-3E4A-984D-2963CAA20CFD}">
    <filterColumn colId="9">
      <filters>
        <filter val="PR"/>
      </filters>
    </filterColumn>
  </autoFilter>
  <sortState xmlns:xlrd2="http://schemas.microsoft.com/office/spreadsheetml/2017/richdata2" ref="A2:X612">
    <sortCondition ref="A1:A612"/>
  </sortState>
  <tableColumns count="26">
    <tableColumn id="1" xr3:uid="{3A4CEACC-4E49-C043-810D-19CD10DB7E93}" name="Įmonės pavadinimas" dataDxfId="44" dataCellStyle="Normal 2"/>
    <tableColumn id="2" xr3:uid="{F28D9C43-FE44-634A-A1EB-8827FFD67BBC}" name="Pagrindinis brandas" dataDxfId="43"/>
    <tableColumn id="3" xr3:uid="{2DB99A2D-5E16-DF43-9192-96C64CDA4500}" name="Metai" dataDxfId="42"/>
    <tableColumn id="4" xr3:uid="{91F32600-6070-D148-A448-FEFF6C209234}" name="Veikla (Renginiai)" dataDxfId="41"/>
    <tableColumn id="5" xr3:uid="{E5B4876C-70CA-4A43-9C1F-AC330B6C1555}" name="Veikla (BTL)" dataDxfId="40" dataCellStyle="Normal 2"/>
    <tableColumn id="6" xr3:uid="{C6A7EE41-59A7-2249-B9E8-BB21BDDCAFCF}" name="Veikla (Konsultantai)" dataDxfId="39"/>
    <tableColumn id="7" xr3:uid="{C8B41070-34E0-0B4B-92A8-72831D40E7A3}" name="Veikla (Media)" dataDxfId="38"/>
    <tableColumn id="8" xr3:uid="{5D2DEB24-C11E-7B49-AE23-05656D407D44}" name="Veikla (Production house)" dataDxfId="37"/>
    <tableColumn id="9" xr3:uid="{0E81CCA8-06D4-1049-AE61-B59184751E17}" name="Veikla (kūryba)" dataDxfId="36"/>
    <tableColumn id="10" xr3:uid="{E5656413-6C99-E748-A500-7AD4EDDE8FF2}" name="Veikla (PR)" dataDxfId="35"/>
    <tableColumn id="11" xr3:uid="{5CC9EE0E-3696-7146-A3EC-D2996BA1DE62}" name="Veikla (Digital media)" dataDxfId="34"/>
    <tableColumn id="12" xr3:uid="{604F458B-654D-8E47-8BD4-D503F67C6B5B}" name="Veikla (PA)" dataDxfId="33"/>
    <tableColumn id="13" xr3:uid="{95791C3B-D6CE-1247-B7FD-E7C209F55669}" name="Darbuotojų skaičius" dataDxfId="32" dataCellStyle="Comma"/>
    <tableColumn id="14" xr3:uid="{774D60A2-EB64-CB43-A380-B69502C0C1A3}" name="Darbuotojų pokytis, %" dataDxfId="31">
      <calculatedColumnFormula>IFERROR(Table2[[#This Row],[Darbuotojų skaičius]]/M1-1,0)</calculatedColumnFormula>
    </tableColumn>
    <tableColumn id="15" xr3:uid="{5CFCEFCF-8867-6C4D-8428-9217C7E99B71}" name="Atlyginimo vidurkis" dataDxfId="30" dataCellStyle="Comma"/>
    <tableColumn id="16" xr3:uid="{87FCC8E9-EB6F-9848-81FF-507720C6EB72}" name="Atlyginimo pokytis, %" dataDxfId="29"/>
    <tableColumn id="17" xr3:uid="{5254EF73-5B54-CF46-85A9-7E7B962FCE54}" name="DU sąnaudos" dataDxfId="28" dataCellStyle="Comma">
      <calculatedColumnFormula>Table2[[#This Row],[Atlyginimo vidurkis]]*Table2[[#This Row],[Darbuotojų skaičius]]*12</calculatedColumnFormula>
    </tableColumn>
    <tableColumn id="24" xr3:uid="{7944C9B3-6CFE-4410-90D7-801DB8CD1980}" name="DU sąnaudų pokytis, %" dataDxfId="27" dataCellStyle="Comma">
      <calculatedColumnFormula>IFERROR(Table2[[#This Row],[DU sąnaudos]]/Q1-1,0)</calculatedColumnFormula>
    </tableColumn>
    <tableColumn id="18" xr3:uid="{4D20D8D8-EBDE-8F46-AF01-A998B05D43DE}" name="Apyvarta" dataDxfId="26" dataCellStyle="Comma"/>
    <tableColumn id="19" xr3:uid="{D2FE1F22-E99B-D14A-92E7-6595E3316A61}" name="Apyvartos pokytis, %" dataDxfId="25"/>
    <tableColumn id="20" xr3:uid="{7FCCC653-D1B1-8145-95B3-410BA61AFFA2}" name="Ne-atlyginimų sąnaudos" dataDxfId="24" dataCellStyle="Comma">
      <calculatedColumnFormula>IF(Table2[[#This Row],[DU sąnaudos]]=0,0,Table2[[#This Row],[Apyvarta]]-Table2[[#This Row],[DU sąnaudos]]-Table2[[#This Row],[Pelnas]])</calculatedColumnFormula>
    </tableColumn>
    <tableColumn id="23" xr3:uid="{551CADDC-E59C-43D5-B875-F3267A020330}" name="Ne-atlyginimų sąnaudų pokytis, %" dataDxfId="23" dataCellStyle="Comma">
      <calculatedColumnFormula>IFERROR(Table2[[#This Row],[Ne-atlyginimų sąnaudos]]/U1-1,0)</calculatedColumnFormula>
    </tableColumn>
    <tableColumn id="21" xr3:uid="{4A18684B-B797-C44C-B5AA-1D2797395690}" name="Pelnas" dataDxfId="22" dataCellStyle="Comma"/>
    <tableColumn id="22" xr3:uid="{E7F97D2E-6F66-B34F-83DF-123CA0EE6D6E}" name="Pelno pokytis, %" dataDxfId="21"/>
    <tableColumn id="25" xr3:uid="{796DB275-E03A-4653-9DF5-CC3CA644C088}" name="Fiks ir pelno mokestis" dataDxfId="20">
      <calculatedColumnFormula>Table2[[#This Row],[DU sąnaudos]]*0.43</calculatedColumnFormula>
    </tableColumn>
    <tableColumn id="26" xr3:uid="{DD9AB7A6-EE79-4E7E-9411-F394CCFFFDBF}" name="Spėjamos pajamos" dataDxfId="19">
      <calculatedColumnFormula>Table2[[#This Row],[Apyvarta]]-Table2[[#This Row],[Ne-atlyginimų sąnaudos]]+Table2[[#This Row],[Fiks ir pelno mokestis]]</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ventonuovo.lt/" TargetMode="External"/><Relationship Id="rId1" Type="http://schemas.openxmlformats.org/officeDocument/2006/relationships/hyperlink" Target="http://www.metaadvisory.l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sons.daughters.agency/" TargetMode="External"/><Relationship Id="rId13" Type="http://schemas.openxmlformats.org/officeDocument/2006/relationships/hyperlink" Target="https://rekvizitai.vz.lt/imone/uab_lamco/juridinis-asmuo/" TargetMode="External"/><Relationship Id="rId3" Type="http://schemas.openxmlformats.org/officeDocument/2006/relationships/hyperlink" Target="https://www.facebook.com/Dentsu-Lithuania-111642568134310" TargetMode="External"/><Relationship Id="rId7" Type="http://schemas.openxmlformats.org/officeDocument/2006/relationships/hyperlink" Target="https://rekvizitai.vz.lt/imone/socialus_marketingas/" TargetMode="External"/><Relationship Id="rId12" Type="http://schemas.openxmlformats.org/officeDocument/2006/relationships/hyperlink" Target="https://www.instagram.com/madiavoagentura/" TargetMode="External"/><Relationship Id="rId2" Type="http://schemas.openxmlformats.org/officeDocument/2006/relationships/hyperlink" Target="http://www.ventonuovo.lt/" TargetMode="External"/><Relationship Id="rId16" Type="http://schemas.openxmlformats.org/officeDocument/2006/relationships/table" Target="../tables/table1.xml"/><Relationship Id="rId1" Type="http://schemas.openxmlformats.org/officeDocument/2006/relationships/hyperlink" Target="http://www.metaadvisory.lt/" TargetMode="External"/><Relationship Id="rId6" Type="http://schemas.openxmlformats.org/officeDocument/2006/relationships/hyperlink" Target="https://www.linkedin.com/company/mindshare-lithuania/" TargetMode="External"/><Relationship Id="rId11" Type="http://schemas.openxmlformats.org/officeDocument/2006/relationships/hyperlink" Target="https://www.instagram.com/pickastory.eu/" TargetMode="External"/><Relationship Id="rId5" Type="http://schemas.openxmlformats.org/officeDocument/2006/relationships/hyperlink" Target="https://www.instagram.com/inspired_um/" TargetMode="External"/><Relationship Id="rId15" Type="http://schemas.openxmlformats.org/officeDocument/2006/relationships/printerSettings" Target="../printerSettings/printerSettings1.bin"/><Relationship Id="rId10" Type="http://schemas.openxmlformats.org/officeDocument/2006/relationships/hyperlink" Target="https://www.linkedin.com/company/pick-a-story/" TargetMode="External"/><Relationship Id="rId4" Type="http://schemas.openxmlformats.org/officeDocument/2006/relationships/hyperlink" Target="https://www.linkedin.com/company/dentsu-lithuania/?originalSubdomain=lt" TargetMode="External"/><Relationship Id="rId9" Type="http://schemas.openxmlformats.org/officeDocument/2006/relationships/hyperlink" Target="https://www.linkedin.com/company/smart-vilnius/?originalSubdomain=lt" TargetMode="External"/><Relationship Id="rId14" Type="http://schemas.openxmlformats.org/officeDocument/2006/relationships/hyperlink" Target="http://www.omnicommediagroup.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9F18-A96C-6D40-A1EE-382746D7E166}">
  <dimension ref="A1:BS104"/>
  <sheetViews>
    <sheetView workbookViewId="0">
      <selection activeCell="C41" sqref="C41"/>
    </sheetView>
  </sheetViews>
  <sheetFormatPr baseColWidth="10" defaultColWidth="8.83203125" defaultRowHeight="15" x14ac:dyDescent="0.2"/>
  <cols>
    <col min="1" max="1" width="21.1640625" customWidth="1"/>
    <col min="2" max="2" width="13.1640625" customWidth="1"/>
    <col min="3" max="3" width="8.5" customWidth="1"/>
    <col min="4" max="4" width="13.5" bestFit="1" customWidth="1"/>
    <col min="5" max="8" width="13.5" customWidth="1"/>
    <col min="9" max="9" width="15" bestFit="1" customWidth="1"/>
    <col min="10" max="10" width="9.83203125" bestFit="1" customWidth="1"/>
    <col min="11" max="11" width="18.1640625" bestFit="1" customWidth="1"/>
    <col min="12" max="12" width="14.6640625" bestFit="1" customWidth="1"/>
    <col min="13" max="13" width="7" customWidth="1"/>
    <col min="14" max="14" width="18.5" customWidth="1"/>
    <col min="15" max="15" width="9.83203125" bestFit="1" customWidth="1"/>
    <col min="16" max="16" width="12.1640625" bestFit="1" customWidth="1"/>
    <col min="17" max="17" width="13.6640625" bestFit="1" customWidth="1"/>
    <col min="18" max="18" width="7" customWidth="1"/>
    <col min="19" max="19" width="4.6640625" customWidth="1"/>
    <col min="20" max="20" width="5" customWidth="1"/>
    <col min="21" max="21" width="4.83203125" customWidth="1"/>
    <col min="22" max="22" width="6.1640625" customWidth="1"/>
    <col min="23" max="23" width="5" customWidth="1"/>
    <col min="24" max="24" width="5.33203125" customWidth="1"/>
    <col min="25" max="25" width="6.1640625" customWidth="1"/>
    <col min="26" max="26" width="5.33203125" customWidth="1"/>
    <col min="27" max="27" width="5.1640625" customWidth="1"/>
    <col min="28" max="28" width="5" customWidth="1"/>
    <col min="29" max="29" width="5.33203125" customWidth="1"/>
    <col min="30" max="30" width="7" customWidth="1"/>
    <col min="31" max="31" width="7.6640625" customWidth="1"/>
    <col min="32" max="32" width="6.1640625" customWidth="1"/>
    <col min="33" max="33" width="6.33203125" customWidth="1"/>
    <col min="34" max="34" width="6" customWidth="1"/>
    <col min="35" max="35" width="6.33203125" customWidth="1"/>
    <col min="36" max="36" width="5" customWidth="1"/>
    <col min="37" max="37" width="7" customWidth="1"/>
    <col min="38" max="38" width="6.5" customWidth="1"/>
    <col min="39" max="39" width="6.83203125" customWidth="1"/>
    <col min="40" max="40" width="6.33203125" customWidth="1"/>
    <col min="41" max="41" width="9.6640625" customWidth="1"/>
    <col min="42" max="42" width="8.33203125" customWidth="1"/>
    <col min="43" max="43" width="13.6640625" customWidth="1"/>
    <col min="44" max="44" width="10" customWidth="1"/>
    <col min="45" max="45" width="8.1640625" customWidth="1"/>
    <col min="46" max="46" width="8.6640625" customWidth="1"/>
    <col min="48" max="48" width="9.1640625" customWidth="1"/>
    <col min="49" max="49" width="9.33203125" customWidth="1"/>
    <col min="50" max="50" width="9.83203125" customWidth="1"/>
    <col min="51" max="51" width="8.33203125" customWidth="1"/>
    <col min="52" max="52" width="7.1640625" customWidth="1"/>
    <col min="53" max="53" width="10" customWidth="1"/>
    <col min="54" max="54" width="6.5" customWidth="1"/>
    <col min="55" max="55" width="7" customWidth="1"/>
    <col min="56" max="56" width="8.1640625" customWidth="1"/>
    <col min="57" max="57" width="8" customWidth="1"/>
    <col min="58" max="58" width="9.83203125" customWidth="1"/>
    <col min="60" max="61" width="8.6640625" customWidth="1"/>
    <col min="62" max="62" width="8.33203125" customWidth="1"/>
    <col min="63" max="63" width="9" customWidth="1"/>
    <col min="64" max="64" width="8.33203125" customWidth="1"/>
    <col min="65" max="65" width="13.1640625" customWidth="1"/>
    <col min="66" max="66" width="13" customWidth="1"/>
    <col min="67" max="67" width="21.83203125" customWidth="1"/>
    <col min="68" max="68" width="13" customWidth="1"/>
    <col min="69" max="69" width="11.6640625" customWidth="1"/>
    <col min="70" max="70" width="10.33203125" customWidth="1"/>
    <col min="71" max="71" width="10.6640625" customWidth="1"/>
    <col min="74" max="74" width="21.5" bestFit="1" customWidth="1"/>
    <col min="75" max="75" width="74.83203125" bestFit="1" customWidth="1"/>
    <col min="76" max="76" width="54.83203125" bestFit="1" customWidth="1"/>
    <col min="77" max="77" width="14" bestFit="1" customWidth="1"/>
    <col min="78" max="78" width="27.1640625" bestFit="1" customWidth="1"/>
    <col min="79" max="79" width="21.5" bestFit="1" customWidth="1"/>
    <col min="80" max="80" width="74.83203125" bestFit="1" customWidth="1"/>
  </cols>
  <sheetData>
    <row r="1" spans="1:71" s="37" customFormat="1" x14ac:dyDescent="0.2">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c r="W1" s="36" t="s">
        <v>22</v>
      </c>
      <c r="X1" s="36" t="s">
        <v>23</v>
      </c>
      <c r="Y1" s="36" t="s">
        <v>24</v>
      </c>
      <c r="Z1" s="36" t="s">
        <v>25</v>
      </c>
      <c r="AA1" s="36" t="s">
        <v>26</v>
      </c>
      <c r="AB1" s="36" t="s">
        <v>27</v>
      </c>
      <c r="AC1" s="36" t="s">
        <v>28</v>
      </c>
      <c r="AD1" s="36" t="s">
        <v>29</v>
      </c>
      <c r="AE1" s="36" t="s">
        <v>30</v>
      </c>
      <c r="AF1" s="36" t="s">
        <v>31</v>
      </c>
      <c r="AG1" s="36" t="s">
        <v>32</v>
      </c>
      <c r="AH1" s="36" t="s">
        <v>33</v>
      </c>
      <c r="AI1" s="36" t="s">
        <v>34</v>
      </c>
      <c r="AJ1" s="36" t="s">
        <v>35</v>
      </c>
      <c r="AK1" s="36" t="s">
        <v>36</v>
      </c>
      <c r="AL1" s="36" t="s">
        <v>37</v>
      </c>
      <c r="AM1" s="36" t="s">
        <v>38</v>
      </c>
      <c r="AN1" s="36" t="s">
        <v>39</v>
      </c>
      <c r="AO1" s="36" t="s">
        <v>40</v>
      </c>
      <c r="AP1" s="36" t="s">
        <v>41</v>
      </c>
      <c r="AQ1" s="36" t="s">
        <v>42</v>
      </c>
      <c r="AR1" s="36" t="s">
        <v>43</v>
      </c>
      <c r="AS1" s="36" t="s">
        <v>44</v>
      </c>
      <c r="AT1" s="36" t="s">
        <v>45</v>
      </c>
      <c r="AU1" s="36" t="s">
        <v>46</v>
      </c>
      <c r="AV1" s="36" t="s">
        <v>47</v>
      </c>
      <c r="AW1" s="36" t="s">
        <v>48</v>
      </c>
      <c r="AX1" s="36" t="s">
        <v>49</v>
      </c>
      <c r="AY1" s="36" t="s">
        <v>50</v>
      </c>
      <c r="AZ1" s="36" t="s">
        <v>51</v>
      </c>
      <c r="BA1" s="36" t="s">
        <v>52</v>
      </c>
      <c r="BB1" s="36" t="s">
        <v>53</v>
      </c>
      <c r="BC1" s="36" t="s">
        <v>54</v>
      </c>
      <c r="BD1" s="36" t="s">
        <v>55</v>
      </c>
      <c r="BE1" s="36" t="s">
        <v>56</v>
      </c>
      <c r="BF1" s="36" t="s">
        <v>57</v>
      </c>
      <c r="BG1" s="36" t="s">
        <v>58</v>
      </c>
      <c r="BH1" s="36" t="s">
        <v>59</v>
      </c>
      <c r="BI1" s="36" t="s">
        <v>60</v>
      </c>
      <c r="BJ1" s="36" t="s">
        <v>61</v>
      </c>
      <c r="BK1" s="36" t="s">
        <v>62</v>
      </c>
      <c r="BL1" s="36" t="s">
        <v>63</v>
      </c>
      <c r="BM1" s="36" t="s">
        <v>64</v>
      </c>
      <c r="BN1" s="36" t="s">
        <v>65</v>
      </c>
      <c r="BO1" s="36" t="s">
        <v>66</v>
      </c>
      <c r="BP1" s="36" t="s">
        <v>67</v>
      </c>
      <c r="BQ1" s="36" t="s">
        <v>68</v>
      </c>
      <c r="BR1" s="36" t="s">
        <v>69</v>
      </c>
      <c r="BS1" s="36" t="s">
        <v>70</v>
      </c>
    </row>
    <row r="2" spans="1:71" x14ac:dyDescent="0.2">
      <c r="A2" t="s">
        <v>71</v>
      </c>
      <c r="B2" t="s">
        <v>72</v>
      </c>
      <c r="C2">
        <v>731100</v>
      </c>
      <c r="D2" t="s">
        <v>73</v>
      </c>
      <c r="I2">
        <v>124216438</v>
      </c>
      <c r="J2" t="s">
        <v>74</v>
      </c>
      <c r="K2" t="s">
        <v>75</v>
      </c>
      <c r="L2" t="s">
        <v>76</v>
      </c>
      <c r="M2" t="s">
        <v>77</v>
      </c>
      <c r="N2" t="s">
        <v>78</v>
      </c>
      <c r="O2" t="s">
        <v>79</v>
      </c>
      <c r="Q2" t="s">
        <v>80</v>
      </c>
      <c r="R2" t="s">
        <v>81</v>
      </c>
      <c r="S2" t="s">
        <v>81</v>
      </c>
      <c r="T2" s="31">
        <v>0</v>
      </c>
      <c r="U2" t="s">
        <v>82</v>
      </c>
      <c r="V2" s="31">
        <v>5.5555555555555552E-2</v>
      </c>
      <c r="W2" t="s">
        <v>83</v>
      </c>
      <c r="X2" s="31">
        <v>2.3157894736842106</v>
      </c>
      <c r="Y2" t="s">
        <v>84</v>
      </c>
      <c r="Z2" s="31">
        <v>7.9365079365079361E-2</v>
      </c>
      <c r="AA2" t="s">
        <v>83</v>
      </c>
      <c r="AB2" s="31">
        <v>-7.3529411764705885E-2</v>
      </c>
      <c r="AC2">
        <v>53</v>
      </c>
      <c r="AD2" t="s">
        <v>85</v>
      </c>
      <c r="AE2" t="s">
        <v>86</v>
      </c>
      <c r="AF2" s="31">
        <v>3.9751552795031057E-2</v>
      </c>
      <c r="AG2" t="s">
        <v>87</v>
      </c>
      <c r="AH2" s="31">
        <v>2.6881720430107529E-3</v>
      </c>
      <c r="AI2" t="s">
        <v>88</v>
      </c>
      <c r="AJ2" s="31">
        <v>-7.298182901400059E-2</v>
      </c>
      <c r="AK2" t="s">
        <v>89</v>
      </c>
      <c r="AL2" s="31">
        <v>9.1580976863753216E-2</v>
      </c>
      <c r="AM2" t="s">
        <v>90</v>
      </c>
      <c r="AN2" s="31">
        <v>9.2434501030320873E-2</v>
      </c>
      <c r="AO2" t="s">
        <v>91</v>
      </c>
      <c r="AP2" t="s">
        <v>80</v>
      </c>
      <c r="AQ2">
        <v>8897302</v>
      </c>
      <c r="AR2">
        <v>8847434</v>
      </c>
      <c r="AS2" s="31">
        <v>-5.604845154182695E-3</v>
      </c>
      <c r="AT2">
        <v>8730690</v>
      </c>
      <c r="AU2" s="31">
        <v>-1.3195238302992709E-2</v>
      </c>
      <c r="AV2">
        <v>29179075</v>
      </c>
      <c r="AW2" s="31">
        <v>2.3421270254699227</v>
      </c>
      <c r="AX2">
        <v>31485566</v>
      </c>
      <c r="AY2" s="31">
        <v>7.9046062974922948E-2</v>
      </c>
      <c r="AZ2">
        <v>36638811</v>
      </c>
      <c r="BA2" s="31">
        <v>0.16367007663130465</v>
      </c>
      <c r="BB2">
        <v>160646</v>
      </c>
      <c r="BC2">
        <v>246272</v>
      </c>
      <c r="BD2" s="31">
        <v>0.53301047022646064</v>
      </c>
      <c r="BE2">
        <v>111387</v>
      </c>
      <c r="BF2" s="31">
        <v>-0.54770741294178793</v>
      </c>
      <c r="BG2">
        <v>395590</v>
      </c>
      <c r="BH2" s="31">
        <v>2.55149164624238</v>
      </c>
      <c r="BI2">
        <v>504281</v>
      </c>
      <c r="BJ2" s="31">
        <v>0.27475669253520058</v>
      </c>
      <c r="BK2">
        <v>1889619</v>
      </c>
      <c r="BL2" s="31">
        <v>2.7471548600879272</v>
      </c>
      <c r="BM2" t="s">
        <v>92</v>
      </c>
      <c r="BN2" t="s">
        <v>93</v>
      </c>
      <c r="BO2" t="s">
        <v>94</v>
      </c>
      <c r="BP2" t="s">
        <v>80</v>
      </c>
      <c r="BQ2" t="s">
        <v>80</v>
      </c>
      <c r="BR2" t="s">
        <v>95</v>
      </c>
      <c r="BS2" t="s">
        <v>96</v>
      </c>
    </row>
    <row r="3" spans="1:71" x14ac:dyDescent="0.2">
      <c r="A3" t="s">
        <v>97</v>
      </c>
      <c r="B3" t="s">
        <v>98</v>
      </c>
      <c r="C3">
        <v>731100</v>
      </c>
      <c r="D3" t="s">
        <v>73</v>
      </c>
      <c r="I3">
        <v>300642933</v>
      </c>
      <c r="J3" t="s">
        <v>99</v>
      </c>
      <c r="K3" t="s">
        <v>100</v>
      </c>
      <c r="L3" t="s">
        <v>101</v>
      </c>
      <c r="M3" t="s">
        <v>77</v>
      </c>
      <c r="N3" t="s">
        <v>102</v>
      </c>
      <c r="O3" t="s">
        <v>103</v>
      </c>
      <c r="P3">
        <v>37068465990</v>
      </c>
      <c r="Q3" t="s">
        <v>80</v>
      </c>
      <c r="R3" t="s">
        <v>104</v>
      </c>
      <c r="S3" t="s">
        <v>105</v>
      </c>
      <c r="T3" s="31">
        <v>-4.0816326530612242E-2</v>
      </c>
      <c r="U3" t="s">
        <v>106</v>
      </c>
      <c r="V3" s="31">
        <v>8.5106382978723402E-2</v>
      </c>
      <c r="W3" t="s">
        <v>107</v>
      </c>
      <c r="X3" s="31">
        <v>-0.21568627450980393</v>
      </c>
      <c r="Y3" t="s">
        <v>108</v>
      </c>
      <c r="Z3" s="31">
        <v>-0.2</v>
      </c>
      <c r="AA3" t="s">
        <v>109</v>
      </c>
      <c r="AB3" s="31">
        <v>-3.125E-2</v>
      </c>
      <c r="AC3">
        <v>31</v>
      </c>
      <c r="AD3" t="s">
        <v>110</v>
      </c>
      <c r="AE3" t="s">
        <v>111</v>
      </c>
      <c r="AF3" s="31">
        <v>-4.8800661703887513E-2</v>
      </c>
      <c r="AG3" t="s">
        <v>112</v>
      </c>
      <c r="AH3" s="31">
        <v>0.13217391304347825</v>
      </c>
      <c r="AI3" t="s">
        <v>113</v>
      </c>
      <c r="AJ3" s="31">
        <v>0.14746543778801843</v>
      </c>
      <c r="AK3" t="s">
        <v>114</v>
      </c>
      <c r="AL3" s="31">
        <v>0.24698795180722891</v>
      </c>
      <c r="AM3" t="s">
        <v>115</v>
      </c>
      <c r="AN3" s="31">
        <v>0.16210413311862587</v>
      </c>
      <c r="AO3" t="s">
        <v>116</v>
      </c>
      <c r="AP3" t="s">
        <v>80</v>
      </c>
      <c r="AQ3">
        <v>19167730</v>
      </c>
      <c r="AR3">
        <v>20518557</v>
      </c>
      <c r="AS3" s="31">
        <v>7.0474020658679984E-2</v>
      </c>
      <c r="AT3">
        <v>19713947</v>
      </c>
      <c r="AU3" s="31">
        <v>-3.9213771221826177E-2</v>
      </c>
      <c r="AV3">
        <v>17453957</v>
      </c>
      <c r="AW3" s="31">
        <v>-0.11463914354644456</v>
      </c>
      <c r="AX3">
        <v>26945192</v>
      </c>
      <c r="AY3" s="31">
        <v>0.54378700486084619</v>
      </c>
      <c r="AZ3">
        <v>21601990</v>
      </c>
      <c r="BA3" s="31">
        <v>-0.19829890245354348</v>
      </c>
      <c r="BB3">
        <v>703603</v>
      </c>
      <c r="BC3">
        <v>711078</v>
      </c>
      <c r="BD3" s="31">
        <v>1.062388875544874E-2</v>
      </c>
      <c r="BE3">
        <v>601013</v>
      </c>
      <c r="BF3" s="31">
        <v>-0.15478611347840884</v>
      </c>
      <c r="BG3">
        <v>490845</v>
      </c>
      <c r="BH3" s="31">
        <v>-0.18330385532426088</v>
      </c>
      <c r="BI3">
        <v>658350</v>
      </c>
      <c r="BJ3" s="31">
        <v>0.34125844207438194</v>
      </c>
      <c r="BK3">
        <v>294872</v>
      </c>
      <c r="BL3" s="31">
        <v>-0.5521045036834511</v>
      </c>
      <c r="BM3" t="s">
        <v>117</v>
      </c>
      <c r="BN3" t="s">
        <v>118</v>
      </c>
      <c r="BO3" t="s">
        <v>119</v>
      </c>
      <c r="BP3" t="s">
        <v>80</v>
      </c>
      <c r="BQ3" t="s">
        <v>120</v>
      </c>
      <c r="BR3" t="s">
        <v>95</v>
      </c>
      <c r="BS3" t="s">
        <v>121</v>
      </c>
    </row>
    <row r="4" spans="1:71" x14ac:dyDescent="0.2">
      <c r="A4" t="s">
        <v>122</v>
      </c>
      <c r="B4" t="s">
        <v>123</v>
      </c>
      <c r="C4">
        <v>731100</v>
      </c>
      <c r="D4" t="s">
        <v>73</v>
      </c>
      <c r="I4">
        <v>302414298</v>
      </c>
      <c r="J4" t="s">
        <v>124</v>
      </c>
      <c r="K4" t="s">
        <v>125</v>
      </c>
      <c r="L4" t="s">
        <v>126</v>
      </c>
      <c r="M4" t="s">
        <v>77</v>
      </c>
      <c r="N4" t="s">
        <v>127</v>
      </c>
      <c r="O4" t="s">
        <v>128</v>
      </c>
      <c r="Q4" t="s">
        <v>80</v>
      </c>
      <c r="R4" t="s">
        <v>129</v>
      </c>
      <c r="S4" t="s">
        <v>130</v>
      </c>
      <c r="T4" s="31">
        <v>6.9767441860465115E-2</v>
      </c>
      <c r="U4" t="s">
        <v>104</v>
      </c>
      <c r="V4" s="31">
        <v>6.5217391304347824E-2</v>
      </c>
      <c r="W4" t="s">
        <v>131</v>
      </c>
      <c r="X4" s="31">
        <v>8.1632653061224483E-2</v>
      </c>
      <c r="Y4" t="s">
        <v>132</v>
      </c>
      <c r="Z4" s="31">
        <v>-1.8867924528301886E-2</v>
      </c>
      <c r="AA4" t="s">
        <v>131</v>
      </c>
      <c r="AB4" s="31">
        <v>1.9230769230769232E-2</v>
      </c>
      <c r="AC4">
        <v>54</v>
      </c>
      <c r="AD4" t="s">
        <v>133</v>
      </c>
      <c r="AE4" t="s">
        <v>134</v>
      </c>
      <c r="AF4" s="31">
        <v>-5.7851239669421489E-2</v>
      </c>
      <c r="AG4" t="s">
        <v>135</v>
      </c>
      <c r="AH4" s="31">
        <v>0.19541910331384016</v>
      </c>
      <c r="AI4" t="s">
        <v>136</v>
      </c>
      <c r="AJ4" s="31">
        <v>7.0525886669384433E-2</v>
      </c>
      <c r="AK4" t="s">
        <v>137</v>
      </c>
      <c r="AL4" s="31">
        <v>-1.6374714394516376E-2</v>
      </c>
      <c r="AM4" t="s">
        <v>138</v>
      </c>
      <c r="AN4" s="31">
        <v>2.3615950445218737E-2</v>
      </c>
      <c r="AO4" t="s">
        <v>139</v>
      </c>
      <c r="AP4" t="s">
        <v>80</v>
      </c>
      <c r="AQ4">
        <v>14735922</v>
      </c>
      <c r="AR4">
        <v>13065559</v>
      </c>
      <c r="AS4" s="31">
        <v>-0.11335313799842317</v>
      </c>
      <c r="AT4">
        <v>16083759</v>
      </c>
      <c r="AU4" s="31">
        <v>0.23100427620433231</v>
      </c>
      <c r="AV4">
        <v>15673573</v>
      </c>
      <c r="AW4" s="31">
        <v>-2.5503117772406315E-2</v>
      </c>
      <c r="AX4">
        <v>15193407</v>
      </c>
      <c r="AY4" s="31">
        <v>-3.063538862517181E-2</v>
      </c>
      <c r="AZ4">
        <v>16809406</v>
      </c>
      <c r="BA4" s="31">
        <v>0.10636185814017883</v>
      </c>
      <c r="BB4">
        <v>447413</v>
      </c>
      <c r="BC4">
        <v>426889</v>
      </c>
      <c r="BD4" s="31">
        <v>-4.5872605400379518E-2</v>
      </c>
      <c r="BE4">
        <v>501734</v>
      </c>
      <c r="BF4" s="31">
        <v>0.175326607150805</v>
      </c>
      <c r="BG4">
        <v>441594</v>
      </c>
      <c r="BH4" s="31">
        <v>-0.11986431057093998</v>
      </c>
      <c r="BI4">
        <v>411549</v>
      </c>
      <c r="BJ4" s="31">
        <v>-6.8037609206646824E-2</v>
      </c>
      <c r="BK4">
        <v>478689</v>
      </c>
      <c r="BL4" s="31">
        <v>0.16313974763636893</v>
      </c>
      <c r="BM4" t="s">
        <v>140</v>
      </c>
      <c r="BN4" t="s">
        <v>141</v>
      </c>
      <c r="BO4" t="s">
        <v>80</v>
      </c>
      <c r="BP4" t="s">
        <v>80</v>
      </c>
      <c r="BQ4" t="s">
        <v>80</v>
      </c>
      <c r="BR4" t="s">
        <v>95</v>
      </c>
      <c r="BS4" t="s">
        <v>142</v>
      </c>
    </row>
    <row r="5" spans="1:71" x14ac:dyDescent="0.2">
      <c r="A5" t="s">
        <v>143</v>
      </c>
      <c r="B5" t="s">
        <v>144</v>
      </c>
      <c r="C5">
        <v>731200</v>
      </c>
      <c r="D5" t="s">
        <v>73</v>
      </c>
      <c r="I5">
        <v>111707070</v>
      </c>
      <c r="J5" t="s">
        <v>145</v>
      </c>
      <c r="K5" t="s">
        <v>146</v>
      </c>
      <c r="L5" t="s">
        <v>147</v>
      </c>
      <c r="M5" t="s">
        <v>77</v>
      </c>
      <c r="N5" t="s">
        <v>148</v>
      </c>
      <c r="O5" t="s">
        <v>149</v>
      </c>
      <c r="Q5" t="s">
        <v>80</v>
      </c>
      <c r="R5" t="s">
        <v>150</v>
      </c>
      <c r="S5" t="s">
        <v>151</v>
      </c>
      <c r="T5" s="31">
        <v>-0.11764705882352941</v>
      </c>
      <c r="U5" t="s">
        <v>151</v>
      </c>
      <c r="V5" s="31">
        <v>0</v>
      </c>
      <c r="W5" t="s">
        <v>152</v>
      </c>
      <c r="X5" s="31">
        <v>0.2</v>
      </c>
      <c r="Y5" t="s">
        <v>152</v>
      </c>
      <c r="Z5" s="31">
        <v>0</v>
      </c>
      <c r="AA5" t="s">
        <v>153</v>
      </c>
      <c r="AB5" s="31">
        <v>-2.7777777777777776E-2</v>
      </c>
      <c r="AC5">
        <v>39</v>
      </c>
      <c r="AD5" t="s">
        <v>154</v>
      </c>
      <c r="AE5" t="s">
        <v>155</v>
      </c>
      <c r="AF5" s="31">
        <v>3.8976857490864797E-2</v>
      </c>
      <c r="AG5" t="s">
        <v>156</v>
      </c>
      <c r="AH5" s="31">
        <v>5.5099648300117231E-2</v>
      </c>
      <c r="AI5" t="s">
        <v>157</v>
      </c>
      <c r="AJ5" s="31">
        <v>5.3333333333333337E-2</v>
      </c>
      <c r="AK5" t="s">
        <v>158</v>
      </c>
      <c r="AL5" s="31">
        <v>9.106891701828411E-2</v>
      </c>
      <c r="AM5" t="s">
        <v>159</v>
      </c>
      <c r="AN5" s="31">
        <v>6.284241057041573E-2</v>
      </c>
      <c r="AO5" t="s">
        <v>160</v>
      </c>
      <c r="AP5" t="s">
        <v>80</v>
      </c>
      <c r="AQ5">
        <v>10898125</v>
      </c>
      <c r="AR5">
        <v>11162492</v>
      </c>
      <c r="AS5" s="31">
        <v>2.4258026036588862E-2</v>
      </c>
      <c r="AT5">
        <v>13680319</v>
      </c>
      <c r="AU5" s="31">
        <v>0.22556137106302068</v>
      </c>
      <c r="AV5">
        <v>14993931</v>
      </c>
      <c r="AW5" s="31">
        <v>9.6022029895647898E-2</v>
      </c>
      <c r="AX5">
        <v>19737855</v>
      </c>
      <c r="AY5" s="31">
        <v>0.31638961123670639</v>
      </c>
      <c r="AZ5">
        <v>15451756</v>
      </c>
      <c r="BA5" s="31">
        <v>-0.21715120513348588</v>
      </c>
      <c r="BB5">
        <v>203683</v>
      </c>
      <c r="BC5">
        <v>307350</v>
      </c>
      <c r="BD5" s="31">
        <v>0.50896245636601978</v>
      </c>
      <c r="BE5">
        <v>391733</v>
      </c>
      <c r="BF5" s="31">
        <v>0.27455018708313</v>
      </c>
      <c r="BG5">
        <v>294380</v>
      </c>
      <c r="BH5" s="31">
        <v>-0.24851876150337091</v>
      </c>
      <c r="BI5">
        <v>385809</v>
      </c>
      <c r="BJ5" s="31">
        <v>0.31058156124736735</v>
      </c>
      <c r="BK5">
        <v>244146</v>
      </c>
      <c r="BL5" s="31">
        <v>-0.36718428030450301</v>
      </c>
      <c r="BM5" t="s">
        <v>161</v>
      </c>
      <c r="BN5" t="s">
        <v>162</v>
      </c>
      <c r="BO5" t="s">
        <v>163</v>
      </c>
      <c r="BP5" t="s">
        <v>80</v>
      </c>
      <c r="BQ5" t="s">
        <v>80</v>
      </c>
      <c r="BR5" t="s">
        <v>95</v>
      </c>
      <c r="BS5" t="s">
        <v>164</v>
      </c>
    </row>
    <row r="6" spans="1:71" x14ac:dyDescent="0.2">
      <c r="A6" t="s">
        <v>165</v>
      </c>
      <c r="B6" t="s">
        <v>166</v>
      </c>
      <c r="C6">
        <v>631200</v>
      </c>
      <c r="D6" t="s">
        <v>167</v>
      </c>
      <c r="I6">
        <v>302795358</v>
      </c>
      <c r="J6" t="s">
        <v>168</v>
      </c>
      <c r="K6" t="s">
        <v>169</v>
      </c>
      <c r="L6" t="s">
        <v>170</v>
      </c>
      <c r="M6" t="s">
        <v>171</v>
      </c>
      <c r="N6" t="s">
        <v>172</v>
      </c>
      <c r="O6" t="s">
        <v>173</v>
      </c>
      <c r="Q6" t="s">
        <v>80</v>
      </c>
      <c r="R6" t="s">
        <v>174</v>
      </c>
      <c r="S6" t="s">
        <v>175</v>
      </c>
      <c r="T6" s="31">
        <v>0.17647058823529413</v>
      </c>
      <c r="U6" t="s">
        <v>176</v>
      </c>
      <c r="V6" s="31">
        <v>0.05</v>
      </c>
      <c r="W6" t="s">
        <v>151</v>
      </c>
      <c r="X6" s="31">
        <v>0.42857142857142855</v>
      </c>
      <c r="Y6" t="s">
        <v>153</v>
      </c>
      <c r="Z6" s="31">
        <v>0.16666666666666666</v>
      </c>
      <c r="AA6" t="s">
        <v>152</v>
      </c>
      <c r="AB6" s="31">
        <v>2.8571428571428571E-2</v>
      </c>
      <c r="AC6">
        <v>32</v>
      </c>
      <c r="AD6" t="s">
        <v>177</v>
      </c>
      <c r="AE6" t="s">
        <v>178</v>
      </c>
      <c r="AF6" s="31">
        <v>0.30967078189300412</v>
      </c>
      <c r="AG6" t="s">
        <v>179</v>
      </c>
      <c r="AH6" s="31">
        <v>0.20581304006284368</v>
      </c>
      <c r="AI6" t="s">
        <v>180</v>
      </c>
      <c r="AJ6" s="31">
        <v>0.26254071661237782</v>
      </c>
      <c r="AK6" t="s">
        <v>181</v>
      </c>
      <c r="AL6" s="31">
        <v>0.22497420020639836</v>
      </c>
      <c r="AM6" t="s">
        <v>182</v>
      </c>
      <c r="AN6" s="31">
        <v>5.1811288963774224E-2</v>
      </c>
      <c r="AO6" t="s">
        <v>183</v>
      </c>
      <c r="AP6" t="s">
        <v>80</v>
      </c>
      <c r="AQ6">
        <v>1140388</v>
      </c>
      <c r="AR6">
        <v>1946452</v>
      </c>
      <c r="AS6" s="31">
        <v>0.70683311294050799</v>
      </c>
      <c r="AT6">
        <v>6988301</v>
      </c>
      <c r="AU6" s="31">
        <v>2.5902765647444683</v>
      </c>
      <c r="AV6">
        <v>7033233</v>
      </c>
      <c r="AW6" s="31">
        <v>6.429602846242599E-3</v>
      </c>
      <c r="AX6">
        <v>8766185</v>
      </c>
      <c r="AY6" s="31">
        <v>0.24639479454185578</v>
      </c>
      <c r="AZ6">
        <v>11931673</v>
      </c>
      <c r="BA6" s="31">
        <v>0.36110212139031972</v>
      </c>
      <c r="BB6">
        <v>100333</v>
      </c>
      <c r="BC6">
        <v>123598</v>
      </c>
      <c r="BD6" s="31">
        <v>0.23187784677025505</v>
      </c>
      <c r="BE6">
        <v>143302</v>
      </c>
      <c r="BF6" s="31">
        <v>0.15942005534070131</v>
      </c>
      <c r="BG6">
        <v>-85287</v>
      </c>
      <c r="BH6" s="31">
        <v>-1.5951556851962987</v>
      </c>
      <c r="BI6">
        <v>49952</v>
      </c>
      <c r="BJ6" s="31">
        <v>1.5856930130031499</v>
      </c>
      <c r="BK6">
        <v>-382931</v>
      </c>
      <c r="BL6" s="31">
        <v>-8.6659793401665599</v>
      </c>
      <c r="BM6" t="s">
        <v>184</v>
      </c>
      <c r="BN6" t="s">
        <v>185</v>
      </c>
      <c r="BO6" t="s">
        <v>186</v>
      </c>
      <c r="BP6" t="s">
        <v>187</v>
      </c>
      <c r="BQ6" t="s">
        <v>188</v>
      </c>
      <c r="BR6" t="s">
        <v>189</v>
      </c>
      <c r="BS6" t="s">
        <v>190</v>
      </c>
    </row>
    <row r="7" spans="1:71" x14ac:dyDescent="0.2">
      <c r="A7" t="s">
        <v>191</v>
      </c>
      <c r="B7" t="s">
        <v>192</v>
      </c>
      <c r="C7">
        <v>731100</v>
      </c>
      <c r="G7" t="s">
        <v>193</v>
      </c>
      <c r="I7">
        <v>304737161</v>
      </c>
      <c r="J7" t="s">
        <v>194</v>
      </c>
      <c r="K7" t="s">
        <v>195</v>
      </c>
      <c r="L7" t="s">
        <v>196</v>
      </c>
      <c r="M7" t="s">
        <v>77</v>
      </c>
      <c r="N7" t="s">
        <v>197</v>
      </c>
      <c r="O7" t="s">
        <v>80</v>
      </c>
      <c r="P7">
        <v>37068465990</v>
      </c>
      <c r="Q7" t="s">
        <v>198</v>
      </c>
      <c r="R7" t="s">
        <v>174</v>
      </c>
      <c r="S7" t="s">
        <v>176</v>
      </c>
      <c r="T7" s="31">
        <v>0.23529411764705882</v>
      </c>
      <c r="U7" t="s">
        <v>199</v>
      </c>
      <c r="V7" s="31">
        <v>0.2857142857142857</v>
      </c>
      <c r="W7" t="s">
        <v>151</v>
      </c>
      <c r="X7" s="31">
        <v>0.1111111111111111</v>
      </c>
      <c r="Y7" t="s">
        <v>200</v>
      </c>
      <c r="Z7" s="31">
        <v>-3.3333333333333333E-2</v>
      </c>
      <c r="AA7" t="s">
        <v>201</v>
      </c>
      <c r="AB7" s="31">
        <v>-0.13793103448275862</v>
      </c>
      <c r="AC7">
        <v>25</v>
      </c>
      <c r="AD7" t="s">
        <v>202</v>
      </c>
      <c r="AE7" t="s">
        <v>203</v>
      </c>
      <c r="AF7" s="31">
        <v>-1.5226153157187641E-2</v>
      </c>
      <c r="AG7" t="s">
        <v>204</v>
      </c>
      <c r="AH7" s="31">
        <v>0.12914961346066395</v>
      </c>
      <c r="AI7" t="s">
        <v>205</v>
      </c>
      <c r="AJ7" s="31">
        <v>0.13089005235602094</v>
      </c>
      <c r="AK7" t="s">
        <v>206</v>
      </c>
      <c r="AL7" s="31">
        <v>0.1777065527065527</v>
      </c>
      <c r="AM7" t="s">
        <v>207</v>
      </c>
      <c r="AN7" s="31">
        <v>8.1947384336256424E-2</v>
      </c>
      <c r="AO7" t="s">
        <v>208</v>
      </c>
      <c r="AP7" t="s">
        <v>80</v>
      </c>
      <c r="AQ7">
        <v>3984255</v>
      </c>
      <c r="AR7">
        <v>5638018</v>
      </c>
      <c r="AS7" s="31">
        <v>0.41507458734443453</v>
      </c>
      <c r="AT7">
        <v>7175635</v>
      </c>
      <c r="AU7" s="31">
        <v>0.27272296753930192</v>
      </c>
      <c r="AV7">
        <v>11433659</v>
      </c>
      <c r="AW7" s="31">
        <v>0.59340030533883059</v>
      </c>
      <c r="AX7">
        <v>19745738</v>
      </c>
      <c r="AY7" s="31">
        <v>0.72698328680258872</v>
      </c>
      <c r="AZ7">
        <v>11526712</v>
      </c>
      <c r="BA7" s="31">
        <v>-0.41624303938399265</v>
      </c>
      <c r="BB7">
        <v>211408</v>
      </c>
      <c r="BC7">
        <v>565438</v>
      </c>
      <c r="BD7" s="31">
        <v>1.6746291531067887</v>
      </c>
      <c r="BE7">
        <v>468860</v>
      </c>
      <c r="BF7" s="31">
        <v>-0.17080210385577199</v>
      </c>
      <c r="BG7">
        <v>587419</v>
      </c>
      <c r="BH7" s="31">
        <v>0.25286652732158854</v>
      </c>
      <c r="BI7">
        <v>345373</v>
      </c>
      <c r="BJ7" s="31">
        <v>-0.41205000178748047</v>
      </c>
      <c r="BK7">
        <v>95363</v>
      </c>
      <c r="BL7" s="31">
        <v>-0.72388403262559609</v>
      </c>
      <c r="BM7" t="s">
        <v>209</v>
      </c>
      <c r="BN7" t="s">
        <v>210</v>
      </c>
      <c r="BO7" t="s">
        <v>80</v>
      </c>
      <c r="BP7" t="s">
        <v>80</v>
      </c>
      <c r="BQ7" t="s">
        <v>80</v>
      </c>
      <c r="BR7" t="s">
        <v>95</v>
      </c>
      <c r="BS7" t="s">
        <v>211</v>
      </c>
    </row>
    <row r="8" spans="1:71" x14ac:dyDescent="0.2">
      <c r="A8" t="s">
        <v>212</v>
      </c>
      <c r="B8" t="s">
        <v>213</v>
      </c>
      <c r="C8">
        <v>731100</v>
      </c>
      <c r="D8" t="s">
        <v>73</v>
      </c>
      <c r="I8">
        <v>300597228</v>
      </c>
      <c r="J8" t="s">
        <v>214</v>
      </c>
      <c r="K8" t="s">
        <v>212</v>
      </c>
      <c r="L8" t="s">
        <v>215</v>
      </c>
      <c r="M8" t="s">
        <v>77</v>
      </c>
      <c r="N8" t="s">
        <v>216</v>
      </c>
      <c r="O8" t="s">
        <v>217</v>
      </c>
      <c r="Q8" t="s">
        <v>80</v>
      </c>
      <c r="R8" t="s">
        <v>218</v>
      </c>
      <c r="S8" t="s">
        <v>219</v>
      </c>
      <c r="T8" s="31">
        <v>-0.3125</v>
      </c>
      <c r="U8" t="s">
        <v>220</v>
      </c>
      <c r="V8" s="31">
        <v>9.0909090909090912E-2</v>
      </c>
      <c r="W8" t="s">
        <v>221</v>
      </c>
      <c r="X8" s="31">
        <v>8.3333333333333329E-2</v>
      </c>
      <c r="Y8" t="s">
        <v>222</v>
      </c>
      <c r="Z8" s="31">
        <v>7.6923076923076927E-2</v>
      </c>
      <c r="AA8" t="s">
        <v>222</v>
      </c>
      <c r="AB8" s="31">
        <v>0</v>
      </c>
      <c r="AC8">
        <v>13</v>
      </c>
      <c r="AD8" t="s">
        <v>181</v>
      </c>
      <c r="AE8" t="s">
        <v>223</v>
      </c>
      <c r="AF8" s="31">
        <v>9.7725358045492844E-2</v>
      </c>
      <c r="AG8" t="s">
        <v>224</v>
      </c>
      <c r="AH8" s="31">
        <v>0.17613200306983884</v>
      </c>
      <c r="AI8" t="s">
        <v>225</v>
      </c>
      <c r="AJ8" s="31">
        <v>7.7977161500815656E-2</v>
      </c>
      <c r="AK8" t="s">
        <v>226</v>
      </c>
      <c r="AL8" s="31">
        <v>-1.5738498789346248E-2</v>
      </c>
      <c r="AM8" t="s">
        <v>227</v>
      </c>
      <c r="AN8" s="31">
        <v>1.9065190651906518E-2</v>
      </c>
      <c r="AO8" t="s">
        <v>228</v>
      </c>
      <c r="AP8" t="s">
        <v>80</v>
      </c>
      <c r="AQ8">
        <v>8490273</v>
      </c>
      <c r="AR8">
        <v>8162394</v>
      </c>
      <c r="AS8" s="31">
        <v>-3.8618192842562307E-2</v>
      </c>
      <c r="AT8">
        <v>13416624</v>
      </c>
      <c r="AU8" s="31">
        <v>0.64371188158768122</v>
      </c>
      <c r="AV8">
        <v>14637212</v>
      </c>
      <c r="AW8" s="31">
        <v>9.09757924199113E-2</v>
      </c>
      <c r="AX8">
        <v>13076706</v>
      </c>
      <c r="AY8" s="31">
        <v>-0.10661224282329176</v>
      </c>
      <c r="AZ8">
        <v>10772482</v>
      </c>
      <c r="BA8" s="31">
        <v>-0.17620828976349243</v>
      </c>
      <c r="BB8">
        <v>385151</v>
      </c>
      <c r="BC8">
        <v>357029</v>
      </c>
      <c r="BD8" s="31">
        <v>-7.3015518588813222E-2</v>
      </c>
      <c r="BE8">
        <v>351536</v>
      </c>
      <c r="BF8" s="31">
        <v>-1.5385304835181456E-2</v>
      </c>
      <c r="BG8">
        <v>480070</v>
      </c>
      <c r="BH8" s="31">
        <v>0.36563538300487003</v>
      </c>
      <c r="BI8">
        <v>376803</v>
      </c>
      <c r="BJ8" s="31">
        <v>-0.21510821338554795</v>
      </c>
      <c r="BK8">
        <v>78192</v>
      </c>
      <c r="BL8" s="31">
        <v>-0.79248572861681033</v>
      </c>
      <c r="BM8" t="s">
        <v>229</v>
      </c>
      <c r="BN8" t="s">
        <v>230</v>
      </c>
      <c r="BO8" t="s">
        <v>80</v>
      </c>
      <c r="BP8" t="s">
        <v>80</v>
      </c>
      <c r="BQ8" t="s">
        <v>80</v>
      </c>
      <c r="BR8" t="s">
        <v>95</v>
      </c>
      <c r="BS8" t="s">
        <v>231</v>
      </c>
    </row>
    <row r="9" spans="1:71" x14ac:dyDescent="0.2">
      <c r="A9" t="s">
        <v>232</v>
      </c>
      <c r="B9" t="s">
        <v>233</v>
      </c>
      <c r="C9">
        <v>731100</v>
      </c>
      <c r="D9" t="s">
        <v>73</v>
      </c>
      <c r="I9">
        <v>302344394</v>
      </c>
      <c r="J9" t="s">
        <v>234</v>
      </c>
      <c r="K9" t="s">
        <v>232</v>
      </c>
      <c r="L9" t="s">
        <v>215</v>
      </c>
      <c r="M9" t="s">
        <v>77</v>
      </c>
      <c r="N9" t="s">
        <v>235</v>
      </c>
      <c r="O9" t="s">
        <v>236</v>
      </c>
      <c r="Q9" t="s">
        <v>80</v>
      </c>
      <c r="R9" t="s">
        <v>176</v>
      </c>
      <c r="S9" t="s">
        <v>82</v>
      </c>
      <c r="T9" s="31">
        <v>-9.5238095238095233E-2</v>
      </c>
      <c r="U9" t="s">
        <v>175</v>
      </c>
      <c r="V9" s="31">
        <v>5.2631578947368418E-2</v>
      </c>
      <c r="W9" t="s">
        <v>237</v>
      </c>
      <c r="X9" s="31">
        <v>0.1</v>
      </c>
      <c r="Y9" t="s">
        <v>237</v>
      </c>
      <c r="Z9" s="31">
        <v>0</v>
      </c>
      <c r="AA9" t="s">
        <v>238</v>
      </c>
      <c r="AB9" s="31">
        <v>9.0909090909090912E-2</v>
      </c>
      <c r="AC9">
        <v>22</v>
      </c>
      <c r="AD9" t="s">
        <v>239</v>
      </c>
      <c r="AE9" t="s">
        <v>155</v>
      </c>
      <c r="AF9" s="31">
        <v>0.16636280765724704</v>
      </c>
      <c r="AG9" t="s">
        <v>240</v>
      </c>
      <c r="AH9" s="31">
        <v>9.1832747166862058E-2</v>
      </c>
      <c r="AI9" t="s">
        <v>113</v>
      </c>
      <c r="AJ9" s="31">
        <v>6.9434502505368645E-2</v>
      </c>
      <c r="AK9" t="s">
        <v>241</v>
      </c>
      <c r="AL9" s="31">
        <v>0.16867469879518071</v>
      </c>
      <c r="AM9" t="s">
        <v>242</v>
      </c>
      <c r="AN9" s="31">
        <v>4.8969072164948453E-2</v>
      </c>
      <c r="AO9" t="s">
        <v>243</v>
      </c>
      <c r="AP9" t="s">
        <v>80</v>
      </c>
      <c r="AQ9">
        <v>7511674</v>
      </c>
      <c r="AR9">
        <v>8107694</v>
      </c>
      <c r="AS9" s="31">
        <v>7.9345828905780527E-2</v>
      </c>
      <c r="AT9">
        <v>9433509</v>
      </c>
      <c r="AU9" s="31">
        <v>0.1635255351274974</v>
      </c>
      <c r="AV9">
        <v>9608231</v>
      </c>
      <c r="AW9" s="31">
        <v>1.8521421880235658E-2</v>
      </c>
      <c r="AX9">
        <v>10925676</v>
      </c>
      <c r="AY9" s="31">
        <v>0.13711629122988406</v>
      </c>
      <c r="AZ9">
        <v>10632287</v>
      </c>
      <c r="BA9" s="31">
        <v>-2.6853166797184906E-2</v>
      </c>
      <c r="BB9">
        <v>301781</v>
      </c>
      <c r="BC9">
        <v>278089</v>
      </c>
      <c r="BD9" s="31">
        <v>-7.8507261888588087E-2</v>
      </c>
      <c r="BE9">
        <v>322559</v>
      </c>
      <c r="BF9" s="31">
        <v>0.15991283366116604</v>
      </c>
      <c r="BG9">
        <v>134980</v>
      </c>
      <c r="BH9" s="31">
        <v>-0.58153392092609413</v>
      </c>
      <c r="BI9">
        <v>123945</v>
      </c>
      <c r="BJ9" s="31">
        <v>-8.1752852274411023E-2</v>
      </c>
      <c r="BK9">
        <v>248039</v>
      </c>
      <c r="BL9" s="31">
        <v>1.0012021461131955</v>
      </c>
      <c r="BM9" t="s">
        <v>80</v>
      </c>
      <c r="BN9" t="s">
        <v>244</v>
      </c>
      <c r="BO9" t="s">
        <v>80</v>
      </c>
      <c r="BP9" t="s">
        <v>80</v>
      </c>
      <c r="BQ9" t="s">
        <v>80</v>
      </c>
      <c r="BR9" t="s">
        <v>95</v>
      </c>
      <c r="BS9" t="s">
        <v>245</v>
      </c>
    </row>
    <row r="10" spans="1:71" x14ac:dyDescent="0.2">
      <c r="A10" t="s">
        <v>246</v>
      </c>
      <c r="B10" t="s">
        <v>247</v>
      </c>
      <c r="C10">
        <v>731100</v>
      </c>
      <c r="D10" t="s">
        <v>73</v>
      </c>
      <c r="I10">
        <v>111625698</v>
      </c>
      <c r="J10" t="s">
        <v>248</v>
      </c>
      <c r="K10" t="s">
        <v>249</v>
      </c>
      <c r="L10" t="s">
        <v>147</v>
      </c>
      <c r="M10" t="s">
        <v>77</v>
      </c>
      <c r="N10" t="s">
        <v>250</v>
      </c>
      <c r="O10" t="s">
        <v>80</v>
      </c>
      <c r="P10">
        <v>37061794865</v>
      </c>
      <c r="Q10" t="s">
        <v>80</v>
      </c>
      <c r="R10" t="s">
        <v>82</v>
      </c>
      <c r="S10" t="s">
        <v>81</v>
      </c>
      <c r="T10" s="31">
        <v>-5.2631578947368418E-2</v>
      </c>
      <c r="U10" t="s">
        <v>238</v>
      </c>
      <c r="V10" s="31">
        <v>0.33333333333333331</v>
      </c>
      <c r="W10" t="s">
        <v>251</v>
      </c>
      <c r="X10" s="31">
        <v>0.16666666666666666</v>
      </c>
      <c r="Y10" t="s">
        <v>252</v>
      </c>
      <c r="Z10" s="31">
        <v>-7.1428571428571425E-2</v>
      </c>
      <c r="AA10" t="s">
        <v>201</v>
      </c>
      <c r="AB10" s="31">
        <v>-3.8461538461538464E-2</v>
      </c>
      <c r="AC10">
        <v>27</v>
      </c>
      <c r="AD10" t="s">
        <v>253</v>
      </c>
      <c r="AE10" t="s">
        <v>254</v>
      </c>
      <c r="AF10" s="31">
        <v>4.3048973143759876E-2</v>
      </c>
      <c r="AG10" t="s">
        <v>255</v>
      </c>
      <c r="AH10" s="31">
        <v>-4.2786823173040514E-2</v>
      </c>
      <c r="AI10" t="s">
        <v>136</v>
      </c>
      <c r="AJ10" s="31">
        <v>3.8765822784810125E-2</v>
      </c>
      <c r="AK10" t="s">
        <v>256</v>
      </c>
      <c r="AL10" s="31">
        <v>8.9489718202589497E-2</v>
      </c>
      <c r="AM10" t="s">
        <v>257</v>
      </c>
      <c r="AN10" s="31">
        <v>7.40999650471863E-2</v>
      </c>
      <c r="AO10" t="s">
        <v>258</v>
      </c>
      <c r="AP10" t="s">
        <v>80</v>
      </c>
      <c r="AQ10">
        <v>6233775</v>
      </c>
      <c r="AR10">
        <v>4829619</v>
      </c>
      <c r="AS10" s="31">
        <v>-0.2252497082425978</v>
      </c>
      <c r="AT10">
        <v>9494507</v>
      </c>
      <c r="AU10" s="31">
        <v>0.96589151235325188</v>
      </c>
      <c r="AV10">
        <v>10013897</v>
      </c>
      <c r="AW10" s="31">
        <v>5.4704262159162131E-2</v>
      </c>
      <c r="AX10">
        <v>8389454</v>
      </c>
      <c r="AY10" s="31">
        <v>-0.16221886444408207</v>
      </c>
      <c r="AZ10">
        <v>8837519</v>
      </c>
      <c r="BA10" s="31">
        <v>5.3408124056702616E-2</v>
      </c>
      <c r="BB10">
        <v>112253</v>
      </c>
      <c r="BC10">
        <v>95358</v>
      </c>
      <c r="BD10" s="31">
        <v>-0.15050822695161822</v>
      </c>
      <c r="BE10">
        <v>191943</v>
      </c>
      <c r="BF10" s="31">
        <v>1.0128673000692128</v>
      </c>
      <c r="BG10">
        <v>186159</v>
      </c>
      <c r="BH10" s="31">
        <v>-3.0133946015223269E-2</v>
      </c>
      <c r="BI10">
        <v>172710</v>
      </c>
      <c r="BJ10" s="31">
        <v>-7.224469405185889E-2</v>
      </c>
      <c r="BK10">
        <v>225361</v>
      </c>
      <c r="BL10" s="31">
        <v>0.3048520641537838</v>
      </c>
      <c r="BM10" t="s">
        <v>259</v>
      </c>
      <c r="BN10" t="s">
        <v>260</v>
      </c>
      <c r="BO10" t="s">
        <v>80</v>
      </c>
      <c r="BP10" t="s">
        <v>80</v>
      </c>
      <c r="BQ10" t="s">
        <v>80</v>
      </c>
      <c r="BR10" t="s">
        <v>189</v>
      </c>
      <c r="BS10" t="s">
        <v>261</v>
      </c>
    </row>
    <row r="11" spans="1:71" x14ac:dyDescent="0.2">
      <c r="A11" t="s">
        <v>262</v>
      </c>
      <c r="B11" t="s">
        <v>263</v>
      </c>
      <c r="C11">
        <v>731200</v>
      </c>
      <c r="D11" t="s">
        <v>73</v>
      </c>
      <c r="I11">
        <v>300021385</v>
      </c>
      <c r="J11" t="s">
        <v>264</v>
      </c>
      <c r="K11" t="s">
        <v>265</v>
      </c>
      <c r="L11" t="s">
        <v>266</v>
      </c>
      <c r="M11" t="s">
        <v>77</v>
      </c>
      <c r="N11" t="s">
        <v>267</v>
      </c>
      <c r="O11" t="s">
        <v>268</v>
      </c>
      <c r="Q11" t="s">
        <v>80</v>
      </c>
      <c r="R11" t="s">
        <v>176</v>
      </c>
      <c r="S11" t="s">
        <v>175</v>
      </c>
      <c r="T11" s="31">
        <v>-4.7619047619047616E-2</v>
      </c>
      <c r="U11" t="s">
        <v>82</v>
      </c>
      <c r="V11" s="31">
        <v>-0.05</v>
      </c>
      <c r="W11" t="s">
        <v>175</v>
      </c>
      <c r="X11" s="31">
        <v>5.2631578947368418E-2</v>
      </c>
      <c r="Y11" t="s">
        <v>175</v>
      </c>
      <c r="Z11" s="31">
        <v>0</v>
      </c>
      <c r="AA11" t="s">
        <v>238</v>
      </c>
      <c r="AB11" s="31">
        <v>0.2</v>
      </c>
      <c r="AC11">
        <v>23</v>
      </c>
      <c r="AD11" t="s">
        <v>269</v>
      </c>
      <c r="AE11" t="s">
        <v>270</v>
      </c>
      <c r="AF11" s="31">
        <v>0.18252873563218391</v>
      </c>
      <c r="AG11" t="s">
        <v>271</v>
      </c>
      <c r="AH11" s="31">
        <v>4.5101088646967338E-2</v>
      </c>
      <c r="AI11" t="s">
        <v>272</v>
      </c>
      <c r="AJ11" s="31">
        <v>8.4449404761904767E-2</v>
      </c>
      <c r="AK11" t="s">
        <v>273</v>
      </c>
      <c r="AL11" s="31">
        <v>4.0480274442538593E-2</v>
      </c>
      <c r="AM11" t="s">
        <v>274</v>
      </c>
      <c r="AN11" s="31">
        <v>-0.11902406857896472</v>
      </c>
      <c r="AO11" t="s">
        <v>275</v>
      </c>
      <c r="AP11" t="s">
        <v>80</v>
      </c>
      <c r="AQ11">
        <v>6385159</v>
      </c>
      <c r="AR11">
        <v>5903710</v>
      </c>
      <c r="AS11" s="31">
        <v>-7.5401254690760242E-2</v>
      </c>
      <c r="AT11">
        <v>7141593</v>
      </c>
      <c r="AU11" s="31">
        <v>0.20967882907527641</v>
      </c>
      <c r="AV11">
        <v>7598409</v>
      </c>
      <c r="AW11" s="31">
        <v>6.3965560624919399E-2</v>
      </c>
      <c r="AX11">
        <v>7543028</v>
      </c>
      <c r="AY11" s="31">
        <v>-7.2884994740346305E-3</v>
      </c>
      <c r="AZ11">
        <v>8271381</v>
      </c>
      <c r="BA11" s="31">
        <v>9.6559763532629073E-2</v>
      </c>
      <c r="BB11">
        <v>57099</v>
      </c>
      <c r="BC11">
        <v>242860</v>
      </c>
      <c r="BD11" s="31">
        <v>3.2533144188164416</v>
      </c>
      <c r="BE11">
        <v>340088</v>
      </c>
      <c r="BF11" s="31">
        <v>0.40034587828378487</v>
      </c>
      <c r="BG11">
        <v>99335</v>
      </c>
      <c r="BH11" s="31">
        <v>-0.7079138340664769</v>
      </c>
      <c r="BI11">
        <v>66752</v>
      </c>
      <c r="BJ11" s="31">
        <v>-0.32801127497860771</v>
      </c>
      <c r="BK11">
        <v>131476</v>
      </c>
      <c r="BL11" s="31">
        <v>0.96961888782358585</v>
      </c>
      <c r="BM11" t="s">
        <v>276</v>
      </c>
      <c r="BN11" t="s">
        <v>277</v>
      </c>
      <c r="BO11" t="s">
        <v>80</v>
      </c>
      <c r="BP11" t="s">
        <v>80</v>
      </c>
      <c r="BQ11" t="s">
        <v>80</v>
      </c>
      <c r="BR11" t="s">
        <v>95</v>
      </c>
      <c r="BS11" t="s">
        <v>278</v>
      </c>
    </row>
    <row r="12" spans="1:71" x14ac:dyDescent="0.2">
      <c r="A12" t="s">
        <v>279</v>
      </c>
      <c r="B12" t="s">
        <v>80</v>
      </c>
      <c r="C12">
        <v>731100</v>
      </c>
      <c r="E12" t="s">
        <v>280</v>
      </c>
      <c r="I12">
        <v>110771682</v>
      </c>
      <c r="J12" t="s">
        <v>281</v>
      </c>
      <c r="K12" t="s">
        <v>282</v>
      </c>
      <c r="L12" t="s">
        <v>283</v>
      </c>
      <c r="M12" t="s">
        <v>77</v>
      </c>
      <c r="N12" t="s">
        <v>284</v>
      </c>
      <c r="O12" t="s">
        <v>285</v>
      </c>
      <c r="Q12" t="s">
        <v>80</v>
      </c>
      <c r="R12" t="s">
        <v>286</v>
      </c>
      <c r="S12" t="s">
        <v>130</v>
      </c>
      <c r="T12" s="31">
        <v>2.2222222222222223E-2</v>
      </c>
      <c r="U12" t="s">
        <v>287</v>
      </c>
      <c r="V12" s="31">
        <v>8.6956521739130432E-2</v>
      </c>
      <c r="W12" t="s">
        <v>104</v>
      </c>
      <c r="X12" s="31">
        <v>-0.02</v>
      </c>
      <c r="Y12" t="s">
        <v>104</v>
      </c>
      <c r="Z12" s="31">
        <v>0</v>
      </c>
      <c r="AA12" t="s">
        <v>286</v>
      </c>
      <c r="AB12" s="31">
        <v>-8.1632653061224483E-2</v>
      </c>
      <c r="AC12">
        <v>43</v>
      </c>
      <c r="AD12" t="s">
        <v>288</v>
      </c>
      <c r="AE12" t="s">
        <v>289</v>
      </c>
      <c r="AF12" s="31">
        <v>8.5271317829457363E-2</v>
      </c>
      <c r="AG12" t="s">
        <v>290</v>
      </c>
      <c r="AH12" s="31">
        <v>5.6462585034013607E-2</v>
      </c>
      <c r="AI12" t="s">
        <v>291</v>
      </c>
      <c r="AJ12" s="31">
        <v>5.054732775273664E-2</v>
      </c>
      <c r="AK12" t="s">
        <v>292</v>
      </c>
      <c r="AL12" s="31">
        <v>0.238430891817346</v>
      </c>
      <c r="AM12" t="s">
        <v>293</v>
      </c>
      <c r="AN12" s="31">
        <v>-0.10467706013363029</v>
      </c>
      <c r="AO12" t="s">
        <v>294</v>
      </c>
      <c r="AP12" t="s">
        <v>80</v>
      </c>
      <c r="AQ12">
        <v>7290500</v>
      </c>
      <c r="AR12">
        <v>6554110</v>
      </c>
      <c r="AS12" s="31">
        <v>-0.10100678965777382</v>
      </c>
      <c r="AT12">
        <v>7010847</v>
      </c>
      <c r="AU12" s="31">
        <v>6.9687112361556336E-2</v>
      </c>
      <c r="AV12">
        <v>8435901</v>
      </c>
      <c r="AW12" s="31">
        <v>0.20326417050607437</v>
      </c>
      <c r="AX12">
        <v>7661419</v>
      </c>
      <c r="AY12" s="31">
        <v>-9.1807857868412626E-2</v>
      </c>
      <c r="AZ12">
        <v>7456879</v>
      </c>
      <c r="BA12" s="31">
        <v>-2.6697404227598046E-2</v>
      </c>
      <c r="BB12">
        <v>638469</v>
      </c>
      <c r="BC12">
        <v>637044</v>
      </c>
      <c r="BD12" s="31">
        <v>-2.2319016271737549E-3</v>
      </c>
      <c r="BE12">
        <v>689700</v>
      </c>
      <c r="BF12" s="31">
        <v>8.265677096087555E-2</v>
      </c>
      <c r="BG12">
        <v>1148871</v>
      </c>
      <c r="BH12" s="31">
        <v>0.66575467594606352</v>
      </c>
      <c r="BI12">
        <v>625927</v>
      </c>
      <c r="BJ12" s="31">
        <v>-0.45518078182842114</v>
      </c>
      <c r="BK12">
        <v>493389</v>
      </c>
      <c r="BL12" s="31">
        <v>-0.21174673723932663</v>
      </c>
      <c r="BM12" t="s">
        <v>295</v>
      </c>
      <c r="BN12" t="s">
        <v>296</v>
      </c>
      <c r="BO12" t="s">
        <v>80</v>
      </c>
      <c r="BP12" t="s">
        <v>80</v>
      </c>
      <c r="BQ12" t="s">
        <v>80</v>
      </c>
      <c r="BR12" t="s">
        <v>95</v>
      </c>
      <c r="BS12" t="s">
        <v>297</v>
      </c>
    </row>
    <row r="13" spans="1:71" x14ac:dyDescent="0.2">
      <c r="A13" t="s">
        <v>298</v>
      </c>
      <c r="B13" t="s">
        <v>299</v>
      </c>
      <c r="C13">
        <v>702100</v>
      </c>
      <c r="E13" t="s">
        <v>280</v>
      </c>
      <c r="F13" t="s">
        <v>300</v>
      </c>
      <c r="G13" t="s">
        <v>193</v>
      </c>
      <c r="H13" t="s">
        <v>301</v>
      </c>
      <c r="I13">
        <v>124099127</v>
      </c>
      <c r="J13" t="s">
        <v>302</v>
      </c>
      <c r="K13" t="s">
        <v>303</v>
      </c>
      <c r="L13" t="s">
        <v>304</v>
      </c>
      <c r="M13" t="s">
        <v>77</v>
      </c>
      <c r="N13" t="s">
        <v>305</v>
      </c>
      <c r="O13" t="s">
        <v>80</v>
      </c>
      <c r="P13">
        <v>37065631548</v>
      </c>
      <c r="Q13" t="s">
        <v>80</v>
      </c>
      <c r="R13" t="s">
        <v>306</v>
      </c>
      <c r="S13" t="s">
        <v>150</v>
      </c>
      <c r="T13" s="31">
        <v>-8.1081081081081086E-2</v>
      </c>
      <c r="U13" t="s">
        <v>107</v>
      </c>
      <c r="V13" s="31">
        <v>0.17647058823529413</v>
      </c>
      <c r="W13" t="s">
        <v>107</v>
      </c>
      <c r="X13" s="31">
        <v>0</v>
      </c>
      <c r="Y13" t="s">
        <v>307</v>
      </c>
      <c r="Z13" s="31">
        <v>0.05</v>
      </c>
      <c r="AA13" t="s">
        <v>308</v>
      </c>
      <c r="AB13" s="31">
        <v>4.7619047619047616E-2</v>
      </c>
      <c r="AC13">
        <v>39</v>
      </c>
      <c r="AD13" t="s">
        <v>309</v>
      </c>
      <c r="AE13" t="s">
        <v>310</v>
      </c>
      <c r="AF13" s="31">
        <v>-1.7432646592709985E-2</v>
      </c>
      <c r="AG13" t="s">
        <v>311</v>
      </c>
      <c r="AH13" s="31">
        <v>7.4999999999999997E-2</v>
      </c>
      <c r="AI13" t="s">
        <v>312</v>
      </c>
      <c r="AJ13" s="31">
        <v>5.5138784696174045E-2</v>
      </c>
      <c r="AK13" t="s">
        <v>88</v>
      </c>
      <c r="AL13" s="31">
        <v>0.10629221471738358</v>
      </c>
      <c r="AM13" t="s">
        <v>313</v>
      </c>
      <c r="AN13" s="31">
        <v>0.11278920308483291</v>
      </c>
      <c r="AO13" t="s">
        <v>314</v>
      </c>
      <c r="AP13" t="s">
        <v>80</v>
      </c>
      <c r="AQ13">
        <v>2788993</v>
      </c>
      <c r="AR13">
        <v>2555815</v>
      </c>
      <c r="AS13" s="31">
        <v>-8.3606520346232491E-2</v>
      </c>
      <c r="AT13">
        <v>3502499</v>
      </c>
      <c r="AU13" s="31">
        <v>0.37040396116307323</v>
      </c>
      <c r="AV13">
        <v>3936974</v>
      </c>
      <c r="AW13" s="31">
        <v>0.12404714462445243</v>
      </c>
      <c r="AX13">
        <v>4517735</v>
      </c>
      <c r="AY13" s="31">
        <v>0.1475145632153019</v>
      </c>
      <c r="AZ13">
        <v>5231622</v>
      </c>
      <c r="BA13" s="31">
        <v>0.15801878596243471</v>
      </c>
      <c r="BB13">
        <v>193716</v>
      </c>
      <c r="BC13">
        <v>246631</v>
      </c>
      <c r="BD13" s="31">
        <v>0.27315761217452356</v>
      </c>
      <c r="BE13">
        <v>294912</v>
      </c>
      <c r="BF13" s="31">
        <v>0.1957620899238133</v>
      </c>
      <c r="BG13">
        <v>269786</v>
      </c>
      <c r="BH13" s="31">
        <v>-8.5198296440972224E-2</v>
      </c>
      <c r="BI13">
        <v>316849</v>
      </c>
      <c r="BJ13" s="31">
        <v>0.17444567175464998</v>
      </c>
      <c r="BK13">
        <v>329162</v>
      </c>
      <c r="BL13" s="31">
        <v>3.8860782265369306E-2</v>
      </c>
      <c r="BM13" t="s">
        <v>315</v>
      </c>
      <c r="BN13" t="s">
        <v>316</v>
      </c>
      <c r="BO13" t="s">
        <v>80</v>
      </c>
      <c r="BP13" t="s">
        <v>80</v>
      </c>
      <c r="BQ13" t="s">
        <v>80</v>
      </c>
      <c r="BR13" t="s">
        <v>95</v>
      </c>
      <c r="BS13" t="s">
        <v>317</v>
      </c>
    </row>
    <row r="14" spans="1:71" x14ac:dyDescent="0.2">
      <c r="A14" t="s">
        <v>318</v>
      </c>
      <c r="B14" t="s">
        <v>319</v>
      </c>
      <c r="C14">
        <v>731100</v>
      </c>
      <c r="E14" t="s">
        <v>320</v>
      </c>
      <c r="G14" t="s">
        <v>193</v>
      </c>
      <c r="I14">
        <v>302713051</v>
      </c>
      <c r="J14" t="s">
        <v>321</v>
      </c>
      <c r="K14" t="s">
        <v>322</v>
      </c>
      <c r="L14" t="s">
        <v>215</v>
      </c>
      <c r="M14" t="s">
        <v>77</v>
      </c>
      <c r="N14" t="s">
        <v>323</v>
      </c>
      <c r="O14" t="s">
        <v>80</v>
      </c>
      <c r="P14">
        <v>37061676777</v>
      </c>
      <c r="Q14" t="s">
        <v>80</v>
      </c>
      <c r="R14" t="s">
        <v>251</v>
      </c>
      <c r="S14" t="s">
        <v>252</v>
      </c>
      <c r="T14" s="31">
        <v>-7.1428571428571425E-2</v>
      </c>
      <c r="U14" t="s">
        <v>151</v>
      </c>
      <c r="V14" s="31">
        <v>0.15384615384615385</v>
      </c>
      <c r="W14" t="s">
        <v>129</v>
      </c>
      <c r="X14" s="31">
        <v>0.43333333333333335</v>
      </c>
      <c r="Y14" t="s">
        <v>107</v>
      </c>
      <c r="Z14" s="31">
        <v>-6.9767441860465115E-2</v>
      </c>
      <c r="AA14" t="s">
        <v>129</v>
      </c>
      <c r="AB14" s="31">
        <v>7.4999999999999997E-2</v>
      </c>
      <c r="AC14">
        <v>35</v>
      </c>
      <c r="AD14" t="s">
        <v>324</v>
      </c>
      <c r="AE14" t="s">
        <v>325</v>
      </c>
      <c r="AF14" s="31">
        <v>8.3723348933957359E-2</v>
      </c>
      <c r="AG14" t="s">
        <v>326</v>
      </c>
      <c r="AH14" s="31">
        <v>6.9577735124760079E-2</v>
      </c>
      <c r="AI14" t="s">
        <v>327</v>
      </c>
      <c r="AJ14" s="31">
        <v>0.23283983849259757</v>
      </c>
      <c r="AK14" t="s">
        <v>328</v>
      </c>
      <c r="AL14" s="31">
        <v>0.15902474526928675</v>
      </c>
      <c r="AM14" t="s">
        <v>329</v>
      </c>
      <c r="AN14" s="31">
        <v>3.0141287284144426E-2</v>
      </c>
      <c r="AO14" t="s">
        <v>330</v>
      </c>
      <c r="AP14" t="s">
        <v>80</v>
      </c>
      <c r="AQ14">
        <v>2542792</v>
      </c>
      <c r="AR14">
        <v>2699328</v>
      </c>
      <c r="AS14" s="31">
        <v>6.1560678183665826E-2</v>
      </c>
      <c r="AT14">
        <v>3544935</v>
      </c>
      <c r="AU14" s="31">
        <v>0.31326574614126185</v>
      </c>
      <c r="AV14">
        <v>5294859</v>
      </c>
      <c r="AW14" s="31">
        <v>0.49364064503298366</v>
      </c>
      <c r="AX14">
        <v>5094797</v>
      </c>
      <c r="AY14" s="31">
        <v>-3.7784197841717784E-2</v>
      </c>
      <c r="AZ14">
        <v>5026701</v>
      </c>
      <c r="BA14" s="31">
        <v>-1.3365792591932515E-2</v>
      </c>
      <c r="BB14">
        <v>229725</v>
      </c>
      <c r="BC14">
        <v>38351</v>
      </c>
      <c r="BD14" s="31">
        <v>-0.83305691587767983</v>
      </c>
      <c r="BE14">
        <v>230336</v>
      </c>
      <c r="BF14" s="31">
        <v>5.0059972360564258</v>
      </c>
      <c r="BG14">
        <v>140814</v>
      </c>
      <c r="BH14" s="31">
        <v>-0.38865830786329536</v>
      </c>
      <c r="BI14">
        <v>80642</v>
      </c>
      <c r="BJ14" s="31">
        <v>-0.42731546579175367</v>
      </c>
      <c r="BK14">
        <v>-152937</v>
      </c>
      <c r="BL14" s="31">
        <v>-2.8964931425311873</v>
      </c>
      <c r="BM14" t="s">
        <v>80</v>
      </c>
      <c r="BN14" t="s">
        <v>331</v>
      </c>
      <c r="BO14" t="s">
        <v>80</v>
      </c>
      <c r="BP14" t="s">
        <v>80</v>
      </c>
      <c r="BQ14" t="s">
        <v>80</v>
      </c>
      <c r="BR14" t="s">
        <v>95</v>
      </c>
      <c r="BS14" t="s">
        <v>332</v>
      </c>
    </row>
    <row r="15" spans="1:71" x14ac:dyDescent="0.2">
      <c r="A15" t="s">
        <v>333</v>
      </c>
      <c r="B15" t="s">
        <v>334</v>
      </c>
      <c r="C15">
        <v>731100</v>
      </c>
      <c r="D15" t="s">
        <v>335</v>
      </c>
      <c r="I15">
        <v>300065271</v>
      </c>
      <c r="J15" t="s">
        <v>336</v>
      </c>
      <c r="K15" t="s">
        <v>337</v>
      </c>
      <c r="L15" t="s">
        <v>338</v>
      </c>
      <c r="M15" t="s">
        <v>77</v>
      </c>
      <c r="N15" t="s">
        <v>339</v>
      </c>
      <c r="O15" t="s">
        <v>340</v>
      </c>
      <c r="Q15" t="s">
        <v>80</v>
      </c>
      <c r="R15" t="s">
        <v>152</v>
      </c>
      <c r="S15" t="s">
        <v>308</v>
      </c>
      <c r="T15" s="31">
        <v>0.22222222222222221</v>
      </c>
      <c r="U15" t="s">
        <v>341</v>
      </c>
      <c r="V15" s="31">
        <v>1.25</v>
      </c>
      <c r="W15" t="s">
        <v>342</v>
      </c>
      <c r="X15" s="31">
        <v>-0.17171717171717171</v>
      </c>
      <c r="Y15" t="s">
        <v>343</v>
      </c>
      <c r="Z15" s="31">
        <v>-4.878048780487805E-2</v>
      </c>
      <c r="AA15" t="s">
        <v>109</v>
      </c>
      <c r="AB15" s="31">
        <v>-0.60256410256410253</v>
      </c>
      <c r="AC15">
        <v>36</v>
      </c>
      <c r="AD15" t="s">
        <v>344</v>
      </c>
      <c r="AE15" t="s">
        <v>345</v>
      </c>
      <c r="AF15" s="31">
        <v>0.10312499999999999</v>
      </c>
      <c r="AG15" t="s">
        <v>346</v>
      </c>
      <c r="AH15" s="31">
        <v>0.16855524079320114</v>
      </c>
      <c r="AI15" t="s">
        <v>347</v>
      </c>
      <c r="AJ15" s="31">
        <v>0.27333333333333332</v>
      </c>
      <c r="AK15" t="s">
        <v>348</v>
      </c>
      <c r="AL15" s="31">
        <v>0.14040932889100427</v>
      </c>
      <c r="AM15" t="s">
        <v>349</v>
      </c>
      <c r="AN15" s="31">
        <v>8.1385642737896488E-2</v>
      </c>
      <c r="AO15" t="s">
        <v>350</v>
      </c>
      <c r="AP15" t="s">
        <v>80</v>
      </c>
      <c r="AQ15">
        <v>3066953</v>
      </c>
      <c r="AR15">
        <v>1961813</v>
      </c>
      <c r="AS15" s="31">
        <v>-0.36033809451921828</v>
      </c>
      <c r="AT15">
        <v>3042658</v>
      </c>
      <c r="AU15" s="31">
        <v>0.55094190934609977</v>
      </c>
      <c r="AV15">
        <v>4774281</v>
      </c>
      <c r="AW15" s="31">
        <v>0.56911522754118271</v>
      </c>
      <c r="AX15">
        <v>5838294</v>
      </c>
      <c r="AY15" s="31">
        <v>0.22286350552051712</v>
      </c>
      <c r="AZ15">
        <v>4789830</v>
      </c>
      <c r="BA15" s="31">
        <v>-0.17958396750831665</v>
      </c>
      <c r="BB15">
        <v>212789</v>
      </c>
      <c r="BC15">
        <v>132198</v>
      </c>
      <c r="BD15" s="31">
        <v>-0.37873668281725087</v>
      </c>
      <c r="BE15">
        <v>219867</v>
      </c>
      <c r="BF15" s="31">
        <v>0.66316434439250216</v>
      </c>
      <c r="BG15">
        <v>318475</v>
      </c>
      <c r="BH15" s="31">
        <v>0.44848931399436931</v>
      </c>
      <c r="BI15">
        <v>365605</v>
      </c>
      <c r="BJ15" s="31">
        <v>0.14798649815527121</v>
      </c>
      <c r="BK15">
        <v>132820</v>
      </c>
      <c r="BL15" s="31">
        <v>-0.63671175175394212</v>
      </c>
      <c r="BM15" t="s">
        <v>351</v>
      </c>
      <c r="BN15" t="s">
        <v>352</v>
      </c>
      <c r="BO15" t="s">
        <v>80</v>
      </c>
      <c r="BP15" t="s">
        <v>80</v>
      </c>
      <c r="BQ15" t="s">
        <v>80</v>
      </c>
      <c r="BR15" t="s">
        <v>95</v>
      </c>
      <c r="BS15" t="s">
        <v>353</v>
      </c>
    </row>
    <row r="16" spans="1:71" x14ac:dyDescent="0.2">
      <c r="A16" t="s">
        <v>354</v>
      </c>
      <c r="B16" t="s">
        <v>355</v>
      </c>
      <c r="C16">
        <v>702100</v>
      </c>
      <c r="F16" t="s">
        <v>356</v>
      </c>
      <c r="I16">
        <v>125671759</v>
      </c>
      <c r="J16" t="s">
        <v>357</v>
      </c>
      <c r="K16" t="s">
        <v>358</v>
      </c>
      <c r="L16" t="s">
        <v>215</v>
      </c>
      <c r="M16" t="s">
        <v>77</v>
      </c>
      <c r="N16" t="s">
        <v>359</v>
      </c>
      <c r="O16" t="s">
        <v>80</v>
      </c>
      <c r="P16">
        <v>37061125839</v>
      </c>
      <c r="Q16" t="s">
        <v>80</v>
      </c>
      <c r="R16" t="s">
        <v>175</v>
      </c>
      <c r="S16" t="s">
        <v>175</v>
      </c>
      <c r="T16" s="31">
        <v>0</v>
      </c>
      <c r="U16" t="s">
        <v>237</v>
      </c>
      <c r="V16" s="31">
        <v>0.1</v>
      </c>
      <c r="W16" t="s">
        <v>201</v>
      </c>
      <c r="X16" s="31">
        <v>0.13636363636363635</v>
      </c>
      <c r="Y16" t="s">
        <v>252</v>
      </c>
      <c r="Z16" s="31">
        <v>0.04</v>
      </c>
      <c r="AA16" t="s">
        <v>238</v>
      </c>
      <c r="AB16" s="31">
        <v>-7.6923076923076927E-2</v>
      </c>
      <c r="AC16">
        <v>22</v>
      </c>
      <c r="AD16" t="s">
        <v>360</v>
      </c>
      <c r="AE16" t="s">
        <v>361</v>
      </c>
      <c r="AF16" s="31">
        <v>0.1657995143947277</v>
      </c>
      <c r="AG16" t="s">
        <v>362</v>
      </c>
      <c r="AH16" s="31">
        <v>0.15679857185361498</v>
      </c>
      <c r="AI16" t="s">
        <v>363</v>
      </c>
      <c r="AJ16" s="31">
        <v>-3.1635802469135804E-2</v>
      </c>
      <c r="AK16" t="s">
        <v>364</v>
      </c>
      <c r="AL16" s="31">
        <v>0.16600265604249667</v>
      </c>
      <c r="AM16" t="s">
        <v>365</v>
      </c>
      <c r="AN16" s="31">
        <v>0.12277904328018223</v>
      </c>
      <c r="AO16" t="s">
        <v>366</v>
      </c>
      <c r="AP16" t="s">
        <v>80</v>
      </c>
      <c r="AQ16">
        <v>3590407</v>
      </c>
      <c r="AR16">
        <v>3042886</v>
      </c>
      <c r="AS16" s="31">
        <v>-0.15249552488060547</v>
      </c>
      <c r="AT16">
        <v>4312296</v>
      </c>
      <c r="AU16" s="31">
        <v>0.41717303901624969</v>
      </c>
      <c r="AV16">
        <v>4312150</v>
      </c>
      <c r="AW16" s="31">
        <v>-3.3856674031652747E-5</v>
      </c>
      <c r="AX16">
        <v>4315944</v>
      </c>
      <c r="AY16" s="31">
        <v>8.7983952320768062E-4</v>
      </c>
      <c r="AZ16">
        <v>4743413</v>
      </c>
      <c r="BA16" s="31">
        <v>9.9044148858279904E-2</v>
      </c>
      <c r="BB16">
        <v>678081</v>
      </c>
      <c r="BC16">
        <v>361920</v>
      </c>
      <c r="BD16" s="31">
        <v>-0.46625845584819514</v>
      </c>
      <c r="BE16">
        <v>728377</v>
      </c>
      <c r="BF16" s="31">
        <v>1.0125359195402299</v>
      </c>
      <c r="BG16">
        <v>759242</v>
      </c>
      <c r="BH16" s="31">
        <v>4.2375033808041716E-2</v>
      </c>
      <c r="BI16">
        <v>828689</v>
      </c>
      <c r="BJ16" s="31">
        <v>9.1468859731152916E-2</v>
      </c>
      <c r="BK16">
        <v>684359</v>
      </c>
      <c r="BL16" s="31">
        <v>-0.17416666566106223</v>
      </c>
      <c r="BM16" t="s">
        <v>367</v>
      </c>
      <c r="BN16" t="s">
        <v>368</v>
      </c>
      <c r="BO16" t="s">
        <v>80</v>
      </c>
      <c r="BP16" t="s">
        <v>80</v>
      </c>
      <c r="BQ16" t="s">
        <v>80</v>
      </c>
      <c r="BR16" t="s">
        <v>95</v>
      </c>
      <c r="BS16" t="s">
        <v>369</v>
      </c>
    </row>
    <row r="17" spans="1:71" x14ac:dyDescent="0.2">
      <c r="A17" t="s">
        <v>370</v>
      </c>
      <c r="B17" t="s">
        <v>371</v>
      </c>
      <c r="C17">
        <v>731100</v>
      </c>
      <c r="G17" t="s">
        <v>193</v>
      </c>
      <c r="I17">
        <v>302705193</v>
      </c>
      <c r="J17" t="s">
        <v>372</v>
      </c>
      <c r="K17" t="s">
        <v>373</v>
      </c>
      <c r="L17" t="s">
        <v>374</v>
      </c>
      <c r="M17" t="s">
        <v>77</v>
      </c>
      <c r="N17" t="s">
        <v>375</v>
      </c>
      <c r="O17" t="s">
        <v>80</v>
      </c>
      <c r="P17">
        <v>37068646164</v>
      </c>
      <c r="Q17" t="s">
        <v>80</v>
      </c>
      <c r="R17" t="s">
        <v>218</v>
      </c>
      <c r="S17" t="s">
        <v>199</v>
      </c>
      <c r="T17" s="31">
        <v>0.6875</v>
      </c>
      <c r="U17" t="s">
        <v>376</v>
      </c>
      <c r="V17" s="31">
        <v>0.51851851851851849</v>
      </c>
      <c r="W17" t="s">
        <v>132</v>
      </c>
      <c r="X17" s="31">
        <v>0.26829268292682928</v>
      </c>
      <c r="Y17" t="s">
        <v>377</v>
      </c>
      <c r="Z17" s="31">
        <v>7.6923076923076927E-2</v>
      </c>
      <c r="AA17" t="s">
        <v>287</v>
      </c>
      <c r="AB17" s="31">
        <v>-0.10714285714285714</v>
      </c>
      <c r="AC17">
        <v>41</v>
      </c>
      <c r="AD17" t="s">
        <v>239</v>
      </c>
      <c r="AE17" t="s">
        <v>378</v>
      </c>
      <c r="AF17" s="31">
        <v>-5.4694621695533276E-3</v>
      </c>
      <c r="AG17" t="s">
        <v>379</v>
      </c>
      <c r="AH17" s="31">
        <v>0.10311640696608616</v>
      </c>
      <c r="AI17" t="s">
        <v>380</v>
      </c>
      <c r="AJ17" s="31">
        <v>6.9380972164520147E-2</v>
      </c>
      <c r="AK17" t="s">
        <v>381</v>
      </c>
      <c r="AL17" s="31">
        <v>8.2750582750582752E-2</v>
      </c>
      <c r="AM17" t="s">
        <v>382</v>
      </c>
      <c r="AN17" s="31">
        <v>7.8220308575529238E-2</v>
      </c>
      <c r="AO17" t="s">
        <v>383</v>
      </c>
      <c r="AP17" t="s">
        <v>80</v>
      </c>
      <c r="AQ17">
        <v>1161676</v>
      </c>
      <c r="AR17">
        <v>1881602</v>
      </c>
      <c r="AS17" s="31">
        <v>0.61973045840664698</v>
      </c>
      <c r="AT17">
        <v>2745328</v>
      </c>
      <c r="AU17" s="31">
        <v>0.45903756479850683</v>
      </c>
      <c r="AV17">
        <v>3189523</v>
      </c>
      <c r="AW17" s="31">
        <v>0.16180033861163401</v>
      </c>
      <c r="AX17">
        <v>3156815</v>
      </c>
      <c r="AY17" s="31">
        <v>-1.0254824937772827E-2</v>
      </c>
      <c r="AZ17">
        <v>3457966</v>
      </c>
      <c r="BA17" s="31">
        <v>9.5397101192182629E-2</v>
      </c>
      <c r="BB17">
        <v>15451</v>
      </c>
      <c r="BC17">
        <v>76484</v>
      </c>
      <c r="BD17" s="31">
        <v>3.9501003171315774</v>
      </c>
      <c r="BE17">
        <v>28066</v>
      </c>
      <c r="BF17" s="31">
        <v>-0.63304743475759639</v>
      </c>
      <c r="BG17">
        <v>44871</v>
      </c>
      <c r="BH17" s="31">
        <v>0.59876719161975345</v>
      </c>
      <c r="BI17">
        <v>8499</v>
      </c>
      <c r="BJ17" s="31">
        <v>-0.81059035902921706</v>
      </c>
      <c r="BK17">
        <v>10004</v>
      </c>
      <c r="BL17" s="31">
        <v>0.17707965643016826</v>
      </c>
      <c r="BM17" t="s">
        <v>384</v>
      </c>
      <c r="BN17" t="s">
        <v>385</v>
      </c>
      <c r="BO17" t="s">
        <v>80</v>
      </c>
      <c r="BP17" t="s">
        <v>80</v>
      </c>
      <c r="BQ17" t="s">
        <v>80</v>
      </c>
      <c r="BR17" t="s">
        <v>189</v>
      </c>
      <c r="BS17" t="s">
        <v>386</v>
      </c>
    </row>
    <row r="18" spans="1:71" x14ac:dyDescent="0.2">
      <c r="A18" t="s">
        <v>387</v>
      </c>
      <c r="B18" t="s">
        <v>388</v>
      </c>
      <c r="C18">
        <v>702200</v>
      </c>
      <c r="F18" t="s">
        <v>356</v>
      </c>
      <c r="I18">
        <v>300078393</v>
      </c>
      <c r="J18" t="s">
        <v>389</v>
      </c>
      <c r="K18" t="s">
        <v>390</v>
      </c>
      <c r="L18" t="s">
        <v>391</v>
      </c>
      <c r="M18" t="s">
        <v>77</v>
      </c>
      <c r="N18" t="s">
        <v>392</v>
      </c>
      <c r="O18" t="s">
        <v>80</v>
      </c>
      <c r="P18">
        <v>37065559478</v>
      </c>
      <c r="Q18" t="s">
        <v>80</v>
      </c>
      <c r="R18" t="s">
        <v>176</v>
      </c>
      <c r="S18" t="s">
        <v>176</v>
      </c>
      <c r="T18" s="31">
        <v>0</v>
      </c>
      <c r="U18" t="s">
        <v>252</v>
      </c>
      <c r="V18" s="31">
        <v>0.23809523809523808</v>
      </c>
      <c r="W18" t="s">
        <v>199</v>
      </c>
      <c r="X18" s="31">
        <v>3.8461538461538464E-2</v>
      </c>
      <c r="Y18" t="s">
        <v>252</v>
      </c>
      <c r="Z18" s="31">
        <v>-3.7037037037037035E-2</v>
      </c>
      <c r="AA18" t="s">
        <v>238</v>
      </c>
      <c r="AB18" s="31">
        <v>-7.6923076923076927E-2</v>
      </c>
      <c r="AC18">
        <v>33</v>
      </c>
      <c r="AD18" t="s">
        <v>393</v>
      </c>
      <c r="AE18" t="s">
        <v>394</v>
      </c>
      <c r="AF18" s="31">
        <v>-3.1898734177215192E-2</v>
      </c>
      <c r="AG18" t="s">
        <v>395</v>
      </c>
      <c r="AH18" s="31">
        <v>7.2175732217573216E-2</v>
      </c>
      <c r="AI18" t="s">
        <v>396</v>
      </c>
      <c r="AJ18" s="31">
        <v>0.1248780487804878</v>
      </c>
      <c r="AK18" t="s">
        <v>397</v>
      </c>
      <c r="AL18" s="31">
        <v>0.10884648742411102</v>
      </c>
      <c r="AM18" t="s">
        <v>398</v>
      </c>
      <c r="AN18" s="31">
        <v>7.352366053969496E-2</v>
      </c>
      <c r="AO18" t="s">
        <v>399</v>
      </c>
      <c r="AP18" t="s">
        <v>80</v>
      </c>
      <c r="AQ18">
        <v>2883332</v>
      </c>
      <c r="AR18">
        <v>2684538</v>
      </c>
      <c r="AS18" s="31">
        <v>-6.8945927836267212E-2</v>
      </c>
      <c r="AT18">
        <v>3293875</v>
      </c>
      <c r="AU18" s="31">
        <v>0.22698021037511856</v>
      </c>
      <c r="AV18">
        <v>3529291</v>
      </c>
      <c r="AW18" s="31">
        <v>7.1470836021403361E-2</v>
      </c>
      <c r="AX18">
        <v>4148973</v>
      </c>
      <c r="AY18" s="31">
        <v>0.17558257451709139</v>
      </c>
      <c r="AZ18">
        <v>3374832</v>
      </c>
      <c r="BA18" s="31">
        <v>-0.18658617445811287</v>
      </c>
      <c r="BB18">
        <v>94625</v>
      </c>
      <c r="BC18">
        <v>205039</v>
      </c>
      <c r="BD18" s="31">
        <v>1.1668586525759577</v>
      </c>
      <c r="BE18">
        <v>219463</v>
      </c>
      <c r="BF18" s="31">
        <v>7.0347592409248969E-2</v>
      </c>
      <c r="BG18">
        <v>281973</v>
      </c>
      <c r="BH18" s="31">
        <v>0.28483161170675697</v>
      </c>
      <c r="BI18">
        <v>220705</v>
      </c>
      <c r="BJ18" s="31">
        <v>-0.21728321505959791</v>
      </c>
      <c r="BK18">
        <v>281779</v>
      </c>
      <c r="BL18" s="31">
        <v>0.27672232165107269</v>
      </c>
      <c r="BM18" t="s">
        <v>400</v>
      </c>
      <c r="BN18" t="s">
        <v>401</v>
      </c>
      <c r="BO18" t="s">
        <v>80</v>
      </c>
      <c r="BP18" t="s">
        <v>80</v>
      </c>
      <c r="BQ18" t="s">
        <v>80</v>
      </c>
      <c r="BR18" t="s">
        <v>95</v>
      </c>
      <c r="BS18" t="s">
        <v>402</v>
      </c>
    </row>
    <row r="19" spans="1:71" x14ac:dyDescent="0.2">
      <c r="A19" t="s">
        <v>403</v>
      </c>
      <c r="B19" t="s">
        <v>404</v>
      </c>
      <c r="C19">
        <v>731100</v>
      </c>
      <c r="E19" t="s">
        <v>280</v>
      </c>
      <c r="I19">
        <v>302704981</v>
      </c>
      <c r="J19" t="s">
        <v>405</v>
      </c>
      <c r="K19" t="s">
        <v>406</v>
      </c>
      <c r="L19" t="s">
        <v>407</v>
      </c>
      <c r="M19" t="s">
        <v>77</v>
      </c>
      <c r="N19" t="s">
        <v>408</v>
      </c>
      <c r="O19" t="s">
        <v>80</v>
      </c>
      <c r="P19">
        <v>37060870533</v>
      </c>
      <c r="Q19" t="s">
        <v>80</v>
      </c>
      <c r="R19" t="s">
        <v>218</v>
      </c>
      <c r="S19" t="s">
        <v>82</v>
      </c>
      <c r="T19" s="31">
        <v>0.1875</v>
      </c>
      <c r="U19" t="s">
        <v>409</v>
      </c>
      <c r="V19" s="31">
        <v>0.21052631578947367</v>
      </c>
      <c r="W19" t="s">
        <v>252</v>
      </c>
      <c r="X19" s="31">
        <v>0.13043478260869565</v>
      </c>
      <c r="Y19" t="s">
        <v>199</v>
      </c>
      <c r="Z19" s="31">
        <v>3.8461538461538464E-2</v>
      </c>
      <c r="AA19" t="s">
        <v>201</v>
      </c>
      <c r="AB19" s="31">
        <v>-7.407407407407407E-2</v>
      </c>
      <c r="AC19">
        <v>19</v>
      </c>
      <c r="AD19" t="s">
        <v>410</v>
      </c>
      <c r="AE19" t="s">
        <v>411</v>
      </c>
      <c r="AF19" s="31">
        <v>-7.6331967213114749E-2</v>
      </c>
      <c r="AG19" t="s">
        <v>412</v>
      </c>
      <c r="AH19" s="31">
        <v>9.262340543538547E-2</v>
      </c>
      <c r="AI19" t="s">
        <v>413</v>
      </c>
      <c r="AJ19" s="31">
        <v>0.2751269035532995</v>
      </c>
      <c r="AK19" t="s">
        <v>414</v>
      </c>
      <c r="AL19" s="31">
        <v>0.19227707006369427</v>
      </c>
      <c r="AM19" t="s">
        <v>415</v>
      </c>
      <c r="AN19" s="31">
        <v>3.6727879799666109E-2</v>
      </c>
      <c r="AO19" t="s">
        <v>416</v>
      </c>
      <c r="AP19" t="s">
        <v>80</v>
      </c>
      <c r="AQ19">
        <v>1642462</v>
      </c>
      <c r="AR19">
        <v>2170995</v>
      </c>
      <c r="AS19" s="31">
        <v>0.32179313737547655</v>
      </c>
      <c r="AT19">
        <v>2012184</v>
      </c>
      <c r="AU19" s="31">
        <v>-7.3151250924115438E-2</v>
      </c>
      <c r="AV19">
        <v>2854292</v>
      </c>
      <c r="AW19" s="31">
        <v>0.41850447076410507</v>
      </c>
      <c r="AX19">
        <v>3034911</v>
      </c>
      <c r="AY19" s="31">
        <v>6.3279790575035771E-2</v>
      </c>
      <c r="AZ19">
        <v>3272793</v>
      </c>
      <c r="BA19" s="31">
        <v>7.8381870176753118E-2</v>
      </c>
      <c r="BB19">
        <v>5768</v>
      </c>
      <c r="BC19">
        <v>4980</v>
      </c>
      <c r="BD19" s="31">
        <v>-0.13661581137309292</v>
      </c>
      <c r="BE19">
        <v>-93219</v>
      </c>
      <c r="BF19" s="31">
        <v>-19.71867469879518</v>
      </c>
      <c r="BG19">
        <v>68130</v>
      </c>
      <c r="BH19" s="31">
        <v>1.7308595887104601</v>
      </c>
      <c r="BI19">
        <v>-30674</v>
      </c>
      <c r="BJ19" s="31">
        <v>-1.4502275062380743</v>
      </c>
      <c r="BK19">
        <v>30560</v>
      </c>
      <c r="BL19" s="31">
        <v>1.99628349742453</v>
      </c>
      <c r="BM19" t="s">
        <v>417</v>
      </c>
      <c r="BN19" t="s">
        <v>418</v>
      </c>
      <c r="BO19" t="s">
        <v>419</v>
      </c>
      <c r="BP19" t="s">
        <v>80</v>
      </c>
      <c r="BQ19" t="s">
        <v>80</v>
      </c>
      <c r="BR19" t="s">
        <v>189</v>
      </c>
      <c r="BS19" t="s">
        <v>386</v>
      </c>
    </row>
    <row r="20" spans="1:71" x14ac:dyDescent="0.2">
      <c r="A20" t="s">
        <v>420</v>
      </c>
      <c r="B20" t="s">
        <v>421</v>
      </c>
      <c r="C20">
        <v>731100</v>
      </c>
      <c r="E20" t="s">
        <v>280</v>
      </c>
      <c r="I20">
        <v>300529266</v>
      </c>
      <c r="J20" t="s">
        <v>422</v>
      </c>
      <c r="K20" t="s">
        <v>423</v>
      </c>
      <c r="L20" t="s">
        <v>424</v>
      </c>
      <c r="M20" t="s">
        <v>77</v>
      </c>
      <c r="N20" t="s">
        <v>425</v>
      </c>
      <c r="O20" t="s">
        <v>80</v>
      </c>
      <c r="P20">
        <v>37067344446</v>
      </c>
      <c r="Q20" t="s">
        <v>80</v>
      </c>
      <c r="R20" t="s">
        <v>221</v>
      </c>
      <c r="S20" t="s">
        <v>81</v>
      </c>
      <c r="T20" s="31">
        <v>0.38461538461538464</v>
      </c>
      <c r="U20" t="s">
        <v>151</v>
      </c>
      <c r="V20" s="31">
        <v>0.66666666666666663</v>
      </c>
      <c r="W20" t="s">
        <v>153</v>
      </c>
      <c r="X20" s="31">
        <v>0.16666666666666666</v>
      </c>
      <c r="Y20" t="s">
        <v>306</v>
      </c>
      <c r="Z20" s="31">
        <v>5.7142857142857141E-2</v>
      </c>
      <c r="AA20" t="s">
        <v>153</v>
      </c>
      <c r="AB20" s="31">
        <v>-5.4054054054054057E-2</v>
      </c>
      <c r="AC20">
        <v>31</v>
      </c>
      <c r="AD20" t="s">
        <v>426</v>
      </c>
      <c r="AE20" t="s">
        <v>427</v>
      </c>
      <c r="AF20" s="31">
        <v>0.13314646110721795</v>
      </c>
      <c r="AG20" t="s">
        <v>428</v>
      </c>
      <c r="AH20" s="31">
        <v>0.37167594310451452</v>
      </c>
      <c r="AI20" t="s">
        <v>429</v>
      </c>
      <c r="AJ20" s="31">
        <v>0.18575293056807934</v>
      </c>
      <c r="AK20" t="s">
        <v>430</v>
      </c>
      <c r="AL20" s="31">
        <v>0.22167300380228136</v>
      </c>
      <c r="AM20" t="s">
        <v>431</v>
      </c>
      <c r="AN20" s="31">
        <v>1.0893246187363835E-2</v>
      </c>
      <c r="AO20" t="s">
        <v>432</v>
      </c>
      <c r="AP20" t="s">
        <v>80</v>
      </c>
      <c r="AQ20">
        <v>2461430</v>
      </c>
      <c r="AR20">
        <v>2095356</v>
      </c>
      <c r="AS20" s="31">
        <v>-0.14872411565634611</v>
      </c>
      <c r="AT20">
        <v>3406485</v>
      </c>
      <c r="AU20" s="31">
        <v>0.62573090205196635</v>
      </c>
      <c r="AV20">
        <v>3253190</v>
      </c>
      <c r="AW20" s="31">
        <v>-4.5000932045789137E-2</v>
      </c>
      <c r="AX20">
        <v>4214370</v>
      </c>
      <c r="AY20" s="31">
        <v>0.29545768922196369</v>
      </c>
      <c r="AZ20">
        <v>3158150</v>
      </c>
      <c r="BA20" s="31">
        <v>-0.25062346210702907</v>
      </c>
      <c r="BB20">
        <v>118464</v>
      </c>
      <c r="BC20">
        <v>102345</v>
      </c>
      <c r="BD20" s="31">
        <v>-0.1360666531604538</v>
      </c>
      <c r="BE20">
        <v>225233</v>
      </c>
      <c r="BF20" s="31">
        <v>1.2007230446040353</v>
      </c>
      <c r="BG20">
        <v>130725</v>
      </c>
      <c r="BH20" s="31">
        <v>-0.41960103537225896</v>
      </c>
      <c r="BI20">
        <v>50994</v>
      </c>
      <c r="BJ20" s="31">
        <v>-0.6099139414802065</v>
      </c>
      <c r="BK20">
        <v>-73517</v>
      </c>
      <c r="BL20" s="31">
        <v>-2.4416794132643056</v>
      </c>
      <c r="BM20" t="s">
        <v>433</v>
      </c>
      <c r="BN20" t="s">
        <v>434</v>
      </c>
      <c r="BO20" t="s">
        <v>80</v>
      </c>
      <c r="BP20" t="s">
        <v>80</v>
      </c>
      <c r="BQ20" t="s">
        <v>80</v>
      </c>
      <c r="BR20" t="s">
        <v>95</v>
      </c>
      <c r="BS20" t="s">
        <v>435</v>
      </c>
    </row>
    <row r="21" spans="1:71" x14ac:dyDescent="0.2">
      <c r="A21" t="s">
        <v>436</v>
      </c>
      <c r="B21" t="s">
        <v>437</v>
      </c>
      <c r="C21">
        <v>702100</v>
      </c>
      <c r="F21" t="s">
        <v>300</v>
      </c>
      <c r="I21">
        <v>126093354</v>
      </c>
      <c r="J21" t="s">
        <v>438</v>
      </c>
      <c r="K21" t="s">
        <v>439</v>
      </c>
      <c r="L21" t="s">
        <v>440</v>
      </c>
      <c r="M21" t="s">
        <v>77</v>
      </c>
      <c r="N21" t="s">
        <v>441</v>
      </c>
      <c r="O21" t="s">
        <v>442</v>
      </c>
      <c r="Q21" t="s">
        <v>80</v>
      </c>
      <c r="R21" t="s">
        <v>151</v>
      </c>
      <c r="S21" t="s">
        <v>252</v>
      </c>
      <c r="T21" s="31">
        <v>-0.13333333333333333</v>
      </c>
      <c r="U21" t="s">
        <v>109</v>
      </c>
      <c r="V21" s="31">
        <v>0.19230769230769232</v>
      </c>
      <c r="W21" t="s">
        <v>306</v>
      </c>
      <c r="X21" s="31">
        <v>0.19354838709677419</v>
      </c>
      <c r="Y21" t="s">
        <v>152</v>
      </c>
      <c r="Z21" s="31">
        <v>-2.7027027027027029E-2</v>
      </c>
      <c r="AA21" t="s">
        <v>151</v>
      </c>
      <c r="AB21" s="31">
        <v>-0.16666666666666666</v>
      </c>
      <c r="AC21">
        <v>24</v>
      </c>
      <c r="AD21" t="s">
        <v>443</v>
      </c>
      <c r="AE21" t="s">
        <v>444</v>
      </c>
      <c r="AF21" s="31">
        <v>8.3880747852450727E-2</v>
      </c>
      <c r="AG21" t="s">
        <v>445</v>
      </c>
      <c r="AH21" s="31">
        <v>0.27459207459207458</v>
      </c>
      <c r="AI21" t="s">
        <v>446</v>
      </c>
      <c r="AJ21" s="31">
        <v>-5.1938551572787123E-2</v>
      </c>
      <c r="AK21" t="s">
        <v>447</v>
      </c>
      <c r="AL21" s="31">
        <v>0.13040123456790123</v>
      </c>
      <c r="AM21" t="s">
        <v>448</v>
      </c>
      <c r="AN21" s="31">
        <v>0.1515358361774744</v>
      </c>
      <c r="AO21" t="s">
        <v>449</v>
      </c>
      <c r="AP21" t="s">
        <v>80</v>
      </c>
      <c r="AQ21">
        <v>2121009</v>
      </c>
      <c r="AR21">
        <v>2078484</v>
      </c>
      <c r="AS21" s="31">
        <v>-2.0049419875163187E-2</v>
      </c>
      <c r="AT21">
        <v>2384972</v>
      </c>
      <c r="AU21" s="31">
        <v>0.14745747381264421</v>
      </c>
      <c r="AV21">
        <v>2603242</v>
      </c>
      <c r="AW21" s="31">
        <v>9.1518894142153445E-2</v>
      </c>
      <c r="AX21">
        <v>3033004</v>
      </c>
      <c r="AY21" s="31">
        <v>0.16508722585145752</v>
      </c>
      <c r="AZ21">
        <v>2912372</v>
      </c>
      <c r="BA21" s="31">
        <v>-3.9773109432100981E-2</v>
      </c>
      <c r="BB21">
        <v>157012</v>
      </c>
      <c r="BC21">
        <v>195838</v>
      </c>
      <c r="BD21" s="31">
        <v>0.24728046263979822</v>
      </c>
      <c r="BE21">
        <v>143615</v>
      </c>
      <c r="BF21" s="31">
        <v>-0.26666428374472778</v>
      </c>
      <c r="BG21">
        <v>172279</v>
      </c>
      <c r="BH21" s="31">
        <v>0.19958917940326568</v>
      </c>
      <c r="BI21">
        <v>119309</v>
      </c>
      <c r="BJ21" s="31">
        <v>-0.30746637721370568</v>
      </c>
      <c r="BK21">
        <v>31793</v>
      </c>
      <c r="BL21" s="31">
        <v>-0.73352387498009375</v>
      </c>
      <c r="BM21" t="s">
        <v>450</v>
      </c>
      <c r="BN21" t="s">
        <v>451</v>
      </c>
      <c r="BO21" t="s">
        <v>452</v>
      </c>
      <c r="BP21" t="s">
        <v>453</v>
      </c>
      <c r="BQ21" t="s">
        <v>80</v>
      </c>
      <c r="BR21" t="s">
        <v>95</v>
      </c>
      <c r="BS21" t="s">
        <v>454</v>
      </c>
    </row>
    <row r="22" spans="1:71" x14ac:dyDescent="0.2">
      <c r="A22" t="s">
        <v>455</v>
      </c>
      <c r="B22" t="s">
        <v>456</v>
      </c>
      <c r="C22">
        <v>702100</v>
      </c>
      <c r="F22" t="s">
        <v>300</v>
      </c>
      <c r="G22" t="s">
        <v>193</v>
      </c>
      <c r="I22">
        <v>300122046</v>
      </c>
      <c r="J22" t="s">
        <v>457</v>
      </c>
      <c r="K22" t="s">
        <v>458</v>
      </c>
      <c r="L22" t="s">
        <v>391</v>
      </c>
      <c r="M22" t="s">
        <v>77</v>
      </c>
      <c r="N22" t="s">
        <v>459</v>
      </c>
      <c r="O22" t="s">
        <v>460</v>
      </c>
      <c r="P22">
        <v>37069678913</v>
      </c>
      <c r="Q22" t="s">
        <v>80</v>
      </c>
      <c r="R22" t="s">
        <v>176</v>
      </c>
      <c r="S22" t="s">
        <v>82</v>
      </c>
      <c r="T22" s="31">
        <v>-9.5238095238095233E-2</v>
      </c>
      <c r="U22" t="s">
        <v>151</v>
      </c>
      <c r="V22" s="31">
        <v>0.57894736842105265</v>
      </c>
      <c r="W22" t="s">
        <v>409</v>
      </c>
      <c r="X22" s="31">
        <v>-0.23333333333333334</v>
      </c>
      <c r="Y22" t="s">
        <v>82</v>
      </c>
      <c r="Z22" s="31">
        <v>-0.17391304347826086</v>
      </c>
      <c r="AA22" t="s">
        <v>82</v>
      </c>
      <c r="AB22" s="31">
        <v>0</v>
      </c>
      <c r="AC22">
        <v>20</v>
      </c>
      <c r="AD22" t="s">
        <v>254</v>
      </c>
      <c r="AE22" t="s">
        <v>461</v>
      </c>
      <c r="AF22" s="31">
        <v>-6.3990912533131383E-2</v>
      </c>
      <c r="AG22" t="s">
        <v>462</v>
      </c>
      <c r="AH22" s="31">
        <v>7.3220064724919098E-2</v>
      </c>
      <c r="AI22" t="s">
        <v>463</v>
      </c>
      <c r="AJ22" s="31">
        <v>0.13569543912551829</v>
      </c>
      <c r="AK22" t="s">
        <v>464</v>
      </c>
      <c r="AL22" s="31">
        <v>0.11384002655160969</v>
      </c>
      <c r="AM22" t="s">
        <v>465</v>
      </c>
      <c r="AN22" s="31">
        <v>6.9725864123957093E-2</v>
      </c>
      <c r="AO22" t="s">
        <v>466</v>
      </c>
      <c r="AP22" t="s">
        <v>80</v>
      </c>
      <c r="AQ22">
        <v>1437630</v>
      </c>
      <c r="AR22">
        <v>1657585</v>
      </c>
      <c r="AS22" s="31">
        <v>0.1529983375416484</v>
      </c>
      <c r="AT22">
        <v>2138268</v>
      </c>
      <c r="AU22" s="31">
        <v>0.28998995526624577</v>
      </c>
      <c r="AV22">
        <v>2505905</v>
      </c>
      <c r="AW22" s="31">
        <v>0.17193214321123451</v>
      </c>
      <c r="AX22">
        <v>2356412</v>
      </c>
      <c r="AY22" s="31">
        <v>-5.9656291838677045E-2</v>
      </c>
      <c r="AZ22">
        <v>2822488</v>
      </c>
      <c r="BA22" s="31">
        <v>0.19779053917566197</v>
      </c>
      <c r="BB22">
        <v>29499</v>
      </c>
      <c r="BC22">
        <v>182089</v>
      </c>
      <c r="BD22" s="31">
        <v>5.1727177192447202</v>
      </c>
      <c r="BE22">
        <v>92031</v>
      </c>
      <c r="BF22" s="31">
        <v>-0.49458231963490379</v>
      </c>
      <c r="BG22">
        <v>169053</v>
      </c>
      <c r="BH22" s="31">
        <v>0.83691364866186391</v>
      </c>
      <c r="BI22">
        <v>171879</v>
      </c>
      <c r="BJ22" s="31">
        <v>1.6716650991109298E-2</v>
      </c>
      <c r="BK22">
        <v>134463</v>
      </c>
      <c r="BL22" s="31">
        <v>-0.21768802471506118</v>
      </c>
      <c r="BM22" t="s">
        <v>467</v>
      </c>
      <c r="BN22" t="s">
        <v>468</v>
      </c>
      <c r="BO22" t="s">
        <v>469</v>
      </c>
      <c r="BP22" t="s">
        <v>80</v>
      </c>
      <c r="BQ22" t="s">
        <v>80</v>
      </c>
      <c r="BR22" t="s">
        <v>95</v>
      </c>
      <c r="BS22" t="s">
        <v>470</v>
      </c>
    </row>
    <row r="23" spans="1:71" x14ac:dyDescent="0.2">
      <c r="A23" t="s">
        <v>471</v>
      </c>
      <c r="B23" t="s">
        <v>80</v>
      </c>
      <c r="C23">
        <v>731100</v>
      </c>
      <c r="E23" t="s">
        <v>280</v>
      </c>
      <c r="I23">
        <v>123932858</v>
      </c>
      <c r="J23" t="s">
        <v>472</v>
      </c>
      <c r="K23" t="s">
        <v>473</v>
      </c>
      <c r="L23" t="s">
        <v>474</v>
      </c>
      <c r="M23" t="s">
        <v>77</v>
      </c>
      <c r="N23" t="s">
        <v>475</v>
      </c>
      <c r="O23" t="s">
        <v>476</v>
      </c>
      <c r="P23">
        <v>37061914508</v>
      </c>
      <c r="Q23" t="s">
        <v>477</v>
      </c>
      <c r="R23" t="s">
        <v>109</v>
      </c>
      <c r="S23" t="s">
        <v>199</v>
      </c>
      <c r="T23" s="31">
        <v>-0.12903225806451613</v>
      </c>
      <c r="U23" t="s">
        <v>199</v>
      </c>
      <c r="V23" s="31">
        <v>0</v>
      </c>
      <c r="W23" t="s">
        <v>252</v>
      </c>
      <c r="X23" s="31">
        <v>-3.7037037037037035E-2</v>
      </c>
      <c r="Y23" t="s">
        <v>201</v>
      </c>
      <c r="Z23" s="31">
        <v>-3.8461538461538464E-2</v>
      </c>
      <c r="AA23" t="s">
        <v>199</v>
      </c>
      <c r="AB23" s="31">
        <v>0.08</v>
      </c>
      <c r="AC23">
        <v>25</v>
      </c>
      <c r="AD23" t="s">
        <v>478</v>
      </c>
      <c r="AE23" t="s">
        <v>397</v>
      </c>
      <c r="AF23" s="31">
        <v>1.994415636218588E-2</v>
      </c>
      <c r="AG23" t="s">
        <v>479</v>
      </c>
      <c r="AH23" s="31">
        <v>3.5588580367618305E-2</v>
      </c>
      <c r="AI23" t="s">
        <v>480</v>
      </c>
      <c r="AJ23" s="31">
        <v>4.1918429003021146E-2</v>
      </c>
      <c r="AK23" t="s">
        <v>481</v>
      </c>
      <c r="AL23" s="31">
        <v>8.8075389633925333E-2</v>
      </c>
      <c r="AM23" t="s">
        <v>482</v>
      </c>
      <c r="AN23" s="31">
        <v>8.5276482345103266E-2</v>
      </c>
      <c r="AO23" t="s">
        <v>483</v>
      </c>
      <c r="AP23" t="s">
        <v>80</v>
      </c>
      <c r="AQ23">
        <v>3492270</v>
      </c>
      <c r="AR23">
        <v>2865990</v>
      </c>
      <c r="AS23" s="31">
        <v>-0.17933321306771813</v>
      </c>
      <c r="AT23">
        <v>2310000</v>
      </c>
      <c r="AU23" s="31">
        <v>-0.19399579202997916</v>
      </c>
      <c r="AV23">
        <v>2365263</v>
      </c>
      <c r="AW23" s="31">
        <v>2.3923376623376624E-2</v>
      </c>
      <c r="AX23">
        <v>3544704</v>
      </c>
      <c r="AY23" s="31">
        <v>0.49865110137857821</v>
      </c>
      <c r="AZ23">
        <v>2697617</v>
      </c>
      <c r="BA23" s="31">
        <v>-0.23897256301231359</v>
      </c>
      <c r="BB23">
        <v>181900</v>
      </c>
      <c r="BC23">
        <v>215262</v>
      </c>
      <c r="BD23" s="31">
        <v>0.18340846619021439</v>
      </c>
      <c r="BE23">
        <v>44571</v>
      </c>
      <c r="BF23" s="31">
        <v>-0.79294534102628422</v>
      </c>
      <c r="BG23">
        <v>-8181</v>
      </c>
      <c r="BH23" s="31">
        <v>-1.1835498418254022</v>
      </c>
      <c r="BI23">
        <v>262086</v>
      </c>
      <c r="BJ23" s="31">
        <v>33.035936927026</v>
      </c>
      <c r="BK23">
        <v>6319</v>
      </c>
      <c r="BL23" s="31">
        <v>-0.97588959349221249</v>
      </c>
      <c r="BM23" t="s">
        <v>484</v>
      </c>
      <c r="BN23" t="s">
        <v>485</v>
      </c>
      <c r="BO23" t="s">
        <v>80</v>
      </c>
      <c r="BP23" t="s">
        <v>80</v>
      </c>
      <c r="BQ23" t="s">
        <v>80</v>
      </c>
      <c r="BR23" t="s">
        <v>95</v>
      </c>
      <c r="BS23" t="s">
        <v>486</v>
      </c>
    </row>
    <row r="24" spans="1:71" x14ac:dyDescent="0.2">
      <c r="A24" t="s">
        <v>487</v>
      </c>
      <c r="B24" t="s">
        <v>488</v>
      </c>
      <c r="C24">
        <v>702100</v>
      </c>
      <c r="F24" t="s">
        <v>300</v>
      </c>
      <c r="I24">
        <v>111688780</v>
      </c>
      <c r="J24" t="s">
        <v>489</v>
      </c>
      <c r="K24" t="s">
        <v>490</v>
      </c>
      <c r="L24" t="s">
        <v>491</v>
      </c>
      <c r="M24" t="s">
        <v>77</v>
      </c>
      <c r="N24" t="s">
        <v>492</v>
      </c>
      <c r="O24" t="s">
        <v>493</v>
      </c>
      <c r="Q24" t="s">
        <v>80</v>
      </c>
      <c r="R24" t="s">
        <v>238</v>
      </c>
      <c r="S24" t="s">
        <v>201</v>
      </c>
      <c r="T24" s="31">
        <v>4.1666666666666664E-2</v>
      </c>
      <c r="U24" t="s">
        <v>201</v>
      </c>
      <c r="V24" s="31">
        <v>0</v>
      </c>
      <c r="W24" t="s">
        <v>252</v>
      </c>
      <c r="X24" s="31">
        <v>0.04</v>
      </c>
      <c r="Y24" t="s">
        <v>201</v>
      </c>
      <c r="Z24" s="31">
        <v>-3.8461538461538464E-2</v>
      </c>
      <c r="AA24" t="s">
        <v>201</v>
      </c>
      <c r="AB24" s="31">
        <v>0</v>
      </c>
      <c r="AC24">
        <v>25</v>
      </c>
      <c r="AD24" t="s">
        <v>154</v>
      </c>
      <c r="AE24" t="s">
        <v>494</v>
      </c>
      <c r="AF24" s="31">
        <v>-1.3398294762484775E-2</v>
      </c>
      <c r="AG24" t="s">
        <v>495</v>
      </c>
      <c r="AH24" s="31">
        <v>0.25226337448559671</v>
      </c>
      <c r="AI24" t="s">
        <v>496</v>
      </c>
      <c r="AJ24" s="31">
        <v>-4.3706868222149198E-2</v>
      </c>
      <c r="AK24" t="s">
        <v>497</v>
      </c>
      <c r="AL24" s="31">
        <v>0.16907216494845362</v>
      </c>
      <c r="AM24" t="s">
        <v>498</v>
      </c>
      <c r="AN24" s="31">
        <v>-4.3797766019988242E-2</v>
      </c>
      <c r="AO24" t="s">
        <v>499</v>
      </c>
      <c r="AP24" t="s">
        <v>80</v>
      </c>
      <c r="AQ24">
        <v>1653501</v>
      </c>
      <c r="AR24">
        <v>1636617</v>
      </c>
      <c r="AS24" s="31">
        <v>-1.0211061257295883E-2</v>
      </c>
      <c r="AT24">
        <v>2400631</v>
      </c>
      <c r="AU24" s="31">
        <v>0.46682516434816451</v>
      </c>
      <c r="AV24">
        <v>2555494</v>
      </c>
      <c r="AW24" s="31">
        <v>6.4509289432653327E-2</v>
      </c>
      <c r="AX24">
        <v>2714172</v>
      </c>
      <c r="AY24" s="31">
        <v>6.2092886933015692E-2</v>
      </c>
      <c r="AZ24">
        <v>2679018</v>
      </c>
      <c r="BA24" s="31">
        <v>-1.2952016305525222E-2</v>
      </c>
      <c r="BB24">
        <v>201395</v>
      </c>
      <c r="BC24">
        <v>198548</v>
      </c>
      <c r="BD24" s="31">
        <v>-1.4136398619628093E-2</v>
      </c>
      <c r="BE24">
        <v>168857</v>
      </c>
      <c r="BF24" s="31">
        <v>-0.14954066522956666</v>
      </c>
      <c r="BG24">
        <v>240546</v>
      </c>
      <c r="BH24" s="31">
        <v>0.42455450469924255</v>
      </c>
      <c r="BI24">
        <v>236314</v>
      </c>
      <c r="BJ24" s="31">
        <v>-1.7593308556367596E-2</v>
      </c>
      <c r="BK24">
        <v>229286</v>
      </c>
      <c r="BL24" s="31">
        <v>-2.9740091573076499E-2</v>
      </c>
      <c r="BM24" t="s">
        <v>500</v>
      </c>
      <c r="BN24" t="s">
        <v>501</v>
      </c>
      <c r="BO24" t="s">
        <v>502</v>
      </c>
      <c r="BP24" t="s">
        <v>503</v>
      </c>
      <c r="BQ24" t="s">
        <v>504</v>
      </c>
      <c r="BR24" t="s">
        <v>95</v>
      </c>
      <c r="BS24" t="s">
        <v>505</v>
      </c>
    </row>
    <row r="25" spans="1:71" x14ac:dyDescent="0.2">
      <c r="A25" t="s">
        <v>506</v>
      </c>
      <c r="B25" t="s">
        <v>507</v>
      </c>
      <c r="C25">
        <v>731100</v>
      </c>
      <c r="D25" t="s">
        <v>508</v>
      </c>
      <c r="I25">
        <v>304747369</v>
      </c>
      <c r="J25" t="s">
        <v>509</v>
      </c>
      <c r="K25" t="s">
        <v>510</v>
      </c>
      <c r="L25" t="s">
        <v>511</v>
      </c>
      <c r="M25" t="s">
        <v>77</v>
      </c>
      <c r="N25" t="s">
        <v>512</v>
      </c>
      <c r="O25" t="s">
        <v>80</v>
      </c>
      <c r="P25">
        <v>37068038668</v>
      </c>
      <c r="Q25" t="s">
        <v>80</v>
      </c>
      <c r="R25" t="s">
        <v>513</v>
      </c>
      <c r="S25" t="s">
        <v>514</v>
      </c>
      <c r="T25" s="31">
        <v>0.66666666666666663</v>
      </c>
      <c r="U25" t="s">
        <v>515</v>
      </c>
      <c r="V25" s="31">
        <v>0.6</v>
      </c>
      <c r="W25" t="s">
        <v>220</v>
      </c>
      <c r="X25" s="31">
        <v>0.5</v>
      </c>
      <c r="Y25" t="s">
        <v>220</v>
      </c>
      <c r="Z25" s="31">
        <v>0</v>
      </c>
      <c r="AA25" t="s">
        <v>221</v>
      </c>
      <c r="AB25" s="31">
        <v>8.3333333333333329E-2</v>
      </c>
      <c r="AC25">
        <v>12</v>
      </c>
      <c r="AD25" t="s">
        <v>516</v>
      </c>
      <c r="AE25" t="s">
        <v>517</v>
      </c>
      <c r="AF25" s="31">
        <v>8.5034013605442174E-2</v>
      </c>
      <c r="AG25" t="s">
        <v>518</v>
      </c>
      <c r="AH25" s="31">
        <v>4.7021943573667714E-2</v>
      </c>
      <c r="AI25" t="s">
        <v>519</v>
      </c>
      <c r="AJ25" s="31">
        <v>6.9361277445109781E-2</v>
      </c>
      <c r="AK25" t="s">
        <v>520</v>
      </c>
      <c r="AL25" s="31">
        <v>1.2132524498366775E-2</v>
      </c>
      <c r="AM25" t="s">
        <v>521</v>
      </c>
      <c r="AN25" s="31">
        <v>0.13047487321346243</v>
      </c>
      <c r="AO25" t="s">
        <v>522</v>
      </c>
      <c r="AP25" t="s">
        <v>80</v>
      </c>
      <c r="AQ25">
        <v>585857</v>
      </c>
      <c r="AR25">
        <v>1002530</v>
      </c>
      <c r="AS25" s="31">
        <v>0.71121963209452133</v>
      </c>
      <c r="AT25">
        <v>1493124</v>
      </c>
      <c r="AU25" s="31">
        <v>0.48935592949836915</v>
      </c>
      <c r="AV25">
        <v>1800902</v>
      </c>
      <c r="AW25" s="31">
        <v>0.20613023432749056</v>
      </c>
      <c r="AX25">
        <v>1925562</v>
      </c>
      <c r="AY25" s="31">
        <v>6.9220868209375078E-2</v>
      </c>
      <c r="AZ25">
        <v>2454743</v>
      </c>
      <c r="BA25" s="31">
        <v>0.2748189879110618</v>
      </c>
      <c r="BB25">
        <v>65878</v>
      </c>
      <c r="BC25">
        <v>82155</v>
      </c>
      <c r="BD25" s="31">
        <v>0.24707793193478855</v>
      </c>
      <c r="BE25">
        <v>84513</v>
      </c>
      <c r="BF25" s="31">
        <v>2.8701844075223661E-2</v>
      </c>
      <c r="BG25">
        <v>25215</v>
      </c>
      <c r="BH25" s="31">
        <v>-0.70164353413084379</v>
      </c>
      <c r="BI25">
        <v>82666</v>
      </c>
      <c r="BJ25" s="31">
        <v>2.2784453698195519</v>
      </c>
      <c r="BK25">
        <v>141326</v>
      </c>
      <c r="BL25" s="31">
        <v>0.70960249679432896</v>
      </c>
      <c r="BM25" t="s">
        <v>523</v>
      </c>
      <c r="BN25" t="s">
        <v>524</v>
      </c>
      <c r="BO25" t="s">
        <v>525</v>
      </c>
      <c r="BP25" t="s">
        <v>80</v>
      </c>
      <c r="BQ25" t="s">
        <v>80</v>
      </c>
      <c r="BR25" t="s">
        <v>95</v>
      </c>
      <c r="BS25" t="s">
        <v>526</v>
      </c>
    </row>
    <row r="26" spans="1:71" x14ac:dyDescent="0.2">
      <c r="A26" t="s">
        <v>527</v>
      </c>
      <c r="B26" t="s">
        <v>528</v>
      </c>
      <c r="C26">
        <v>731100</v>
      </c>
      <c r="D26" t="s">
        <v>508</v>
      </c>
      <c r="I26">
        <v>301536032</v>
      </c>
      <c r="J26" t="s">
        <v>529</v>
      </c>
      <c r="K26" t="s">
        <v>530</v>
      </c>
      <c r="L26" t="s">
        <v>531</v>
      </c>
      <c r="M26" t="s">
        <v>77</v>
      </c>
      <c r="N26" t="s">
        <v>532</v>
      </c>
      <c r="O26" t="s">
        <v>533</v>
      </c>
      <c r="Q26" t="s">
        <v>80</v>
      </c>
      <c r="R26" t="s">
        <v>514</v>
      </c>
      <c r="S26" t="s">
        <v>534</v>
      </c>
      <c r="T26" s="31">
        <v>0.8</v>
      </c>
      <c r="U26" t="s">
        <v>219</v>
      </c>
      <c r="V26" s="31">
        <v>0.22222222222222221</v>
      </c>
      <c r="W26" t="s">
        <v>221</v>
      </c>
      <c r="X26" s="31">
        <v>0.18181818181818182</v>
      </c>
      <c r="Y26" t="s">
        <v>535</v>
      </c>
      <c r="Z26" s="31">
        <v>0.15384615384615385</v>
      </c>
      <c r="AA26" t="s">
        <v>175</v>
      </c>
      <c r="AB26" s="31">
        <v>0.33333333333333331</v>
      </c>
      <c r="AC26">
        <v>21</v>
      </c>
      <c r="AD26" t="s">
        <v>536</v>
      </c>
      <c r="AE26" t="s">
        <v>537</v>
      </c>
      <c r="AF26" s="31">
        <v>0.22623345367027678</v>
      </c>
      <c r="AG26" t="s">
        <v>538</v>
      </c>
      <c r="AH26" s="31">
        <v>0.24043179587831207</v>
      </c>
      <c r="AI26" t="s">
        <v>539</v>
      </c>
      <c r="AJ26" s="31">
        <v>0.31329113924050633</v>
      </c>
      <c r="AK26" t="s">
        <v>540</v>
      </c>
      <c r="AL26" s="31">
        <v>7.9518072289156624E-2</v>
      </c>
      <c r="AM26" t="s">
        <v>541</v>
      </c>
      <c r="AN26" s="31">
        <v>0.13058035714285715</v>
      </c>
      <c r="AO26" t="s">
        <v>542</v>
      </c>
      <c r="AP26" t="s">
        <v>80</v>
      </c>
      <c r="AQ26">
        <v>429578</v>
      </c>
      <c r="AR26">
        <v>433516</v>
      </c>
      <c r="AS26" s="31">
        <v>9.1671361196336877E-3</v>
      </c>
      <c r="AT26">
        <v>727671</v>
      </c>
      <c r="AU26" s="31">
        <v>0.67853320292676622</v>
      </c>
      <c r="AV26">
        <v>1065013</v>
      </c>
      <c r="AW26" s="31">
        <v>0.46359137577284237</v>
      </c>
      <c r="AX26">
        <v>1326126</v>
      </c>
      <c r="AY26" s="31">
        <v>0.24517353309302328</v>
      </c>
      <c r="AZ26">
        <v>1806257</v>
      </c>
      <c r="BA26" s="31">
        <v>0.36205534014113289</v>
      </c>
      <c r="BB26">
        <v>176490</v>
      </c>
      <c r="BC26">
        <v>142713</v>
      </c>
      <c r="BD26" s="31">
        <v>-0.19138194798572158</v>
      </c>
      <c r="BE26">
        <v>263114</v>
      </c>
      <c r="BF26" s="31">
        <v>0.84365825117543602</v>
      </c>
      <c r="BG26">
        <v>270828</v>
      </c>
      <c r="BH26" s="31">
        <v>2.9318090257454944E-2</v>
      </c>
      <c r="BI26">
        <v>264019</v>
      </c>
      <c r="BJ26" s="31">
        <v>-2.5141418169465492E-2</v>
      </c>
      <c r="BK26">
        <v>354039</v>
      </c>
      <c r="BL26" s="31">
        <v>0.34096030967468249</v>
      </c>
      <c r="BM26" t="s">
        <v>543</v>
      </c>
      <c r="BN26" t="s">
        <v>544</v>
      </c>
      <c r="BO26" t="s">
        <v>545</v>
      </c>
      <c r="BP26" t="s">
        <v>546</v>
      </c>
      <c r="BQ26" t="s">
        <v>547</v>
      </c>
      <c r="BR26" t="s">
        <v>189</v>
      </c>
      <c r="BS26" t="s">
        <v>548</v>
      </c>
    </row>
    <row r="27" spans="1:71" x14ac:dyDescent="0.2">
      <c r="A27" t="s">
        <v>549</v>
      </c>
      <c r="B27" t="s">
        <v>80</v>
      </c>
      <c r="C27">
        <v>731100</v>
      </c>
      <c r="E27" t="s">
        <v>280</v>
      </c>
      <c r="I27">
        <v>111621671</v>
      </c>
      <c r="J27" t="s">
        <v>550</v>
      </c>
      <c r="K27" t="s">
        <v>551</v>
      </c>
      <c r="L27" t="s">
        <v>552</v>
      </c>
      <c r="M27" t="s">
        <v>77</v>
      </c>
      <c r="N27" t="s">
        <v>553</v>
      </c>
      <c r="O27" t="s">
        <v>554</v>
      </c>
      <c r="Q27" t="s">
        <v>80</v>
      </c>
      <c r="R27" t="s">
        <v>535</v>
      </c>
      <c r="S27" t="s">
        <v>222</v>
      </c>
      <c r="T27" s="31">
        <v>-6.6666666666666666E-2</v>
      </c>
      <c r="U27" t="s">
        <v>535</v>
      </c>
      <c r="V27" s="31">
        <v>7.1428571428571425E-2</v>
      </c>
      <c r="W27" t="s">
        <v>218</v>
      </c>
      <c r="X27" s="31">
        <v>6.6666666666666666E-2</v>
      </c>
      <c r="Y27" t="s">
        <v>81</v>
      </c>
      <c r="Z27" s="31">
        <v>0.125</v>
      </c>
      <c r="AA27" t="s">
        <v>81</v>
      </c>
      <c r="AB27" s="31">
        <v>0</v>
      </c>
      <c r="AC27">
        <v>17</v>
      </c>
      <c r="AD27" t="s">
        <v>555</v>
      </c>
      <c r="AE27" t="s">
        <v>556</v>
      </c>
      <c r="AF27" s="31">
        <v>-0.18973105134474327</v>
      </c>
      <c r="AG27" t="s">
        <v>557</v>
      </c>
      <c r="AH27" s="31">
        <v>0.2347616173808087</v>
      </c>
      <c r="AI27" t="s">
        <v>558</v>
      </c>
      <c r="AJ27" s="31">
        <v>0.10899315738025415</v>
      </c>
      <c r="AK27" t="s">
        <v>559</v>
      </c>
      <c r="AL27" s="31">
        <v>0.26663728514764212</v>
      </c>
      <c r="AM27" t="s">
        <v>560</v>
      </c>
      <c r="AN27" s="31">
        <v>0.13430758524704245</v>
      </c>
      <c r="AO27" t="s">
        <v>561</v>
      </c>
      <c r="AP27" t="s">
        <v>80</v>
      </c>
      <c r="AQ27">
        <v>1489138</v>
      </c>
      <c r="AR27">
        <v>924221</v>
      </c>
      <c r="AS27" s="31">
        <v>-0.37935839391648052</v>
      </c>
      <c r="AT27">
        <v>641943</v>
      </c>
      <c r="AU27" s="31">
        <v>-0.3054226207800948</v>
      </c>
      <c r="AV27">
        <v>1895806</v>
      </c>
      <c r="AW27" s="31">
        <v>1.9532310501088104</v>
      </c>
      <c r="AX27">
        <v>1885334</v>
      </c>
      <c r="AY27" s="31">
        <v>-5.5237719471296111E-3</v>
      </c>
      <c r="AZ27">
        <v>1795590</v>
      </c>
      <c r="BA27" s="31">
        <v>-4.7601114709648264E-2</v>
      </c>
      <c r="BB27">
        <v>40764</v>
      </c>
      <c r="BC27">
        <v>31004</v>
      </c>
      <c r="BD27" s="31">
        <v>-0.23942694534393091</v>
      </c>
      <c r="BE27">
        <v>-69609</v>
      </c>
      <c r="BF27" s="31">
        <v>-3.2451619145916655</v>
      </c>
      <c r="BG27">
        <v>39446</v>
      </c>
      <c r="BH27" s="31">
        <v>1.5666795960292501</v>
      </c>
      <c r="BI27">
        <v>41716</v>
      </c>
      <c r="BJ27" s="31">
        <v>5.7547026314455206E-2</v>
      </c>
      <c r="BK27">
        <v>14732</v>
      </c>
      <c r="BL27" s="31">
        <v>-0.64685012944673503</v>
      </c>
      <c r="BM27" t="s">
        <v>562</v>
      </c>
      <c r="BN27" t="s">
        <v>563</v>
      </c>
      <c r="BO27" t="s">
        <v>564</v>
      </c>
      <c r="BP27" t="s">
        <v>80</v>
      </c>
      <c r="BQ27" t="s">
        <v>80</v>
      </c>
      <c r="BR27" t="s">
        <v>95</v>
      </c>
      <c r="BS27" t="s">
        <v>565</v>
      </c>
    </row>
    <row r="28" spans="1:71" x14ac:dyDescent="0.2">
      <c r="A28" t="s">
        <v>566</v>
      </c>
      <c r="B28" t="s">
        <v>567</v>
      </c>
      <c r="C28">
        <v>702100</v>
      </c>
      <c r="F28" t="s">
        <v>300</v>
      </c>
      <c r="I28">
        <v>301163601</v>
      </c>
      <c r="J28" t="s">
        <v>568</v>
      </c>
      <c r="K28" t="s">
        <v>569</v>
      </c>
      <c r="L28" t="s">
        <v>570</v>
      </c>
      <c r="M28" t="s">
        <v>77</v>
      </c>
      <c r="N28" t="s">
        <v>571</v>
      </c>
      <c r="O28" t="s">
        <v>80</v>
      </c>
      <c r="P28">
        <v>37068504820</v>
      </c>
      <c r="Q28" t="s">
        <v>80</v>
      </c>
      <c r="R28" t="s">
        <v>81</v>
      </c>
      <c r="S28" t="s">
        <v>535</v>
      </c>
      <c r="T28" s="31">
        <v>-0.16666666666666666</v>
      </c>
      <c r="U28" t="s">
        <v>221</v>
      </c>
      <c r="V28" s="31">
        <v>-0.13333333333333333</v>
      </c>
      <c r="W28" t="s">
        <v>535</v>
      </c>
      <c r="X28" s="31">
        <v>0.15384615384615385</v>
      </c>
      <c r="Y28" t="s">
        <v>535</v>
      </c>
      <c r="Z28" s="31">
        <v>0</v>
      </c>
      <c r="AA28" t="s">
        <v>535</v>
      </c>
      <c r="AB28" s="31">
        <v>0</v>
      </c>
      <c r="AC28">
        <v>14</v>
      </c>
      <c r="AD28" t="s">
        <v>202</v>
      </c>
      <c r="AE28" t="s">
        <v>572</v>
      </c>
      <c r="AF28" s="31">
        <v>0.12046574115539632</v>
      </c>
      <c r="AG28" t="s">
        <v>573</v>
      </c>
      <c r="AH28" s="31">
        <v>4.5163868904876101E-2</v>
      </c>
      <c r="AI28" t="s">
        <v>574</v>
      </c>
      <c r="AJ28" s="31">
        <v>7.0363288718929259E-2</v>
      </c>
      <c r="AK28" t="s">
        <v>575</v>
      </c>
      <c r="AL28" s="31">
        <v>7.7170418006430874E-2</v>
      </c>
      <c r="AM28" t="s">
        <v>576</v>
      </c>
      <c r="AN28" s="31">
        <v>5.3399668325041456E-2</v>
      </c>
      <c r="AO28" t="s">
        <v>577</v>
      </c>
      <c r="AP28" t="s">
        <v>80</v>
      </c>
      <c r="AQ28">
        <v>1281358</v>
      </c>
      <c r="AR28">
        <v>1148506</v>
      </c>
      <c r="AS28" s="31">
        <v>-0.10368062633549718</v>
      </c>
      <c r="AT28">
        <v>1200820</v>
      </c>
      <c r="AU28" s="31">
        <v>4.5549609666819327E-2</v>
      </c>
      <c r="AV28">
        <v>1212715</v>
      </c>
      <c r="AW28" s="31">
        <v>9.9057310837594309E-3</v>
      </c>
      <c r="AX28">
        <v>1844085</v>
      </c>
      <c r="AY28" s="31">
        <v>0.52062520872587537</v>
      </c>
      <c r="AZ28">
        <v>1572640</v>
      </c>
      <c r="BA28" s="31">
        <v>-0.14719766171299045</v>
      </c>
      <c r="BB28">
        <v>183083</v>
      </c>
      <c r="BC28">
        <v>243883</v>
      </c>
      <c r="BD28" s="31">
        <v>0.33208981718674047</v>
      </c>
      <c r="BE28">
        <v>160993</v>
      </c>
      <c r="BF28" s="31">
        <v>-0.33987608812422349</v>
      </c>
      <c r="BG28">
        <v>42675</v>
      </c>
      <c r="BH28" s="31">
        <v>-0.73492636325802985</v>
      </c>
      <c r="BI28">
        <v>208473</v>
      </c>
      <c r="BJ28" s="31">
        <v>3.8851318101933217</v>
      </c>
      <c r="BK28">
        <v>45107</v>
      </c>
      <c r="BL28" s="31">
        <v>-0.78363145347359131</v>
      </c>
      <c r="BM28" t="s">
        <v>578</v>
      </c>
      <c r="BN28" t="s">
        <v>579</v>
      </c>
      <c r="BO28" t="s">
        <v>80</v>
      </c>
      <c r="BP28" t="s">
        <v>80</v>
      </c>
      <c r="BQ28" t="s">
        <v>80</v>
      </c>
      <c r="BR28" t="s">
        <v>95</v>
      </c>
      <c r="BS28" t="s">
        <v>580</v>
      </c>
    </row>
    <row r="29" spans="1:71" x14ac:dyDescent="0.2">
      <c r="A29" t="s">
        <v>581</v>
      </c>
      <c r="B29" t="s">
        <v>582</v>
      </c>
      <c r="C29">
        <v>731100</v>
      </c>
      <c r="D29" t="s">
        <v>508</v>
      </c>
      <c r="I29">
        <v>304229686</v>
      </c>
      <c r="J29" t="s">
        <v>583</v>
      </c>
      <c r="K29" t="s">
        <v>584</v>
      </c>
      <c r="L29" t="s">
        <v>585</v>
      </c>
      <c r="M29" t="s">
        <v>77</v>
      </c>
      <c r="N29" t="s">
        <v>586</v>
      </c>
      <c r="O29" t="s">
        <v>80</v>
      </c>
      <c r="Q29" t="s">
        <v>587</v>
      </c>
      <c r="R29" t="s">
        <v>513</v>
      </c>
      <c r="S29" t="s">
        <v>588</v>
      </c>
      <c r="T29" s="31">
        <v>0.33333333333333331</v>
      </c>
      <c r="U29" t="s">
        <v>588</v>
      </c>
      <c r="V29" s="31">
        <v>0</v>
      </c>
      <c r="W29" t="s">
        <v>514</v>
      </c>
      <c r="X29" s="31">
        <v>0.25</v>
      </c>
      <c r="Y29" t="s">
        <v>589</v>
      </c>
      <c r="Z29" s="31">
        <v>0.4</v>
      </c>
      <c r="AA29" t="s">
        <v>219</v>
      </c>
      <c r="AB29" s="31">
        <v>0.5714285714285714</v>
      </c>
      <c r="AC29">
        <v>18</v>
      </c>
      <c r="AD29" t="s">
        <v>590</v>
      </c>
      <c r="AE29" t="s">
        <v>591</v>
      </c>
      <c r="AF29" s="31" t="s">
        <v>590</v>
      </c>
      <c r="AG29" t="s">
        <v>592</v>
      </c>
      <c r="AH29" s="31">
        <v>-0.11297071129707113</v>
      </c>
      <c r="AI29" t="s">
        <v>593</v>
      </c>
      <c r="AJ29" s="31">
        <v>0.19716981132075473</v>
      </c>
      <c r="AK29" t="s">
        <v>594</v>
      </c>
      <c r="AL29" s="31">
        <v>0.49645390070921985</v>
      </c>
      <c r="AM29" t="s">
        <v>595</v>
      </c>
      <c r="AN29" s="31">
        <v>0.42759347024749866</v>
      </c>
      <c r="AO29" t="s">
        <v>596</v>
      </c>
      <c r="AP29" t="s">
        <v>80</v>
      </c>
      <c r="AQ29">
        <v>328025</v>
      </c>
      <c r="AR29">
        <v>451893</v>
      </c>
      <c r="AS29" s="31">
        <v>0.37761755963722277</v>
      </c>
      <c r="AT29">
        <v>614560</v>
      </c>
      <c r="AU29" s="31">
        <v>0.35996795701637335</v>
      </c>
      <c r="AV29">
        <v>766536</v>
      </c>
      <c r="AW29" s="31">
        <v>0.24729237177818275</v>
      </c>
      <c r="AX29">
        <v>1054535</v>
      </c>
      <c r="AY29" s="31">
        <v>0.37571490445328071</v>
      </c>
      <c r="AZ29">
        <v>1415385</v>
      </c>
      <c r="BA29" s="31">
        <v>0.3421887372159293</v>
      </c>
      <c r="BB29">
        <v>107649</v>
      </c>
      <c r="BC29">
        <v>167397</v>
      </c>
      <c r="BD29" s="31">
        <v>0.55502605690717055</v>
      </c>
      <c r="BE29">
        <v>293105</v>
      </c>
      <c r="BF29" s="31">
        <v>0.75095730508909952</v>
      </c>
      <c r="BG29">
        <v>365575</v>
      </c>
      <c r="BH29" s="31">
        <v>0.24724927926852153</v>
      </c>
      <c r="BI29">
        <v>486355</v>
      </c>
      <c r="BJ29" s="31">
        <v>0.33038364220748134</v>
      </c>
      <c r="BK29">
        <v>518099</v>
      </c>
      <c r="BL29" s="31">
        <v>6.5269196368907489E-2</v>
      </c>
      <c r="BM29" t="s">
        <v>597</v>
      </c>
      <c r="BN29" t="s">
        <v>598</v>
      </c>
      <c r="BO29" t="s">
        <v>80</v>
      </c>
      <c r="BP29" t="s">
        <v>80</v>
      </c>
      <c r="BQ29" t="s">
        <v>80</v>
      </c>
      <c r="BR29" t="s">
        <v>95</v>
      </c>
      <c r="BS29" t="s">
        <v>599</v>
      </c>
    </row>
    <row r="30" spans="1:71" x14ac:dyDescent="0.2">
      <c r="A30" t="s">
        <v>600</v>
      </c>
      <c r="B30" t="s">
        <v>601</v>
      </c>
      <c r="C30">
        <v>731100</v>
      </c>
      <c r="D30" t="s">
        <v>508</v>
      </c>
      <c r="I30">
        <v>302856900</v>
      </c>
      <c r="J30" t="s">
        <v>602</v>
      </c>
      <c r="K30" t="s">
        <v>600</v>
      </c>
      <c r="L30" t="s">
        <v>603</v>
      </c>
      <c r="M30" t="s">
        <v>77</v>
      </c>
      <c r="N30" t="s">
        <v>604</v>
      </c>
      <c r="O30" t="s">
        <v>80</v>
      </c>
      <c r="P30">
        <v>37062765286</v>
      </c>
      <c r="Q30" t="s">
        <v>80</v>
      </c>
      <c r="R30" t="s">
        <v>605</v>
      </c>
      <c r="S30" t="s">
        <v>605</v>
      </c>
      <c r="T30" s="31">
        <v>0</v>
      </c>
      <c r="U30" t="s">
        <v>174</v>
      </c>
      <c r="V30" s="31">
        <v>0.7</v>
      </c>
      <c r="W30" t="s">
        <v>176</v>
      </c>
      <c r="X30" s="31">
        <v>0.23529411764705882</v>
      </c>
      <c r="Y30" t="s">
        <v>237</v>
      </c>
      <c r="Z30" s="31">
        <v>4.7619047619047616E-2</v>
      </c>
      <c r="AA30" t="s">
        <v>409</v>
      </c>
      <c r="AB30" s="31">
        <v>4.5454545454545456E-2</v>
      </c>
      <c r="AC30">
        <v>26</v>
      </c>
      <c r="AD30" t="s">
        <v>134</v>
      </c>
      <c r="AE30" t="s">
        <v>378</v>
      </c>
      <c r="AF30" s="31">
        <v>6.3352826510721244E-2</v>
      </c>
      <c r="AG30" t="s">
        <v>606</v>
      </c>
      <c r="AH30" s="31">
        <v>5.4537121906507793E-2</v>
      </c>
      <c r="AI30" t="s">
        <v>607</v>
      </c>
      <c r="AJ30" s="31">
        <v>0.15558452846588439</v>
      </c>
      <c r="AK30" t="s">
        <v>608</v>
      </c>
      <c r="AL30" s="31">
        <v>0.11470477623166604</v>
      </c>
      <c r="AM30" t="s">
        <v>609</v>
      </c>
      <c r="AN30" s="31">
        <v>0.12550607287449392</v>
      </c>
      <c r="AO30" t="s">
        <v>610</v>
      </c>
      <c r="AP30" t="s">
        <v>80</v>
      </c>
      <c r="AQ30">
        <v>338919</v>
      </c>
      <c r="AR30">
        <v>514461</v>
      </c>
      <c r="AS30" s="31">
        <v>0.51794676604144352</v>
      </c>
      <c r="AT30">
        <v>747732</v>
      </c>
      <c r="AU30" s="31">
        <v>0.45342795663811253</v>
      </c>
      <c r="AV30">
        <v>966637</v>
      </c>
      <c r="AW30" s="31">
        <v>0.29275863544692482</v>
      </c>
      <c r="AX30">
        <v>1097125</v>
      </c>
      <c r="AY30" s="31">
        <v>0.13499172905651241</v>
      </c>
      <c r="AZ30">
        <v>1247022</v>
      </c>
      <c r="BA30" s="31">
        <v>0.13662709353993391</v>
      </c>
      <c r="BB30">
        <v>-3515</v>
      </c>
      <c r="BC30">
        <v>92489</v>
      </c>
      <c r="BD30" s="31">
        <v>27.3126600284495</v>
      </c>
      <c r="BE30">
        <v>44239</v>
      </c>
      <c r="BF30" s="31">
        <v>-0.52168365967844821</v>
      </c>
      <c r="BG30">
        <v>-31125</v>
      </c>
      <c r="BH30" s="31">
        <v>-1.7035647279549719</v>
      </c>
      <c r="BI30">
        <v>9018</v>
      </c>
      <c r="BJ30" s="31">
        <v>1.2897349397590401</v>
      </c>
      <c r="BK30">
        <v>111214</v>
      </c>
      <c r="BL30" s="31">
        <v>11.332446218673764</v>
      </c>
      <c r="BM30" t="s">
        <v>611</v>
      </c>
      <c r="BN30" t="s">
        <v>612</v>
      </c>
      <c r="BO30" t="s">
        <v>80</v>
      </c>
      <c r="BP30" t="s">
        <v>80</v>
      </c>
      <c r="BQ30" t="s">
        <v>80</v>
      </c>
      <c r="BR30" t="s">
        <v>95</v>
      </c>
      <c r="BS30" t="s">
        <v>613</v>
      </c>
    </row>
    <row r="31" spans="1:71" x14ac:dyDescent="0.2">
      <c r="A31" t="s">
        <v>614</v>
      </c>
      <c r="B31" t="s">
        <v>80</v>
      </c>
      <c r="C31">
        <v>731100</v>
      </c>
      <c r="E31" t="s">
        <v>280</v>
      </c>
      <c r="I31">
        <v>302535912</v>
      </c>
      <c r="J31" t="s">
        <v>615</v>
      </c>
      <c r="K31" t="s">
        <v>616</v>
      </c>
      <c r="L31" t="s">
        <v>617</v>
      </c>
      <c r="M31" t="s">
        <v>77</v>
      </c>
      <c r="N31" t="s">
        <v>618</v>
      </c>
      <c r="O31" t="s">
        <v>619</v>
      </c>
      <c r="P31">
        <v>37069872889</v>
      </c>
      <c r="Q31" t="s">
        <v>80</v>
      </c>
      <c r="R31" t="s">
        <v>175</v>
      </c>
      <c r="S31" t="s">
        <v>81</v>
      </c>
      <c r="T31" s="31">
        <v>-0.1</v>
      </c>
      <c r="U31" t="s">
        <v>82</v>
      </c>
      <c r="V31" s="31">
        <v>5.5555555555555552E-2</v>
      </c>
      <c r="W31" t="s">
        <v>237</v>
      </c>
      <c r="X31" s="31">
        <v>0.15789473684210525</v>
      </c>
      <c r="Y31" t="s">
        <v>535</v>
      </c>
      <c r="Z31" s="31">
        <v>-0.31818181818181818</v>
      </c>
      <c r="AA31" t="s">
        <v>605</v>
      </c>
      <c r="AB31" s="31">
        <v>-0.33333333333333331</v>
      </c>
      <c r="AC31">
        <v>9</v>
      </c>
      <c r="AD31" t="s">
        <v>620</v>
      </c>
      <c r="AE31" t="s">
        <v>239</v>
      </c>
      <c r="AF31" s="31">
        <v>-0.17332328560663149</v>
      </c>
      <c r="AG31" t="s">
        <v>621</v>
      </c>
      <c r="AH31" s="31">
        <v>0.31631722880583407</v>
      </c>
      <c r="AI31" t="s">
        <v>622</v>
      </c>
      <c r="AJ31" s="31">
        <v>-7.6177285318559558E-3</v>
      </c>
      <c r="AK31" t="s">
        <v>623</v>
      </c>
      <c r="AL31" s="31">
        <v>0.13433356594556875</v>
      </c>
      <c r="AM31" t="s">
        <v>624</v>
      </c>
      <c r="AN31" s="31">
        <v>6.8901876345739771E-2</v>
      </c>
      <c r="AO31" t="s">
        <v>625</v>
      </c>
      <c r="AP31" t="s">
        <v>80</v>
      </c>
      <c r="AQ31">
        <v>1758089</v>
      </c>
      <c r="AR31">
        <v>981515</v>
      </c>
      <c r="AS31" s="31">
        <v>-0.44171483923737648</v>
      </c>
      <c r="AT31">
        <v>1573797</v>
      </c>
      <c r="AU31" s="31">
        <v>0.60343652414889226</v>
      </c>
      <c r="AV31">
        <v>1401240</v>
      </c>
      <c r="AW31" s="31">
        <v>-0.10964374693813751</v>
      </c>
      <c r="AX31">
        <v>1023984</v>
      </c>
      <c r="AY31" s="31">
        <v>-0.26923011047358053</v>
      </c>
      <c r="AZ31">
        <v>970809</v>
      </c>
      <c r="BA31" s="31">
        <v>-5.1929522336286504E-2</v>
      </c>
      <c r="BB31">
        <v>2568</v>
      </c>
      <c r="BC31">
        <v>-60714</v>
      </c>
      <c r="BD31" s="31">
        <v>-24.642523364485982</v>
      </c>
      <c r="BE31">
        <v>89068</v>
      </c>
      <c r="BF31" s="31">
        <v>2.4670092565141499</v>
      </c>
      <c r="BG31">
        <v>44835</v>
      </c>
      <c r="BH31" s="31">
        <v>-0.49662055957246148</v>
      </c>
      <c r="BI31">
        <v>-237451</v>
      </c>
      <c r="BJ31" s="31">
        <v>-6.2961079513772722</v>
      </c>
      <c r="BK31">
        <v>45410</v>
      </c>
      <c r="BL31" s="31">
        <v>1.19123945571929</v>
      </c>
      <c r="BM31" t="s">
        <v>626</v>
      </c>
      <c r="BN31" t="s">
        <v>627</v>
      </c>
      <c r="BO31" t="s">
        <v>80</v>
      </c>
      <c r="BP31" t="s">
        <v>80</v>
      </c>
      <c r="BQ31" t="s">
        <v>80</v>
      </c>
      <c r="BR31" t="s">
        <v>628</v>
      </c>
      <c r="BS31" t="s">
        <v>629</v>
      </c>
    </row>
    <row r="32" spans="1:71" x14ac:dyDescent="0.2">
      <c r="A32" t="s">
        <v>630</v>
      </c>
      <c r="B32" t="s">
        <v>631</v>
      </c>
      <c r="C32">
        <v>731100</v>
      </c>
      <c r="D32" t="s">
        <v>508</v>
      </c>
      <c r="I32">
        <v>304933014</v>
      </c>
      <c r="J32" t="s">
        <v>632</v>
      </c>
      <c r="K32" t="s">
        <v>633</v>
      </c>
      <c r="L32" t="s">
        <v>634</v>
      </c>
      <c r="M32" t="s">
        <v>77</v>
      </c>
      <c r="N32" t="s">
        <v>635</v>
      </c>
      <c r="O32" t="s">
        <v>80</v>
      </c>
      <c r="P32">
        <v>37062177711</v>
      </c>
      <c r="Q32" t="s">
        <v>80</v>
      </c>
      <c r="R32" t="s">
        <v>636</v>
      </c>
      <c r="S32" t="s">
        <v>636</v>
      </c>
      <c r="T32" s="31">
        <v>0</v>
      </c>
      <c r="U32" t="s">
        <v>515</v>
      </c>
      <c r="V32" s="31">
        <v>3</v>
      </c>
      <c r="W32" t="s">
        <v>535</v>
      </c>
      <c r="X32" s="31">
        <v>0.875</v>
      </c>
      <c r="Y32" t="s">
        <v>535</v>
      </c>
      <c r="Z32" s="31">
        <v>0</v>
      </c>
      <c r="AA32" t="s">
        <v>81</v>
      </c>
      <c r="AB32" s="31">
        <v>0.2</v>
      </c>
      <c r="AC32">
        <v>17</v>
      </c>
      <c r="AD32" t="s">
        <v>590</v>
      </c>
      <c r="AE32" t="s">
        <v>590</v>
      </c>
      <c r="AF32" s="31" t="s">
        <v>590</v>
      </c>
      <c r="AG32" t="s">
        <v>637</v>
      </c>
      <c r="AH32" s="31" t="s">
        <v>590</v>
      </c>
      <c r="AI32" t="s">
        <v>638</v>
      </c>
      <c r="AJ32" s="31">
        <v>0.12656119900083265</v>
      </c>
      <c r="AK32" t="s">
        <v>639</v>
      </c>
      <c r="AL32" s="31">
        <v>0.44641537324464153</v>
      </c>
      <c r="AM32" t="s">
        <v>640</v>
      </c>
      <c r="AN32" s="31">
        <v>6.0296371997956053E-2</v>
      </c>
      <c r="AO32" t="s">
        <v>641</v>
      </c>
      <c r="AP32" t="s">
        <v>80</v>
      </c>
      <c r="AQ32">
        <v>52181</v>
      </c>
      <c r="AR32">
        <v>120421</v>
      </c>
      <c r="AS32" s="31">
        <v>1.3077556965178896</v>
      </c>
      <c r="AT32">
        <v>470300</v>
      </c>
      <c r="AU32" s="31">
        <v>2.9054649936472874</v>
      </c>
      <c r="AV32">
        <v>733653</v>
      </c>
      <c r="AW32" s="31">
        <v>0.55996810546459708</v>
      </c>
      <c r="AX32">
        <v>999514</v>
      </c>
      <c r="AY32" s="31">
        <v>0.36237976263983107</v>
      </c>
      <c r="AZ32">
        <v>853822</v>
      </c>
      <c r="BA32" s="31">
        <v>-0.14576284074059992</v>
      </c>
      <c r="BB32">
        <v>-6006</v>
      </c>
      <c r="BC32">
        <v>44975</v>
      </c>
      <c r="BD32" s="31">
        <v>8.4883449883449895</v>
      </c>
      <c r="BE32">
        <v>47893</v>
      </c>
      <c r="BF32" s="31">
        <v>6.4880489160644803E-2</v>
      </c>
      <c r="BG32">
        <v>27646</v>
      </c>
      <c r="BH32" s="31">
        <v>-0.42275489111143588</v>
      </c>
      <c r="BI32">
        <v>-18442</v>
      </c>
      <c r="BJ32" s="31">
        <v>-1.6670766114446935</v>
      </c>
      <c r="BK32">
        <v>-94467</v>
      </c>
      <c r="BL32" s="31">
        <v>-4.1223836894046197</v>
      </c>
      <c r="BM32" t="s">
        <v>642</v>
      </c>
      <c r="BN32" t="s">
        <v>643</v>
      </c>
      <c r="BO32" t="s">
        <v>644</v>
      </c>
      <c r="BP32" t="s">
        <v>645</v>
      </c>
      <c r="BQ32" t="s">
        <v>646</v>
      </c>
      <c r="BR32" t="s">
        <v>647</v>
      </c>
      <c r="BS32" t="s">
        <v>648</v>
      </c>
    </row>
    <row r="33" spans="1:71" x14ac:dyDescent="0.2">
      <c r="A33" t="s">
        <v>649</v>
      </c>
      <c r="B33" t="s">
        <v>650</v>
      </c>
      <c r="C33">
        <v>620100</v>
      </c>
      <c r="D33" t="s">
        <v>651</v>
      </c>
      <c r="I33">
        <v>148508931</v>
      </c>
      <c r="J33" t="s">
        <v>652</v>
      </c>
      <c r="K33" t="s">
        <v>653</v>
      </c>
      <c r="L33" t="s">
        <v>654</v>
      </c>
      <c r="M33" t="s">
        <v>655</v>
      </c>
      <c r="N33" t="s">
        <v>656</v>
      </c>
      <c r="O33" t="s">
        <v>80</v>
      </c>
      <c r="P33">
        <v>37063000933</v>
      </c>
      <c r="Q33" t="s">
        <v>80</v>
      </c>
      <c r="R33" t="s">
        <v>515</v>
      </c>
      <c r="S33" t="s">
        <v>515</v>
      </c>
      <c r="T33" s="31">
        <v>0</v>
      </c>
      <c r="U33" t="s">
        <v>514</v>
      </c>
      <c r="V33" s="31">
        <v>-0.375</v>
      </c>
      <c r="W33" t="s">
        <v>514</v>
      </c>
      <c r="X33" s="31">
        <v>0</v>
      </c>
      <c r="Y33" t="s">
        <v>589</v>
      </c>
      <c r="Z33" s="31">
        <v>0.4</v>
      </c>
      <c r="AA33" t="s">
        <v>589</v>
      </c>
      <c r="AB33" s="31">
        <v>0</v>
      </c>
      <c r="AC33">
        <v>9</v>
      </c>
      <c r="AD33" t="s">
        <v>657</v>
      </c>
      <c r="AE33" t="s">
        <v>658</v>
      </c>
      <c r="AF33" s="31">
        <v>0.28719723183391005</v>
      </c>
      <c r="AG33" t="s">
        <v>659</v>
      </c>
      <c r="AH33" s="31">
        <v>0.16559139784946236</v>
      </c>
      <c r="AI33" t="s">
        <v>660</v>
      </c>
      <c r="AJ33" s="31">
        <v>0.28505535055350556</v>
      </c>
      <c r="AK33" t="s">
        <v>661</v>
      </c>
      <c r="AL33" s="31">
        <v>-0.13854989231873654</v>
      </c>
      <c r="AM33" t="s">
        <v>662</v>
      </c>
      <c r="AN33" s="31">
        <v>0.22833333333333333</v>
      </c>
      <c r="AO33" t="s">
        <v>663</v>
      </c>
      <c r="AP33" t="s">
        <v>80</v>
      </c>
      <c r="AQ33">
        <v>388517</v>
      </c>
      <c r="AR33">
        <v>481436</v>
      </c>
      <c r="AS33" s="31">
        <v>0.23916327985647989</v>
      </c>
      <c r="AT33">
        <v>545455</v>
      </c>
      <c r="AU33" s="31">
        <v>0.13297509949401373</v>
      </c>
      <c r="AV33">
        <v>555622</v>
      </c>
      <c r="AW33" s="31">
        <v>1.8639484467096276E-2</v>
      </c>
      <c r="AX33">
        <v>539977</v>
      </c>
      <c r="AY33" s="31">
        <v>-2.815763234717128E-2</v>
      </c>
      <c r="AZ33">
        <v>843249</v>
      </c>
      <c r="BA33" s="31">
        <v>0.5616387364647013</v>
      </c>
      <c r="BB33">
        <v>-35923</v>
      </c>
      <c r="BC33">
        <v>-31585</v>
      </c>
      <c r="BD33" s="31">
        <v>0.120758288561646</v>
      </c>
      <c r="BE33">
        <v>47420</v>
      </c>
      <c r="BF33" s="31">
        <v>2.50134557543138</v>
      </c>
      <c r="BG33">
        <v>-7750</v>
      </c>
      <c r="BH33" s="31">
        <v>-1.16343315056938</v>
      </c>
      <c r="BI33">
        <v>3530</v>
      </c>
      <c r="BJ33" s="31">
        <v>1.45548387096774</v>
      </c>
      <c r="BK33">
        <v>2897</v>
      </c>
      <c r="BL33" s="31">
        <v>-0.17932011331444758</v>
      </c>
      <c r="BM33" t="s">
        <v>664</v>
      </c>
      <c r="BN33" t="s">
        <v>665</v>
      </c>
      <c r="BO33" t="s">
        <v>80</v>
      </c>
      <c r="BP33" t="s">
        <v>80</v>
      </c>
      <c r="BQ33" t="s">
        <v>80</v>
      </c>
      <c r="BR33" t="s">
        <v>95</v>
      </c>
      <c r="BS33" t="s">
        <v>666</v>
      </c>
    </row>
    <row r="34" spans="1:71" x14ac:dyDescent="0.2">
      <c r="A34" t="s">
        <v>667</v>
      </c>
      <c r="B34" t="s">
        <v>668</v>
      </c>
      <c r="C34">
        <v>731100</v>
      </c>
      <c r="D34" t="s">
        <v>508</v>
      </c>
      <c r="I34">
        <v>126327871</v>
      </c>
      <c r="J34" t="s">
        <v>669</v>
      </c>
      <c r="K34" t="s">
        <v>670</v>
      </c>
      <c r="L34" t="s">
        <v>671</v>
      </c>
      <c r="M34" t="s">
        <v>77</v>
      </c>
      <c r="N34" t="s">
        <v>672</v>
      </c>
      <c r="O34" t="s">
        <v>673</v>
      </c>
      <c r="Q34" t="s">
        <v>80</v>
      </c>
      <c r="R34" t="s">
        <v>174</v>
      </c>
      <c r="S34" t="s">
        <v>535</v>
      </c>
      <c r="T34" s="31">
        <v>-0.11764705882352941</v>
      </c>
      <c r="U34" t="s">
        <v>535</v>
      </c>
      <c r="V34" s="31">
        <v>0</v>
      </c>
      <c r="W34" t="s">
        <v>535</v>
      </c>
      <c r="X34" s="31">
        <v>0</v>
      </c>
      <c r="Y34" t="s">
        <v>222</v>
      </c>
      <c r="Z34" s="31">
        <v>-6.6666666666666666E-2</v>
      </c>
      <c r="AA34" t="s">
        <v>535</v>
      </c>
      <c r="AB34" s="31">
        <v>7.1428571428571425E-2</v>
      </c>
      <c r="AC34">
        <v>15</v>
      </c>
      <c r="AD34" t="s">
        <v>674</v>
      </c>
      <c r="AE34" t="s">
        <v>675</v>
      </c>
      <c r="AF34" s="31">
        <v>-3.9230769230769229E-2</v>
      </c>
      <c r="AG34" t="s">
        <v>676</v>
      </c>
      <c r="AH34" s="31">
        <v>0.27141713370696557</v>
      </c>
      <c r="AI34" t="s">
        <v>677</v>
      </c>
      <c r="AJ34" s="31">
        <v>0.13035264483627204</v>
      </c>
      <c r="AK34" t="s">
        <v>678</v>
      </c>
      <c r="AL34" s="31">
        <v>-2.2284122562674096E-3</v>
      </c>
      <c r="AM34" t="s">
        <v>180</v>
      </c>
      <c r="AN34" s="31">
        <v>8.2077051926298161E-2</v>
      </c>
      <c r="AO34" t="s">
        <v>679</v>
      </c>
      <c r="AP34" t="s">
        <v>80</v>
      </c>
      <c r="AQ34">
        <v>595599</v>
      </c>
      <c r="AR34">
        <v>561515</v>
      </c>
      <c r="AS34" s="31">
        <v>-5.722642247552464E-2</v>
      </c>
      <c r="AT34">
        <v>762011</v>
      </c>
      <c r="AU34" s="31">
        <v>0.35706258960134635</v>
      </c>
      <c r="AV34">
        <v>838212</v>
      </c>
      <c r="AW34" s="31">
        <v>9.9999868768298625E-2</v>
      </c>
      <c r="AX34">
        <v>769072</v>
      </c>
      <c r="AY34" s="31">
        <v>-8.2485099235038398E-2</v>
      </c>
      <c r="AZ34">
        <v>835662</v>
      </c>
      <c r="BA34" s="31">
        <v>8.6584871117398626E-2</v>
      </c>
      <c r="BB34">
        <v>35717</v>
      </c>
      <c r="BC34">
        <v>103404</v>
      </c>
      <c r="BD34" s="31">
        <v>1.8950919730100513</v>
      </c>
      <c r="BE34">
        <v>77632</v>
      </c>
      <c r="BF34" s="31">
        <v>-0.24923600634404858</v>
      </c>
      <c r="BG34">
        <v>83201</v>
      </c>
      <c r="BH34" s="31">
        <v>7.1735882110469912E-2</v>
      </c>
      <c r="BI34">
        <v>67259</v>
      </c>
      <c r="BJ34" s="31">
        <v>-0.19160827393901517</v>
      </c>
      <c r="BK34">
        <v>54979</v>
      </c>
      <c r="BL34" s="31">
        <v>-0.18257779628005175</v>
      </c>
      <c r="BM34" t="s">
        <v>680</v>
      </c>
      <c r="BN34" t="s">
        <v>681</v>
      </c>
      <c r="BO34" t="s">
        <v>80</v>
      </c>
      <c r="BP34" t="s">
        <v>80</v>
      </c>
      <c r="BQ34" t="s">
        <v>80</v>
      </c>
      <c r="BR34" t="s">
        <v>95</v>
      </c>
      <c r="BS34" t="s">
        <v>682</v>
      </c>
    </row>
    <row r="35" spans="1:71" x14ac:dyDescent="0.2">
      <c r="A35" t="s">
        <v>683</v>
      </c>
      <c r="B35" t="s">
        <v>684</v>
      </c>
      <c r="C35">
        <v>721100</v>
      </c>
      <c r="D35" t="s">
        <v>685</v>
      </c>
      <c r="I35">
        <v>302441263</v>
      </c>
      <c r="J35" t="s">
        <v>686</v>
      </c>
      <c r="K35" t="s">
        <v>687</v>
      </c>
      <c r="L35" t="s">
        <v>688</v>
      </c>
      <c r="M35" t="s">
        <v>77</v>
      </c>
      <c r="N35" t="s">
        <v>590</v>
      </c>
      <c r="O35" t="s">
        <v>689</v>
      </c>
      <c r="P35">
        <v>37067965278</v>
      </c>
      <c r="Q35" t="s">
        <v>80</v>
      </c>
      <c r="R35" t="s">
        <v>219</v>
      </c>
      <c r="S35" t="s">
        <v>219</v>
      </c>
      <c r="T35" s="31">
        <v>0</v>
      </c>
      <c r="U35" t="s">
        <v>219</v>
      </c>
      <c r="V35" s="31">
        <v>0</v>
      </c>
      <c r="W35" t="s">
        <v>219</v>
      </c>
      <c r="X35" s="31">
        <v>0</v>
      </c>
      <c r="Y35" t="s">
        <v>219</v>
      </c>
      <c r="Z35" s="31">
        <v>0</v>
      </c>
      <c r="AA35" t="s">
        <v>589</v>
      </c>
      <c r="AB35" s="31">
        <v>-0.36363636363636365</v>
      </c>
      <c r="AC35">
        <v>2</v>
      </c>
      <c r="AD35" t="s">
        <v>690</v>
      </c>
      <c r="AE35" t="s">
        <v>691</v>
      </c>
      <c r="AF35" s="31">
        <v>-0.2297691695409923</v>
      </c>
      <c r="AG35" t="s">
        <v>692</v>
      </c>
      <c r="AH35" s="31">
        <v>1.9634860489149156E-2</v>
      </c>
      <c r="AI35" t="s">
        <v>693</v>
      </c>
      <c r="AJ35" s="31">
        <v>4.5270270270270273E-2</v>
      </c>
      <c r="AK35" t="s">
        <v>694</v>
      </c>
      <c r="AL35" s="31">
        <v>-1.7129928894634779E-2</v>
      </c>
      <c r="AM35" t="s">
        <v>695</v>
      </c>
      <c r="AN35" s="31">
        <v>-2.1374547846103254E-2</v>
      </c>
      <c r="AO35" t="s">
        <v>590</v>
      </c>
      <c r="AP35" t="s">
        <v>80</v>
      </c>
      <c r="AQ35">
        <v>370000</v>
      </c>
      <c r="AR35">
        <v>370012</v>
      </c>
      <c r="AS35" s="31">
        <v>3.2432432432432429E-5</v>
      </c>
      <c r="AT35">
        <v>370306</v>
      </c>
      <c r="AU35" s="31">
        <v>7.9456882479487156E-4</v>
      </c>
      <c r="AV35">
        <v>370010</v>
      </c>
      <c r="AW35" s="31">
        <v>-7.9933892510518324E-4</v>
      </c>
      <c r="AX35">
        <v>403000</v>
      </c>
      <c r="AY35" s="31">
        <v>8.915975243912326E-2</v>
      </c>
      <c r="AZ35">
        <v>675612</v>
      </c>
      <c r="BA35" s="31">
        <v>0.67645657568238216</v>
      </c>
      <c r="BB35">
        <v>3481</v>
      </c>
      <c r="BC35">
        <v>39130</v>
      </c>
      <c r="BD35" s="31">
        <v>10.241022694627981</v>
      </c>
      <c r="BE35">
        <v>27424</v>
      </c>
      <c r="BF35" s="31">
        <v>-0.29915665729619217</v>
      </c>
      <c r="BG35">
        <v>-117809</v>
      </c>
      <c r="BH35" s="31">
        <v>-5.2958357642940488</v>
      </c>
      <c r="BI35">
        <v>-220748</v>
      </c>
      <c r="BJ35" s="31">
        <v>-0.87377874355949003</v>
      </c>
      <c r="BK35">
        <v>146126</v>
      </c>
      <c r="BL35" s="31">
        <v>1.66195843223948</v>
      </c>
      <c r="BM35" t="s">
        <v>80</v>
      </c>
      <c r="BN35" t="s">
        <v>696</v>
      </c>
      <c r="BO35" t="s">
        <v>80</v>
      </c>
      <c r="BP35" t="s">
        <v>80</v>
      </c>
      <c r="BQ35" t="s">
        <v>80</v>
      </c>
      <c r="BR35" t="s">
        <v>95</v>
      </c>
      <c r="BS35" t="s">
        <v>697</v>
      </c>
    </row>
    <row r="36" spans="1:71" x14ac:dyDescent="0.2">
      <c r="A36" t="s">
        <v>698</v>
      </c>
      <c r="B36" t="s">
        <v>699</v>
      </c>
      <c r="C36">
        <v>702200</v>
      </c>
      <c r="F36" t="s">
        <v>300</v>
      </c>
      <c r="I36">
        <v>110889086</v>
      </c>
      <c r="J36" t="s">
        <v>700</v>
      </c>
      <c r="K36" t="s">
        <v>701</v>
      </c>
      <c r="L36" t="s">
        <v>702</v>
      </c>
      <c r="M36" t="s">
        <v>77</v>
      </c>
      <c r="N36" t="s">
        <v>703</v>
      </c>
      <c r="O36" t="s">
        <v>704</v>
      </c>
      <c r="Q36" t="s">
        <v>80</v>
      </c>
      <c r="R36" t="s">
        <v>589</v>
      </c>
      <c r="S36" t="s">
        <v>515</v>
      </c>
      <c r="T36" s="31">
        <v>0.14285714285714285</v>
      </c>
      <c r="U36" t="s">
        <v>589</v>
      </c>
      <c r="V36" s="31">
        <v>-0.125</v>
      </c>
      <c r="W36" t="s">
        <v>589</v>
      </c>
      <c r="X36" s="31">
        <v>0</v>
      </c>
      <c r="Y36" t="s">
        <v>705</v>
      </c>
      <c r="Z36" s="31">
        <v>-0.14285714285714285</v>
      </c>
      <c r="AA36" t="s">
        <v>705</v>
      </c>
      <c r="AB36" s="31">
        <v>0</v>
      </c>
      <c r="AC36">
        <v>6</v>
      </c>
      <c r="AD36" t="s">
        <v>706</v>
      </c>
      <c r="AE36" t="s">
        <v>707</v>
      </c>
      <c r="AF36" s="31">
        <v>-0.20661985957873621</v>
      </c>
      <c r="AG36" t="s">
        <v>708</v>
      </c>
      <c r="AH36" s="31">
        <v>0.15044247787610621</v>
      </c>
      <c r="AI36" t="s">
        <v>393</v>
      </c>
      <c r="AJ36" s="31">
        <v>8.5164835164835168E-2</v>
      </c>
      <c r="AK36" t="s">
        <v>709</v>
      </c>
      <c r="AL36" s="31">
        <v>4.1012658227848102E-2</v>
      </c>
      <c r="AM36" t="s">
        <v>710</v>
      </c>
      <c r="AN36" s="31">
        <v>-5.8852140077821011E-2</v>
      </c>
      <c r="AO36" t="s">
        <v>711</v>
      </c>
      <c r="AP36" t="s">
        <v>80</v>
      </c>
      <c r="AQ36">
        <v>517914</v>
      </c>
      <c r="AR36">
        <v>544393</v>
      </c>
      <c r="AS36" s="31">
        <v>5.1126248759446546E-2</v>
      </c>
      <c r="AT36">
        <v>670268</v>
      </c>
      <c r="AU36" s="31">
        <v>0.2312208276006488</v>
      </c>
      <c r="AV36">
        <v>645477</v>
      </c>
      <c r="AW36" s="31">
        <v>-3.6986697858170166E-2</v>
      </c>
      <c r="AX36">
        <v>640668</v>
      </c>
      <c r="AY36" s="31">
        <v>-7.450304193642841E-3</v>
      </c>
      <c r="AZ36">
        <v>645283</v>
      </c>
      <c r="BA36" s="31">
        <v>7.203418931490257E-3</v>
      </c>
      <c r="BB36">
        <v>129879</v>
      </c>
      <c r="BC36">
        <v>128289</v>
      </c>
      <c r="BD36" s="31">
        <v>-1.2242163860208348E-2</v>
      </c>
      <c r="BE36">
        <v>216103</v>
      </c>
      <c r="BF36" s="31">
        <v>0.68450139918465336</v>
      </c>
      <c r="BG36">
        <v>195790</v>
      </c>
      <c r="BH36" s="31">
        <v>-9.3996844097490553E-2</v>
      </c>
      <c r="BI36">
        <v>219317</v>
      </c>
      <c r="BJ36" s="31">
        <v>0.12016446192348945</v>
      </c>
      <c r="BK36">
        <v>222567</v>
      </c>
      <c r="BL36" s="31">
        <v>1.4818732701979326E-2</v>
      </c>
      <c r="BM36" t="s">
        <v>712</v>
      </c>
      <c r="BN36" t="s">
        <v>713</v>
      </c>
      <c r="BO36" t="s">
        <v>80</v>
      </c>
      <c r="BP36" t="s">
        <v>80</v>
      </c>
      <c r="BQ36" t="s">
        <v>80</v>
      </c>
      <c r="BR36" t="s">
        <v>95</v>
      </c>
      <c r="BS36" t="s">
        <v>714</v>
      </c>
    </row>
    <row r="37" spans="1:71" x14ac:dyDescent="0.2">
      <c r="A37" t="s">
        <v>715</v>
      </c>
      <c r="B37" t="s">
        <v>716</v>
      </c>
      <c r="C37">
        <v>731100</v>
      </c>
      <c r="D37" t="s">
        <v>508</v>
      </c>
      <c r="I37">
        <v>304754709</v>
      </c>
      <c r="J37" t="s">
        <v>717</v>
      </c>
      <c r="K37" t="s">
        <v>718</v>
      </c>
      <c r="L37" t="s">
        <v>719</v>
      </c>
      <c r="M37" t="s">
        <v>171</v>
      </c>
      <c r="N37" t="s">
        <v>720</v>
      </c>
      <c r="O37" t="s">
        <v>721</v>
      </c>
      <c r="Q37" t="s">
        <v>80</v>
      </c>
      <c r="R37" t="s">
        <v>588</v>
      </c>
      <c r="S37" t="s">
        <v>705</v>
      </c>
      <c r="T37" s="31">
        <v>0.5</v>
      </c>
      <c r="U37" t="s">
        <v>515</v>
      </c>
      <c r="V37" s="31">
        <v>0.33333333333333331</v>
      </c>
      <c r="W37" t="s">
        <v>605</v>
      </c>
      <c r="X37" s="31">
        <v>0.25</v>
      </c>
      <c r="Y37" t="s">
        <v>220</v>
      </c>
      <c r="Z37" s="31">
        <v>0.2</v>
      </c>
      <c r="AA37" t="s">
        <v>220</v>
      </c>
      <c r="AB37" s="31">
        <v>0</v>
      </c>
      <c r="AC37">
        <v>13</v>
      </c>
      <c r="AD37" t="s">
        <v>722</v>
      </c>
      <c r="AE37" t="s">
        <v>723</v>
      </c>
      <c r="AF37" s="31">
        <v>0.10909090909090909</v>
      </c>
      <c r="AG37" t="s">
        <v>724</v>
      </c>
      <c r="AH37" s="31">
        <v>0.25027322404371583</v>
      </c>
      <c r="AI37" t="s">
        <v>725</v>
      </c>
      <c r="AJ37" s="31">
        <v>0.2368881118881119</v>
      </c>
      <c r="AK37" t="s">
        <v>726</v>
      </c>
      <c r="AL37" s="31">
        <v>0.36607773851590109</v>
      </c>
      <c r="AM37" t="s">
        <v>727</v>
      </c>
      <c r="AN37" s="31">
        <v>4.914640455250905E-2</v>
      </c>
      <c r="AO37" t="s">
        <v>728</v>
      </c>
      <c r="AP37" t="s">
        <v>80</v>
      </c>
      <c r="AQ37">
        <v>76508</v>
      </c>
      <c r="AR37">
        <v>111249</v>
      </c>
      <c r="AS37" s="31">
        <v>0.45408323312594762</v>
      </c>
      <c r="AT37">
        <v>205766</v>
      </c>
      <c r="AU37" s="31">
        <v>0.84959864807773555</v>
      </c>
      <c r="AV37">
        <v>370276</v>
      </c>
      <c r="AW37" s="31">
        <v>0.79950040337081929</v>
      </c>
      <c r="AX37">
        <v>534736</v>
      </c>
      <c r="AY37" s="31">
        <v>0.44415517073750393</v>
      </c>
      <c r="AZ37">
        <v>514040</v>
      </c>
      <c r="BA37" s="31">
        <v>-3.87032105562371E-2</v>
      </c>
      <c r="BB37">
        <v>-2709</v>
      </c>
      <c r="BC37">
        <v>0</v>
      </c>
      <c r="BD37" s="31">
        <v>1</v>
      </c>
      <c r="BE37">
        <v>2662</v>
      </c>
      <c r="BF37" s="31" t="s">
        <v>590</v>
      </c>
      <c r="BG37">
        <v>13356</v>
      </c>
      <c r="BH37" s="31">
        <v>4.0172802404207362</v>
      </c>
      <c r="BI37">
        <v>51317</v>
      </c>
      <c r="BJ37" s="31">
        <v>2.8422431865828091</v>
      </c>
      <c r="BK37">
        <v>17322</v>
      </c>
      <c r="BL37" s="31">
        <v>-0.66245103961650131</v>
      </c>
      <c r="BM37" t="s">
        <v>729</v>
      </c>
      <c r="BN37" t="s">
        <v>730</v>
      </c>
      <c r="BO37" t="s">
        <v>731</v>
      </c>
      <c r="BP37" t="s">
        <v>80</v>
      </c>
      <c r="BQ37" t="s">
        <v>732</v>
      </c>
      <c r="BR37" t="s">
        <v>95</v>
      </c>
      <c r="BS37" t="s">
        <v>733</v>
      </c>
    </row>
    <row r="38" spans="1:71" x14ac:dyDescent="0.2">
      <c r="A38" t="s">
        <v>734</v>
      </c>
      <c r="B38" t="s">
        <v>735</v>
      </c>
      <c r="C38">
        <v>702100</v>
      </c>
      <c r="F38" t="s">
        <v>300</v>
      </c>
      <c r="I38">
        <v>306313364</v>
      </c>
      <c r="J38" t="s">
        <v>736</v>
      </c>
      <c r="K38" t="s">
        <v>737</v>
      </c>
      <c r="L38" t="s">
        <v>738</v>
      </c>
      <c r="M38" t="s">
        <v>77</v>
      </c>
      <c r="N38" t="s">
        <v>739</v>
      </c>
      <c r="O38" t="s">
        <v>80</v>
      </c>
      <c r="P38">
        <v>37060063171</v>
      </c>
      <c r="Q38" t="s">
        <v>80</v>
      </c>
      <c r="R38" t="s">
        <v>590</v>
      </c>
      <c r="S38" t="s">
        <v>590</v>
      </c>
      <c r="T38" s="31" t="s">
        <v>590</v>
      </c>
      <c r="U38" t="s">
        <v>590</v>
      </c>
      <c r="V38" s="31" t="s">
        <v>590</v>
      </c>
      <c r="W38" t="s">
        <v>590</v>
      </c>
      <c r="X38" s="31" t="s">
        <v>590</v>
      </c>
      <c r="Y38" t="s">
        <v>514</v>
      </c>
      <c r="Z38" s="31" t="s">
        <v>590</v>
      </c>
      <c r="AA38" t="s">
        <v>705</v>
      </c>
      <c r="AB38" s="31">
        <v>0.2</v>
      </c>
      <c r="AC38">
        <v>7</v>
      </c>
      <c r="AD38" t="s">
        <v>590</v>
      </c>
      <c r="AE38" t="s">
        <v>590</v>
      </c>
      <c r="AF38" s="31" t="s">
        <v>590</v>
      </c>
      <c r="AG38" t="s">
        <v>590</v>
      </c>
      <c r="AH38" s="31" t="s">
        <v>590</v>
      </c>
      <c r="AI38" t="s">
        <v>590</v>
      </c>
      <c r="AJ38" s="31" t="s">
        <v>590</v>
      </c>
      <c r="AK38" t="s">
        <v>740</v>
      </c>
      <c r="AL38" s="31" t="s">
        <v>590</v>
      </c>
      <c r="AM38" t="s">
        <v>741</v>
      </c>
      <c r="AN38" s="31">
        <v>2.3336816440264717E-2</v>
      </c>
      <c r="AO38" t="s">
        <v>742</v>
      </c>
      <c r="AP38" t="s">
        <v>80</v>
      </c>
      <c r="AS38" s="31" t="s">
        <v>590</v>
      </c>
      <c r="AU38" s="31" t="s">
        <v>590</v>
      </c>
      <c r="AW38" s="31" t="s">
        <v>590</v>
      </c>
      <c r="AX38">
        <v>133678</v>
      </c>
      <c r="AY38" s="31" t="s">
        <v>590</v>
      </c>
      <c r="AZ38">
        <v>474855</v>
      </c>
      <c r="BA38" s="31">
        <v>2.5522299854875148</v>
      </c>
      <c r="BD38" s="31" t="s">
        <v>590</v>
      </c>
      <c r="BF38" s="31" t="s">
        <v>590</v>
      </c>
      <c r="BH38" s="31" t="s">
        <v>590</v>
      </c>
      <c r="BI38">
        <v>30861</v>
      </c>
      <c r="BJ38" s="31" t="s">
        <v>590</v>
      </c>
      <c r="BK38">
        <v>74154</v>
      </c>
      <c r="BL38" s="31">
        <v>1.4028385340721299</v>
      </c>
      <c r="BM38" t="s">
        <v>80</v>
      </c>
      <c r="BN38" t="s">
        <v>743</v>
      </c>
      <c r="BO38" t="s">
        <v>80</v>
      </c>
      <c r="BP38" t="s">
        <v>80</v>
      </c>
      <c r="BQ38" t="s">
        <v>80</v>
      </c>
      <c r="BR38" t="s">
        <v>95</v>
      </c>
      <c r="BS38" t="s">
        <v>744</v>
      </c>
    </row>
    <row r="39" spans="1:71" x14ac:dyDescent="0.2">
      <c r="A39" t="s">
        <v>745</v>
      </c>
      <c r="B39" t="s">
        <v>746</v>
      </c>
      <c r="C39">
        <v>731100</v>
      </c>
      <c r="F39" t="s">
        <v>300</v>
      </c>
      <c r="I39">
        <v>305678883</v>
      </c>
      <c r="J39" t="s">
        <v>747</v>
      </c>
      <c r="K39" t="s">
        <v>748</v>
      </c>
      <c r="L39" t="s">
        <v>749</v>
      </c>
      <c r="M39" t="s">
        <v>750</v>
      </c>
      <c r="N39" t="s">
        <v>751</v>
      </c>
      <c r="O39" t="s">
        <v>80</v>
      </c>
      <c r="P39">
        <v>37064119828</v>
      </c>
      <c r="Q39" t="s">
        <v>80</v>
      </c>
      <c r="R39" t="s">
        <v>590</v>
      </c>
      <c r="S39" t="s">
        <v>590</v>
      </c>
      <c r="T39" s="31" t="s">
        <v>590</v>
      </c>
      <c r="U39" t="s">
        <v>752</v>
      </c>
      <c r="V39" s="31" t="s">
        <v>590</v>
      </c>
      <c r="W39" t="s">
        <v>636</v>
      </c>
      <c r="X39" s="31">
        <v>1</v>
      </c>
      <c r="Y39" t="s">
        <v>513</v>
      </c>
      <c r="Z39" s="31">
        <v>0.5</v>
      </c>
      <c r="AA39" t="s">
        <v>514</v>
      </c>
      <c r="AB39" s="31">
        <v>0.66666666666666663</v>
      </c>
      <c r="AC39">
        <v>8</v>
      </c>
      <c r="AD39" t="s">
        <v>590</v>
      </c>
      <c r="AE39" t="s">
        <v>590</v>
      </c>
      <c r="AF39" s="31" t="s">
        <v>590</v>
      </c>
      <c r="AG39" t="s">
        <v>590</v>
      </c>
      <c r="AH39" s="31" t="s">
        <v>590</v>
      </c>
      <c r="AI39" t="s">
        <v>590</v>
      </c>
      <c r="AJ39" s="31" t="s">
        <v>590</v>
      </c>
      <c r="AK39" t="s">
        <v>753</v>
      </c>
      <c r="AL39" s="31" t="s">
        <v>590</v>
      </c>
      <c r="AM39" t="s">
        <v>754</v>
      </c>
      <c r="AN39" s="31">
        <v>0.40492957746478875</v>
      </c>
      <c r="AO39" t="s">
        <v>755</v>
      </c>
      <c r="AP39" t="s">
        <v>80</v>
      </c>
      <c r="AS39" s="31" t="s">
        <v>590</v>
      </c>
      <c r="AT39">
        <v>71239</v>
      </c>
      <c r="AU39" s="31" t="s">
        <v>590</v>
      </c>
      <c r="AV39">
        <v>187499</v>
      </c>
      <c r="AW39" s="31">
        <v>1.6319712517020171</v>
      </c>
      <c r="AX39">
        <v>239698</v>
      </c>
      <c r="AY39" s="31">
        <v>0.27839615144614105</v>
      </c>
      <c r="AZ39">
        <v>407865</v>
      </c>
      <c r="BA39" s="31">
        <v>0.70157865313853263</v>
      </c>
      <c r="BD39" s="31" t="s">
        <v>590</v>
      </c>
      <c r="BE39">
        <v>8688</v>
      </c>
      <c r="BF39" s="31" t="s">
        <v>590</v>
      </c>
      <c r="BG39">
        <v>36059</v>
      </c>
      <c r="BH39" s="31">
        <v>3.1504373848987108</v>
      </c>
      <c r="BI39">
        <v>12907</v>
      </c>
      <c r="BJ39" s="31">
        <v>-0.64205884799911261</v>
      </c>
      <c r="BK39">
        <v>60868</v>
      </c>
      <c r="BL39" s="31">
        <v>3.7158906019989155</v>
      </c>
      <c r="BM39" t="s">
        <v>756</v>
      </c>
      <c r="BN39" t="s">
        <v>757</v>
      </c>
      <c r="BO39" t="s">
        <v>758</v>
      </c>
      <c r="BP39" t="s">
        <v>759</v>
      </c>
      <c r="BQ39" t="s">
        <v>760</v>
      </c>
      <c r="BR39" t="s">
        <v>95</v>
      </c>
      <c r="BS39" t="s">
        <v>761</v>
      </c>
    </row>
    <row r="40" spans="1:71" x14ac:dyDescent="0.2">
      <c r="A40" t="s">
        <v>762</v>
      </c>
      <c r="B40" t="s">
        <v>80</v>
      </c>
      <c r="C40">
        <v>702100</v>
      </c>
      <c r="D40" t="s">
        <v>763</v>
      </c>
      <c r="I40">
        <v>300016915</v>
      </c>
      <c r="J40" t="s">
        <v>764</v>
      </c>
      <c r="K40" t="s">
        <v>765</v>
      </c>
      <c r="L40" t="s">
        <v>766</v>
      </c>
      <c r="M40" t="s">
        <v>77</v>
      </c>
      <c r="N40" t="s">
        <v>767</v>
      </c>
      <c r="O40" t="s">
        <v>80</v>
      </c>
      <c r="P40">
        <v>37061526019</v>
      </c>
      <c r="Q40" t="s">
        <v>80</v>
      </c>
      <c r="R40" t="s">
        <v>514</v>
      </c>
      <c r="S40" t="s">
        <v>513</v>
      </c>
      <c r="T40" s="31">
        <v>-0.4</v>
      </c>
      <c r="U40" t="s">
        <v>588</v>
      </c>
      <c r="V40" s="31">
        <v>0.33333333333333331</v>
      </c>
      <c r="W40" t="s">
        <v>514</v>
      </c>
      <c r="X40" s="31">
        <v>0.25</v>
      </c>
      <c r="Y40" t="s">
        <v>705</v>
      </c>
      <c r="Z40" s="31">
        <v>0.2</v>
      </c>
      <c r="AA40" t="s">
        <v>513</v>
      </c>
      <c r="AB40" s="31">
        <v>-0.5</v>
      </c>
      <c r="AC40">
        <v>1</v>
      </c>
      <c r="AD40" t="s">
        <v>768</v>
      </c>
      <c r="AE40" t="s">
        <v>769</v>
      </c>
      <c r="AF40" s="31">
        <v>0.49427480916030536</v>
      </c>
      <c r="AG40" t="s">
        <v>770</v>
      </c>
      <c r="AH40" s="31">
        <v>6.3856960408684551E-3</v>
      </c>
      <c r="AI40" t="s">
        <v>771</v>
      </c>
      <c r="AJ40" s="31">
        <v>-0.22969543147208121</v>
      </c>
      <c r="AK40" t="s">
        <v>772</v>
      </c>
      <c r="AL40" s="31">
        <v>0.10104338275672707</v>
      </c>
      <c r="AM40" t="s">
        <v>773</v>
      </c>
      <c r="AN40" s="31">
        <v>2.4937655860349128E-2</v>
      </c>
      <c r="AO40" t="s">
        <v>590</v>
      </c>
      <c r="AP40" t="s">
        <v>80</v>
      </c>
      <c r="AQ40">
        <v>135593</v>
      </c>
      <c r="AR40">
        <v>140132</v>
      </c>
      <c r="AS40" s="31">
        <v>3.3475179397166523E-2</v>
      </c>
      <c r="AT40">
        <v>204229</v>
      </c>
      <c r="AU40" s="31">
        <v>0.4574044472354637</v>
      </c>
      <c r="AV40">
        <v>308709</v>
      </c>
      <c r="AW40" s="31">
        <v>0.51158258621449448</v>
      </c>
      <c r="AX40">
        <v>463961</v>
      </c>
      <c r="AY40" s="31">
        <v>0.50290726865753832</v>
      </c>
      <c r="AZ40">
        <v>339411</v>
      </c>
      <c r="BA40" s="31">
        <v>-0.26844928776341115</v>
      </c>
      <c r="BB40">
        <v>12672</v>
      </c>
      <c r="BC40">
        <v>733</v>
      </c>
      <c r="BD40" s="31">
        <v>-0.94215593434343436</v>
      </c>
      <c r="BE40">
        <v>5655</v>
      </c>
      <c r="BF40" s="31">
        <v>6.7148703956343789</v>
      </c>
      <c r="BG40">
        <v>-48</v>
      </c>
      <c r="BH40" s="31">
        <v>-1.0084880636604774</v>
      </c>
      <c r="BI40">
        <v>1304</v>
      </c>
      <c r="BJ40" s="31">
        <v>28.1666666666667</v>
      </c>
      <c r="BK40">
        <v>789</v>
      </c>
      <c r="BL40" s="31">
        <v>-0.39493865030674846</v>
      </c>
      <c r="BM40" t="s">
        <v>774</v>
      </c>
      <c r="BN40" t="s">
        <v>775</v>
      </c>
      <c r="BO40" t="s">
        <v>80</v>
      </c>
      <c r="BP40" t="s">
        <v>80</v>
      </c>
      <c r="BQ40" t="s">
        <v>80</v>
      </c>
      <c r="BR40" t="s">
        <v>95</v>
      </c>
      <c r="BS40" t="s">
        <v>776</v>
      </c>
    </row>
    <row r="41" spans="1:71" x14ac:dyDescent="0.2">
      <c r="A41" t="s">
        <v>777</v>
      </c>
      <c r="B41" t="s">
        <v>778</v>
      </c>
      <c r="C41">
        <v>731100</v>
      </c>
      <c r="E41" t="s">
        <v>280</v>
      </c>
      <c r="I41">
        <v>124257787</v>
      </c>
      <c r="J41" t="s">
        <v>779</v>
      </c>
      <c r="K41" t="s">
        <v>780</v>
      </c>
      <c r="L41" t="s">
        <v>781</v>
      </c>
      <c r="M41" t="s">
        <v>77</v>
      </c>
      <c r="N41" t="s">
        <v>782</v>
      </c>
      <c r="O41" t="s">
        <v>80</v>
      </c>
      <c r="P41">
        <v>37065927112</v>
      </c>
      <c r="Q41" t="s">
        <v>80</v>
      </c>
      <c r="R41" t="s">
        <v>515</v>
      </c>
      <c r="S41" t="s">
        <v>589</v>
      </c>
      <c r="T41" s="31">
        <v>-0.125</v>
      </c>
      <c r="U41" t="s">
        <v>589</v>
      </c>
      <c r="V41" s="31">
        <v>0</v>
      </c>
      <c r="W41" t="s">
        <v>589</v>
      </c>
      <c r="X41" s="31">
        <v>0</v>
      </c>
      <c r="Y41" t="s">
        <v>705</v>
      </c>
      <c r="Z41" s="31">
        <v>-0.14285714285714285</v>
      </c>
      <c r="AA41" t="s">
        <v>705</v>
      </c>
      <c r="AB41" s="31">
        <v>0</v>
      </c>
      <c r="AC41">
        <v>7</v>
      </c>
      <c r="AD41" t="s">
        <v>783</v>
      </c>
      <c r="AE41" t="s">
        <v>784</v>
      </c>
      <c r="AF41" s="31">
        <v>9.6439169139465875E-3</v>
      </c>
      <c r="AG41" t="s">
        <v>785</v>
      </c>
      <c r="AH41" s="31">
        <v>0.11388684790595151</v>
      </c>
      <c r="AI41" t="s">
        <v>539</v>
      </c>
      <c r="AJ41" s="31">
        <v>9.498680738786279E-2</v>
      </c>
      <c r="AK41" t="s">
        <v>786</v>
      </c>
      <c r="AL41" s="31">
        <v>8.0120481927710846E-2</v>
      </c>
      <c r="AM41" t="s">
        <v>787</v>
      </c>
      <c r="AN41" s="31">
        <v>0.10262130507529281</v>
      </c>
      <c r="AO41" t="s">
        <v>788</v>
      </c>
      <c r="AP41" t="s">
        <v>80</v>
      </c>
      <c r="AQ41">
        <v>310625</v>
      </c>
      <c r="AR41">
        <v>253884</v>
      </c>
      <c r="AS41" s="31">
        <v>-0.1826672032193159</v>
      </c>
      <c r="AT41">
        <v>351527</v>
      </c>
      <c r="AU41" s="31">
        <v>0.3845969025224118</v>
      </c>
      <c r="AV41">
        <v>322775</v>
      </c>
      <c r="AW41" s="31">
        <v>-8.1791725813379915E-2</v>
      </c>
      <c r="AX41">
        <v>684432</v>
      </c>
      <c r="AY41" s="31">
        <v>1.1204616218728216</v>
      </c>
      <c r="AZ41">
        <v>316507</v>
      </c>
      <c r="BA41" s="31">
        <v>-0.53756253360450712</v>
      </c>
      <c r="BB41">
        <v>-82276</v>
      </c>
      <c r="BC41">
        <v>2481</v>
      </c>
      <c r="BD41" s="31">
        <v>1.0301546015849099</v>
      </c>
      <c r="BE41">
        <v>17604</v>
      </c>
      <c r="BF41" s="31">
        <v>6.0955259975816203</v>
      </c>
      <c r="BG41">
        <v>-7985</v>
      </c>
      <c r="BH41" s="31">
        <v>-1.4535900931606454</v>
      </c>
      <c r="BI41">
        <v>59173</v>
      </c>
      <c r="BJ41" s="31">
        <v>8.4105197244834091</v>
      </c>
      <c r="BK41">
        <v>-2233</v>
      </c>
      <c r="BL41" s="31">
        <v>-1.0377368056377063</v>
      </c>
      <c r="BM41" t="s">
        <v>789</v>
      </c>
      <c r="BN41" t="s">
        <v>790</v>
      </c>
      <c r="BO41" t="s">
        <v>791</v>
      </c>
      <c r="BP41" t="s">
        <v>792</v>
      </c>
      <c r="BQ41" t="s">
        <v>793</v>
      </c>
      <c r="BR41" t="s">
        <v>95</v>
      </c>
      <c r="BS41" t="s">
        <v>794</v>
      </c>
    </row>
    <row r="42" spans="1:71" x14ac:dyDescent="0.2">
      <c r="A42" t="s">
        <v>795</v>
      </c>
      <c r="B42" t="s">
        <v>796</v>
      </c>
      <c r="C42">
        <v>731100</v>
      </c>
      <c r="E42" t="s">
        <v>280</v>
      </c>
      <c r="I42">
        <v>301734377</v>
      </c>
      <c r="J42" t="s">
        <v>797</v>
      </c>
      <c r="K42" t="s">
        <v>798</v>
      </c>
      <c r="L42" t="s">
        <v>799</v>
      </c>
      <c r="M42" t="s">
        <v>171</v>
      </c>
      <c r="N42" t="s">
        <v>800</v>
      </c>
      <c r="O42" t="s">
        <v>80</v>
      </c>
      <c r="P42">
        <v>37060781646</v>
      </c>
      <c r="Q42" t="s">
        <v>80</v>
      </c>
      <c r="R42" t="s">
        <v>588</v>
      </c>
      <c r="S42" t="s">
        <v>588</v>
      </c>
      <c r="T42" s="31">
        <v>0</v>
      </c>
      <c r="U42" t="s">
        <v>514</v>
      </c>
      <c r="V42" s="31">
        <v>0.25</v>
      </c>
      <c r="W42" t="s">
        <v>705</v>
      </c>
      <c r="X42" s="31">
        <v>0.2</v>
      </c>
      <c r="Y42" t="s">
        <v>534</v>
      </c>
      <c r="Z42" s="31">
        <v>0.5</v>
      </c>
      <c r="AA42" t="s">
        <v>534</v>
      </c>
      <c r="AB42" s="31">
        <v>0</v>
      </c>
      <c r="AC42">
        <v>7</v>
      </c>
      <c r="AD42" t="s">
        <v>801</v>
      </c>
      <c r="AE42" t="s">
        <v>802</v>
      </c>
      <c r="AF42" s="31">
        <v>9.8591549295774641E-2</v>
      </c>
      <c r="AG42" t="s">
        <v>803</v>
      </c>
      <c r="AH42" s="31">
        <v>0.11794871794871795</v>
      </c>
      <c r="AI42" t="s">
        <v>804</v>
      </c>
      <c r="AJ42" s="31">
        <v>0.14678899082568808</v>
      </c>
      <c r="AK42" t="s">
        <v>805</v>
      </c>
      <c r="AL42" s="31">
        <v>1.9333333333333334E-2</v>
      </c>
      <c r="AM42" t="s">
        <v>806</v>
      </c>
      <c r="AN42" s="31">
        <v>0.20863309352517986</v>
      </c>
      <c r="AO42" t="s">
        <v>807</v>
      </c>
      <c r="AP42" t="s">
        <v>80</v>
      </c>
      <c r="AQ42">
        <v>103616</v>
      </c>
      <c r="AR42">
        <v>110839</v>
      </c>
      <c r="AS42" s="31">
        <v>6.9709311303273624E-2</v>
      </c>
      <c r="AT42">
        <v>162654</v>
      </c>
      <c r="AU42" s="31">
        <v>0.46747985817266485</v>
      </c>
      <c r="AV42">
        <v>175245</v>
      </c>
      <c r="AW42" s="31">
        <v>7.7409716330369985E-2</v>
      </c>
      <c r="AX42">
        <v>233594</v>
      </c>
      <c r="AY42" s="31">
        <v>0.33295671773802393</v>
      </c>
      <c r="AZ42">
        <v>212639</v>
      </c>
      <c r="BA42" s="31">
        <v>-8.970692740395729E-2</v>
      </c>
      <c r="BB42">
        <v>1139</v>
      </c>
      <c r="BC42">
        <v>8918</v>
      </c>
      <c r="BD42" s="31">
        <v>6.8296751536435467</v>
      </c>
      <c r="BE42">
        <v>37970</v>
      </c>
      <c r="BF42" s="31">
        <v>3.2576810944157883</v>
      </c>
      <c r="BG42">
        <v>34783</v>
      </c>
      <c r="BH42" s="31">
        <v>-8.3934685277850932E-2</v>
      </c>
      <c r="BI42">
        <v>19870</v>
      </c>
      <c r="BJ42" s="31">
        <v>-0.42874392663082539</v>
      </c>
      <c r="BK42">
        <v>4687</v>
      </c>
      <c r="BL42" s="31">
        <v>-0.76411675893306497</v>
      </c>
      <c r="BM42" t="s">
        <v>808</v>
      </c>
      <c r="BN42" t="s">
        <v>809</v>
      </c>
      <c r="BO42" t="s">
        <v>810</v>
      </c>
      <c r="BP42" t="s">
        <v>80</v>
      </c>
      <c r="BQ42" t="s">
        <v>811</v>
      </c>
      <c r="BR42" t="s">
        <v>189</v>
      </c>
      <c r="BS42" t="s">
        <v>812</v>
      </c>
    </row>
    <row r="43" spans="1:71" x14ac:dyDescent="0.2">
      <c r="A43" t="s">
        <v>813</v>
      </c>
      <c r="B43" t="s">
        <v>814</v>
      </c>
      <c r="C43">
        <v>731100</v>
      </c>
      <c r="D43" t="s">
        <v>508</v>
      </c>
      <c r="I43">
        <v>304788355</v>
      </c>
      <c r="J43" t="s">
        <v>815</v>
      </c>
      <c r="K43" t="s">
        <v>816</v>
      </c>
      <c r="L43" t="s">
        <v>817</v>
      </c>
      <c r="M43" t="s">
        <v>655</v>
      </c>
      <c r="N43" t="s">
        <v>818</v>
      </c>
      <c r="O43" t="s">
        <v>819</v>
      </c>
      <c r="Q43" t="s">
        <v>80</v>
      </c>
      <c r="R43" t="s">
        <v>590</v>
      </c>
      <c r="S43" t="s">
        <v>590</v>
      </c>
      <c r="T43" s="31" t="s">
        <v>590</v>
      </c>
      <c r="U43" t="s">
        <v>590</v>
      </c>
      <c r="V43" s="31" t="s">
        <v>590</v>
      </c>
      <c r="W43" t="s">
        <v>590</v>
      </c>
      <c r="X43" s="31" t="s">
        <v>590</v>
      </c>
      <c r="Y43" t="s">
        <v>590</v>
      </c>
      <c r="Z43" s="31" t="s">
        <v>590</v>
      </c>
      <c r="AA43" t="s">
        <v>590</v>
      </c>
      <c r="AB43" s="31" t="s">
        <v>590</v>
      </c>
      <c r="AD43" t="s">
        <v>590</v>
      </c>
      <c r="AE43" t="s">
        <v>590</v>
      </c>
      <c r="AF43" s="31" t="s">
        <v>590</v>
      </c>
      <c r="AG43" t="s">
        <v>590</v>
      </c>
      <c r="AH43" s="31" t="s">
        <v>590</v>
      </c>
      <c r="AI43" t="s">
        <v>590</v>
      </c>
      <c r="AJ43" s="31" t="s">
        <v>590</v>
      </c>
      <c r="AK43" t="s">
        <v>590</v>
      </c>
      <c r="AL43" s="31" t="s">
        <v>590</v>
      </c>
      <c r="AM43" t="s">
        <v>590</v>
      </c>
      <c r="AN43" s="31" t="s">
        <v>590</v>
      </c>
      <c r="AO43" t="s">
        <v>590</v>
      </c>
      <c r="AP43" t="s">
        <v>80</v>
      </c>
      <c r="AQ43">
        <v>43550</v>
      </c>
      <c r="AR43">
        <v>41989</v>
      </c>
      <c r="AS43" s="31">
        <v>-3.5843857634902408E-2</v>
      </c>
      <c r="AT43">
        <v>96352</v>
      </c>
      <c r="AU43" s="31">
        <v>1.2946962299649909</v>
      </c>
      <c r="AV43">
        <v>201924</v>
      </c>
      <c r="AW43" s="31">
        <v>1.0956908003985386</v>
      </c>
      <c r="AX43">
        <v>203378</v>
      </c>
      <c r="AY43" s="31">
        <v>7.2007289871436776E-3</v>
      </c>
      <c r="AZ43">
        <v>211576</v>
      </c>
      <c r="BA43" s="31">
        <v>4.030917798385273E-2</v>
      </c>
      <c r="BB43">
        <v>12235</v>
      </c>
      <c r="BC43">
        <v>-561</v>
      </c>
      <c r="BD43" s="31">
        <v>-1.0458520637515325</v>
      </c>
      <c r="BE43">
        <v>9803</v>
      </c>
      <c r="BF43" s="31">
        <v>18.474153297682701</v>
      </c>
      <c r="BG43">
        <v>25138</v>
      </c>
      <c r="BH43" s="31">
        <v>1.5643170458023055</v>
      </c>
      <c r="BI43">
        <v>28667</v>
      </c>
      <c r="BJ43" s="31">
        <v>0.14038507438937067</v>
      </c>
      <c r="BK43">
        <v>1076</v>
      </c>
      <c r="BL43" s="31">
        <v>-0.9624655527261311</v>
      </c>
      <c r="BM43" t="s">
        <v>820</v>
      </c>
      <c r="BN43" t="s">
        <v>821</v>
      </c>
      <c r="BO43" t="s">
        <v>80</v>
      </c>
      <c r="BP43" t="s">
        <v>80</v>
      </c>
      <c r="BQ43" t="s">
        <v>80</v>
      </c>
      <c r="BR43" t="s">
        <v>95</v>
      </c>
      <c r="BS43" t="s">
        <v>822</v>
      </c>
    </row>
    <row r="44" spans="1:71" x14ac:dyDescent="0.2">
      <c r="A44" t="s">
        <v>823</v>
      </c>
      <c r="B44" t="s">
        <v>80</v>
      </c>
      <c r="C44">
        <v>702100</v>
      </c>
      <c r="F44" t="s">
        <v>300</v>
      </c>
      <c r="I44">
        <v>124130081</v>
      </c>
      <c r="J44" t="s">
        <v>824</v>
      </c>
      <c r="K44" t="s">
        <v>825</v>
      </c>
      <c r="L44" t="s">
        <v>826</v>
      </c>
      <c r="M44" t="s">
        <v>77</v>
      </c>
      <c r="N44" t="s">
        <v>827</v>
      </c>
      <c r="O44" t="s">
        <v>828</v>
      </c>
      <c r="Q44" t="s">
        <v>80</v>
      </c>
      <c r="R44" t="s">
        <v>513</v>
      </c>
      <c r="S44" t="s">
        <v>513</v>
      </c>
      <c r="T44" s="31">
        <v>0</v>
      </c>
      <c r="U44" t="s">
        <v>513</v>
      </c>
      <c r="V44" s="31">
        <v>0</v>
      </c>
      <c r="W44" t="s">
        <v>513</v>
      </c>
      <c r="X44" s="31">
        <v>0</v>
      </c>
      <c r="Y44" t="s">
        <v>636</v>
      </c>
      <c r="Z44" s="31">
        <v>-0.33333333333333331</v>
      </c>
      <c r="AA44" t="s">
        <v>636</v>
      </c>
      <c r="AB44" s="31">
        <v>0</v>
      </c>
      <c r="AC44">
        <v>2</v>
      </c>
      <c r="AD44" t="s">
        <v>590</v>
      </c>
      <c r="AE44" t="s">
        <v>590</v>
      </c>
      <c r="AF44" s="31" t="s">
        <v>590</v>
      </c>
      <c r="AG44" t="s">
        <v>590</v>
      </c>
      <c r="AH44" s="31" t="s">
        <v>590</v>
      </c>
      <c r="AI44" t="s">
        <v>590</v>
      </c>
      <c r="AJ44" s="31" t="s">
        <v>590</v>
      </c>
      <c r="AK44" t="s">
        <v>590</v>
      </c>
      <c r="AL44" s="31" t="s">
        <v>590</v>
      </c>
      <c r="AM44" t="s">
        <v>590</v>
      </c>
      <c r="AN44" s="31" t="s">
        <v>590</v>
      </c>
      <c r="AO44" t="s">
        <v>590</v>
      </c>
      <c r="AP44" t="s">
        <v>80</v>
      </c>
      <c r="AQ44">
        <v>179773</v>
      </c>
      <c r="AR44">
        <v>155093</v>
      </c>
      <c r="AS44" s="31">
        <v>-0.13728424179381776</v>
      </c>
      <c r="AT44">
        <v>159105</v>
      </c>
      <c r="AU44" s="31">
        <v>2.5868349957767274E-2</v>
      </c>
      <c r="AV44">
        <v>167838</v>
      </c>
      <c r="AW44" s="31">
        <v>5.4888281323654191E-2</v>
      </c>
      <c r="AX44">
        <v>177479</v>
      </c>
      <c r="AY44" s="31">
        <v>5.7442295546896414E-2</v>
      </c>
      <c r="AZ44">
        <v>193289</v>
      </c>
      <c r="BA44" s="31">
        <v>8.9080961691242341E-2</v>
      </c>
      <c r="BB44">
        <v>-8843</v>
      </c>
      <c r="BC44">
        <v>14832</v>
      </c>
      <c r="BD44" s="31">
        <v>2.6772588488069702</v>
      </c>
      <c r="BE44">
        <v>2492</v>
      </c>
      <c r="BF44" s="31">
        <v>-0.83198489751887805</v>
      </c>
      <c r="BG44">
        <v>-4052</v>
      </c>
      <c r="BH44" s="31">
        <v>-2.6260032102728732</v>
      </c>
      <c r="BI44">
        <v>6521</v>
      </c>
      <c r="BJ44" s="31">
        <v>-2.609328726554788</v>
      </c>
      <c r="BK44">
        <v>9873</v>
      </c>
      <c r="BL44" s="31">
        <v>0.5140315902468946</v>
      </c>
      <c r="BM44" t="s">
        <v>829</v>
      </c>
      <c r="BN44" t="s">
        <v>830</v>
      </c>
      <c r="BO44" t="s">
        <v>831</v>
      </c>
      <c r="BP44" t="s">
        <v>80</v>
      </c>
      <c r="BQ44" t="s">
        <v>832</v>
      </c>
      <c r="BR44" t="s">
        <v>95</v>
      </c>
      <c r="BS44" t="s">
        <v>833</v>
      </c>
    </row>
    <row r="45" spans="1:71" x14ac:dyDescent="0.2">
      <c r="A45" t="s">
        <v>834</v>
      </c>
      <c r="B45" t="s">
        <v>80</v>
      </c>
      <c r="C45">
        <v>702200</v>
      </c>
      <c r="F45" t="s">
        <v>300</v>
      </c>
      <c r="I45">
        <v>306725040</v>
      </c>
      <c r="J45" t="s">
        <v>835</v>
      </c>
      <c r="K45" t="s">
        <v>836</v>
      </c>
      <c r="L45" t="s">
        <v>837</v>
      </c>
      <c r="M45" t="s">
        <v>77</v>
      </c>
      <c r="N45" t="s">
        <v>838</v>
      </c>
      <c r="O45" t="s">
        <v>839</v>
      </c>
      <c r="Q45" t="s">
        <v>80</v>
      </c>
      <c r="R45" t="s">
        <v>590</v>
      </c>
      <c r="S45" t="s">
        <v>590</v>
      </c>
      <c r="T45" s="31" t="s">
        <v>590</v>
      </c>
      <c r="U45" t="s">
        <v>590</v>
      </c>
      <c r="V45" s="31" t="s">
        <v>590</v>
      </c>
      <c r="W45" t="s">
        <v>590</v>
      </c>
      <c r="X45" s="31" t="s">
        <v>590</v>
      </c>
      <c r="Y45" t="s">
        <v>590</v>
      </c>
      <c r="Z45" s="31" t="s">
        <v>590</v>
      </c>
      <c r="AA45" t="s">
        <v>590</v>
      </c>
      <c r="AB45" s="31" t="s">
        <v>590</v>
      </c>
      <c r="AD45" t="s">
        <v>590</v>
      </c>
      <c r="AE45" t="s">
        <v>590</v>
      </c>
      <c r="AF45" s="31" t="s">
        <v>590</v>
      </c>
      <c r="AG45" t="s">
        <v>590</v>
      </c>
      <c r="AH45" s="31" t="s">
        <v>590</v>
      </c>
      <c r="AI45" t="s">
        <v>590</v>
      </c>
      <c r="AJ45" s="31" t="s">
        <v>590</v>
      </c>
      <c r="AK45" t="s">
        <v>590</v>
      </c>
      <c r="AL45" s="31" t="s">
        <v>590</v>
      </c>
      <c r="AM45" t="s">
        <v>590</v>
      </c>
      <c r="AN45" s="31" t="s">
        <v>590</v>
      </c>
      <c r="AO45" t="s">
        <v>590</v>
      </c>
      <c r="AP45" t="s">
        <v>80</v>
      </c>
      <c r="AS45" s="31" t="s">
        <v>590</v>
      </c>
      <c r="AU45" s="31" t="s">
        <v>590</v>
      </c>
      <c r="AW45" s="31" t="s">
        <v>590</v>
      </c>
      <c r="AY45" s="31" t="s">
        <v>590</v>
      </c>
      <c r="AZ45">
        <v>168267</v>
      </c>
      <c r="BA45" s="31" t="s">
        <v>590</v>
      </c>
      <c r="BD45" s="31" t="s">
        <v>590</v>
      </c>
      <c r="BF45" s="31" t="s">
        <v>590</v>
      </c>
      <c r="BH45" s="31" t="s">
        <v>590</v>
      </c>
      <c r="BJ45" s="31" t="s">
        <v>590</v>
      </c>
      <c r="BK45">
        <v>66604</v>
      </c>
      <c r="BL45" s="31" t="s">
        <v>590</v>
      </c>
      <c r="BM45" t="s">
        <v>80</v>
      </c>
      <c r="BN45" t="s">
        <v>840</v>
      </c>
      <c r="BO45" t="s">
        <v>80</v>
      </c>
      <c r="BP45" t="s">
        <v>80</v>
      </c>
      <c r="BQ45" t="s">
        <v>80</v>
      </c>
      <c r="BR45" t="s">
        <v>95</v>
      </c>
      <c r="BS45" t="s">
        <v>841</v>
      </c>
    </row>
    <row r="46" spans="1:71" x14ac:dyDescent="0.2">
      <c r="A46" t="s">
        <v>842</v>
      </c>
      <c r="B46" t="s">
        <v>843</v>
      </c>
      <c r="C46">
        <v>702200</v>
      </c>
      <c r="D46" t="s">
        <v>844</v>
      </c>
      <c r="I46">
        <v>302982411</v>
      </c>
      <c r="J46" t="s">
        <v>845</v>
      </c>
      <c r="K46" t="s">
        <v>846</v>
      </c>
      <c r="L46" t="s">
        <v>847</v>
      </c>
      <c r="M46" t="s">
        <v>171</v>
      </c>
      <c r="N46" t="s">
        <v>848</v>
      </c>
      <c r="O46" t="s">
        <v>849</v>
      </c>
      <c r="P46">
        <v>37067603353</v>
      </c>
      <c r="Q46" t="s">
        <v>80</v>
      </c>
      <c r="R46" t="s">
        <v>590</v>
      </c>
      <c r="S46" t="s">
        <v>590</v>
      </c>
      <c r="T46" s="31" t="s">
        <v>590</v>
      </c>
      <c r="U46" t="s">
        <v>590</v>
      </c>
      <c r="V46" s="31" t="s">
        <v>590</v>
      </c>
      <c r="W46" t="s">
        <v>752</v>
      </c>
      <c r="X46" s="31" t="s">
        <v>590</v>
      </c>
      <c r="Y46" t="s">
        <v>752</v>
      </c>
      <c r="Z46" s="31">
        <v>0</v>
      </c>
      <c r="AA46" t="s">
        <v>752</v>
      </c>
      <c r="AB46" s="31">
        <v>0</v>
      </c>
      <c r="AC46">
        <v>1</v>
      </c>
      <c r="AD46" t="s">
        <v>590</v>
      </c>
      <c r="AE46" t="s">
        <v>590</v>
      </c>
      <c r="AF46" s="31" t="s">
        <v>590</v>
      </c>
      <c r="AG46" t="s">
        <v>590</v>
      </c>
      <c r="AH46" s="31" t="s">
        <v>590</v>
      </c>
      <c r="AI46" t="s">
        <v>590</v>
      </c>
      <c r="AJ46" s="31" t="s">
        <v>590</v>
      </c>
      <c r="AK46" t="s">
        <v>590</v>
      </c>
      <c r="AL46" s="31" t="s">
        <v>590</v>
      </c>
      <c r="AM46" t="s">
        <v>590</v>
      </c>
      <c r="AN46" s="31" t="s">
        <v>590</v>
      </c>
      <c r="AO46" t="s">
        <v>590</v>
      </c>
      <c r="AP46">
        <v>0.76</v>
      </c>
      <c r="AS46" s="31" t="s">
        <v>590</v>
      </c>
      <c r="AT46">
        <v>20541</v>
      </c>
      <c r="AU46" s="31" t="s">
        <v>590</v>
      </c>
      <c r="AV46">
        <v>109420</v>
      </c>
      <c r="AW46" s="31">
        <v>4.3269071612871821</v>
      </c>
      <c r="AX46">
        <v>87472</v>
      </c>
      <c r="AY46" s="31">
        <v>-0.20058490221166148</v>
      </c>
      <c r="AZ46">
        <v>124520</v>
      </c>
      <c r="BA46" s="31">
        <v>0.42354124748490946</v>
      </c>
      <c r="BB46">
        <v>0</v>
      </c>
      <c r="BC46">
        <v>0</v>
      </c>
      <c r="BD46" s="31" t="s">
        <v>590</v>
      </c>
      <c r="BE46">
        <v>8091</v>
      </c>
      <c r="BF46" s="31" t="s">
        <v>590</v>
      </c>
      <c r="BG46">
        <v>-1170</v>
      </c>
      <c r="BH46" s="31">
        <v>-1.1446051167964404</v>
      </c>
      <c r="BI46">
        <v>-8800</v>
      </c>
      <c r="BJ46" s="31">
        <v>-6.5213675213675204</v>
      </c>
      <c r="BK46">
        <v>4937</v>
      </c>
      <c r="BL46" s="31">
        <v>1.5610227272727299</v>
      </c>
      <c r="BM46" t="s">
        <v>850</v>
      </c>
      <c r="BN46" t="s">
        <v>851</v>
      </c>
      <c r="BO46" t="s">
        <v>852</v>
      </c>
      <c r="BP46" t="s">
        <v>80</v>
      </c>
      <c r="BQ46" t="s">
        <v>853</v>
      </c>
      <c r="BR46" t="s">
        <v>95</v>
      </c>
      <c r="BS46" t="s">
        <v>854</v>
      </c>
    </row>
    <row r="47" spans="1:71" x14ac:dyDescent="0.2">
      <c r="A47" t="s">
        <v>855</v>
      </c>
      <c r="B47" t="s">
        <v>856</v>
      </c>
      <c r="C47">
        <v>731100</v>
      </c>
      <c r="D47" t="s">
        <v>508</v>
      </c>
      <c r="I47">
        <v>304300090</v>
      </c>
      <c r="J47" t="s">
        <v>857</v>
      </c>
      <c r="K47" t="s">
        <v>858</v>
      </c>
      <c r="L47" t="s">
        <v>859</v>
      </c>
      <c r="M47" t="s">
        <v>860</v>
      </c>
      <c r="N47" t="s">
        <v>861</v>
      </c>
      <c r="O47" t="s">
        <v>80</v>
      </c>
      <c r="P47">
        <v>37060953631</v>
      </c>
      <c r="Q47" t="s">
        <v>862</v>
      </c>
      <c r="R47" t="s">
        <v>752</v>
      </c>
      <c r="S47" t="s">
        <v>590</v>
      </c>
      <c r="T47" s="31">
        <v>-1</v>
      </c>
      <c r="U47" t="s">
        <v>590</v>
      </c>
      <c r="V47" s="31" t="s">
        <v>590</v>
      </c>
      <c r="W47" t="s">
        <v>590</v>
      </c>
      <c r="X47" s="31" t="s">
        <v>590</v>
      </c>
      <c r="Y47" t="s">
        <v>590</v>
      </c>
      <c r="Z47" s="31" t="s">
        <v>590</v>
      </c>
      <c r="AA47" t="s">
        <v>590</v>
      </c>
      <c r="AB47" s="31" t="s">
        <v>590</v>
      </c>
      <c r="AD47" t="s">
        <v>590</v>
      </c>
      <c r="AE47" t="s">
        <v>590</v>
      </c>
      <c r="AF47" s="31" t="s">
        <v>590</v>
      </c>
      <c r="AG47" t="s">
        <v>590</v>
      </c>
      <c r="AH47" s="31" t="s">
        <v>590</v>
      </c>
      <c r="AI47" t="s">
        <v>590</v>
      </c>
      <c r="AJ47" s="31" t="s">
        <v>590</v>
      </c>
      <c r="AK47" t="s">
        <v>590</v>
      </c>
      <c r="AL47" s="31" t="s">
        <v>590</v>
      </c>
      <c r="AM47" t="s">
        <v>590</v>
      </c>
      <c r="AN47" s="31" t="s">
        <v>590</v>
      </c>
      <c r="AO47" t="s">
        <v>590</v>
      </c>
      <c r="AP47">
        <v>289.06</v>
      </c>
      <c r="AQ47">
        <v>123105</v>
      </c>
      <c r="AR47">
        <v>97942</v>
      </c>
      <c r="AS47" s="31">
        <v>-0.2044027456236546</v>
      </c>
      <c r="AT47">
        <v>136496</v>
      </c>
      <c r="AU47" s="31">
        <v>0.39364113454901883</v>
      </c>
      <c r="AV47">
        <v>200535</v>
      </c>
      <c r="AW47" s="31">
        <v>0.4691639315437815</v>
      </c>
      <c r="AX47">
        <v>177910</v>
      </c>
      <c r="AY47" s="31">
        <v>-0.11282319794549579</v>
      </c>
      <c r="AZ47">
        <v>122111</v>
      </c>
      <c r="BA47" s="31">
        <v>-0.31363610814456749</v>
      </c>
      <c r="BB47">
        <v>38230</v>
      </c>
      <c r="BC47">
        <v>-3183</v>
      </c>
      <c r="BD47" s="31">
        <v>-1.0832592205074549</v>
      </c>
      <c r="BE47">
        <v>9646</v>
      </c>
      <c r="BF47" s="31">
        <v>4.0304743952246298</v>
      </c>
      <c r="BG47">
        <v>10605</v>
      </c>
      <c r="BH47" s="31">
        <v>9.9419448476052247E-2</v>
      </c>
      <c r="BI47">
        <v>42203</v>
      </c>
      <c r="BJ47" s="31">
        <v>2.9795379537953797</v>
      </c>
      <c r="BK47">
        <v>-20529</v>
      </c>
      <c r="BL47" s="31">
        <v>-1.4864346136530577</v>
      </c>
      <c r="BM47" t="s">
        <v>863</v>
      </c>
      <c r="BN47" t="s">
        <v>864</v>
      </c>
      <c r="BO47" t="s">
        <v>865</v>
      </c>
      <c r="BP47" t="s">
        <v>80</v>
      </c>
      <c r="BQ47" t="s">
        <v>80</v>
      </c>
      <c r="BR47" t="s">
        <v>628</v>
      </c>
      <c r="BS47" t="s">
        <v>866</v>
      </c>
    </row>
    <row r="48" spans="1:71" x14ac:dyDescent="0.2">
      <c r="A48" t="s">
        <v>867</v>
      </c>
      <c r="B48" t="s">
        <v>868</v>
      </c>
      <c r="C48">
        <v>731100</v>
      </c>
      <c r="D48" t="s">
        <v>508</v>
      </c>
      <c r="I48">
        <v>306676401</v>
      </c>
      <c r="J48" t="s">
        <v>869</v>
      </c>
      <c r="K48" t="s">
        <v>870</v>
      </c>
      <c r="L48" t="s">
        <v>871</v>
      </c>
      <c r="M48" t="s">
        <v>77</v>
      </c>
      <c r="N48" t="s">
        <v>872</v>
      </c>
      <c r="O48" t="s">
        <v>873</v>
      </c>
      <c r="P48">
        <v>37063004564</v>
      </c>
      <c r="Q48" t="s">
        <v>80</v>
      </c>
      <c r="R48" t="s">
        <v>590</v>
      </c>
      <c r="S48" t="s">
        <v>590</v>
      </c>
      <c r="T48" s="31" t="s">
        <v>590</v>
      </c>
      <c r="U48" t="s">
        <v>590</v>
      </c>
      <c r="V48" s="31" t="s">
        <v>590</v>
      </c>
      <c r="W48" t="s">
        <v>590</v>
      </c>
      <c r="X48" s="31" t="s">
        <v>590</v>
      </c>
      <c r="Y48" t="s">
        <v>590</v>
      </c>
      <c r="Z48" s="31" t="s">
        <v>590</v>
      </c>
      <c r="AA48" t="s">
        <v>590</v>
      </c>
      <c r="AB48" s="31" t="s">
        <v>590</v>
      </c>
      <c r="AD48" t="s">
        <v>590</v>
      </c>
      <c r="AE48" t="s">
        <v>590</v>
      </c>
      <c r="AF48" s="31" t="s">
        <v>590</v>
      </c>
      <c r="AG48" t="s">
        <v>590</v>
      </c>
      <c r="AH48" s="31" t="s">
        <v>590</v>
      </c>
      <c r="AI48" t="s">
        <v>590</v>
      </c>
      <c r="AJ48" s="31" t="s">
        <v>590</v>
      </c>
      <c r="AK48" t="s">
        <v>590</v>
      </c>
      <c r="AL48" s="31" t="s">
        <v>590</v>
      </c>
      <c r="AM48" t="s">
        <v>590</v>
      </c>
      <c r="AN48" s="31" t="s">
        <v>590</v>
      </c>
      <c r="AO48" t="s">
        <v>590</v>
      </c>
      <c r="AP48" t="s">
        <v>80</v>
      </c>
      <c r="AS48" s="31" t="s">
        <v>590</v>
      </c>
      <c r="AU48" s="31" t="s">
        <v>590</v>
      </c>
      <c r="AW48" s="31" t="s">
        <v>590</v>
      </c>
      <c r="AY48" s="31" t="s">
        <v>590</v>
      </c>
      <c r="AZ48">
        <v>115049</v>
      </c>
      <c r="BA48" s="31" t="s">
        <v>590</v>
      </c>
      <c r="BD48" s="31" t="s">
        <v>590</v>
      </c>
      <c r="BF48" s="31" t="s">
        <v>590</v>
      </c>
      <c r="BH48" s="31" t="s">
        <v>590</v>
      </c>
      <c r="BJ48" s="31" t="s">
        <v>590</v>
      </c>
      <c r="BK48">
        <v>53588</v>
      </c>
      <c r="BL48" s="31" t="s">
        <v>590</v>
      </c>
      <c r="BM48" t="s">
        <v>874</v>
      </c>
      <c r="BN48" t="s">
        <v>875</v>
      </c>
      <c r="BO48" t="s">
        <v>80</v>
      </c>
      <c r="BP48" t="s">
        <v>80</v>
      </c>
      <c r="BQ48" t="s">
        <v>80</v>
      </c>
      <c r="BR48" t="s">
        <v>189</v>
      </c>
      <c r="BS48" t="s">
        <v>876</v>
      </c>
    </row>
    <row r="49" spans="1:71" x14ac:dyDescent="0.2">
      <c r="A49" t="s">
        <v>877</v>
      </c>
      <c r="B49" t="s">
        <v>80</v>
      </c>
      <c r="C49">
        <v>702200</v>
      </c>
      <c r="D49" t="s">
        <v>844</v>
      </c>
      <c r="I49">
        <v>300646038</v>
      </c>
      <c r="J49" t="s">
        <v>878</v>
      </c>
      <c r="K49" t="s">
        <v>879</v>
      </c>
      <c r="L49" t="s">
        <v>880</v>
      </c>
      <c r="M49" t="s">
        <v>171</v>
      </c>
      <c r="N49" t="s">
        <v>881</v>
      </c>
      <c r="O49" t="s">
        <v>80</v>
      </c>
      <c r="P49">
        <v>37061013070</v>
      </c>
      <c r="Q49" t="s">
        <v>80</v>
      </c>
      <c r="R49" t="s">
        <v>589</v>
      </c>
      <c r="S49" t="s">
        <v>515</v>
      </c>
      <c r="T49" s="31">
        <v>0.14285714285714285</v>
      </c>
      <c r="U49" t="s">
        <v>589</v>
      </c>
      <c r="V49" s="31">
        <v>-0.125</v>
      </c>
      <c r="W49" t="s">
        <v>705</v>
      </c>
      <c r="X49" s="31">
        <v>-0.14285714285714285</v>
      </c>
      <c r="Y49" t="s">
        <v>705</v>
      </c>
      <c r="Z49" s="31">
        <v>0</v>
      </c>
      <c r="AA49" t="s">
        <v>514</v>
      </c>
      <c r="AB49" s="31">
        <v>-0.16666666666666666</v>
      </c>
      <c r="AC49">
        <v>4</v>
      </c>
      <c r="AD49" t="s">
        <v>882</v>
      </c>
      <c r="AE49" t="s">
        <v>883</v>
      </c>
      <c r="AF49" s="31">
        <v>-6.1349693251533744E-3</v>
      </c>
      <c r="AG49" t="s">
        <v>884</v>
      </c>
      <c r="AH49" s="31">
        <v>9.2592592592592587E-2</v>
      </c>
      <c r="AI49" t="s">
        <v>885</v>
      </c>
      <c r="AJ49" s="31">
        <v>-0.28135593220338984</v>
      </c>
      <c r="AK49" t="s">
        <v>886</v>
      </c>
      <c r="AL49" s="31">
        <v>-0.2617924528301887</v>
      </c>
      <c r="AM49" t="s">
        <v>887</v>
      </c>
      <c r="AN49" s="31">
        <v>-0.87646432374866878</v>
      </c>
      <c r="AO49" t="s">
        <v>888</v>
      </c>
      <c r="AP49" t="s">
        <v>80</v>
      </c>
      <c r="AQ49">
        <v>184041</v>
      </c>
      <c r="AR49">
        <v>185268</v>
      </c>
      <c r="AS49" s="31">
        <v>6.6669926809786954E-3</v>
      </c>
      <c r="AT49">
        <v>137096</v>
      </c>
      <c r="AU49" s="31">
        <v>-0.26001252239998274</v>
      </c>
      <c r="AV49">
        <v>176468</v>
      </c>
      <c r="AW49" s="31">
        <v>0.28718562175409934</v>
      </c>
      <c r="AX49">
        <v>145013</v>
      </c>
      <c r="AY49" s="31">
        <v>-0.17824761429834304</v>
      </c>
      <c r="AZ49">
        <v>87681</v>
      </c>
      <c r="BA49" s="31">
        <v>-0.39535765758931957</v>
      </c>
      <c r="BB49">
        <v>-34145</v>
      </c>
      <c r="BC49">
        <v>-45413</v>
      </c>
      <c r="BD49" s="31">
        <v>-0.33000439302972601</v>
      </c>
      <c r="BE49">
        <v>-69299</v>
      </c>
      <c r="BF49" s="31">
        <v>-0.52597273908352205</v>
      </c>
      <c r="BG49">
        <v>25601</v>
      </c>
      <c r="BH49" s="31">
        <v>1.36942813027605</v>
      </c>
      <c r="BI49">
        <v>35044</v>
      </c>
      <c r="BJ49" s="31">
        <v>0.36885277918831294</v>
      </c>
      <c r="BK49">
        <v>86705</v>
      </c>
      <c r="BL49" s="31">
        <v>1.4741753224517748</v>
      </c>
      <c r="BM49" t="s">
        <v>889</v>
      </c>
      <c r="BN49" t="s">
        <v>890</v>
      </c>
      <c r="BO49" t="s">
        <v>80</v>
      </c>
      <c r="BP49" t="s">
        <v>80</v>
      </c>
      <c r="BQ49" t="s">
        <v>80</v>
      </c>
      <c r="BR49" t="s">
        <v>891</v>
      </c>
      <c r="BS49" t="s">
        <v>892</v>
      </c>
    </row>
    <row r="50" spans="1:71" x14ac:dyDescent="0.2">
      <c r="A50" t="s">
        <v>893</v>
      </c>
      <c r="B50" t="s">
        <v>894</v>
      </c>
      <c r="C50">
        <v>731100</v>
      </c>
      <c r="D50" t="s">
        <v>508</v>
      </c>
      <c r="I50">
        <v>304686507</v>
      </c>
      <c r="J50" t="s">
        <v>895</v>
      </c>
      <c r="K50" t="s">
        <v>896</v>
      </c>
      <c r="L50" t="s">
        <v>897</v>
      </c>
      <c r="M50" t="s">
        <v>77</v>
      </c>
      <c r="N50" t="s">
        <v>898</v>
      </c>
      <c r="O50" t="s">
        <v>80</v>
      </c>
      <c r="P50">
        <v>37069483826</v>
      </c>
      <c r="Q50" t="s">
        <v>80</v>
      </c>
      <c r="R50" t="s">
        <v>590</v>
      </c>
      <c r="S50" t="s">
        <v>590</v>
      </c>
      <c r="T50" s="31" t="s">
        <v>590</v>
      </c>
      <c r="U50" t="s">
        <v>590</v>
      </c>
      <c r="V50" s="31" t="s">
        <v>590</v>
      </c>
      <c r="W50" t="s">
        <v>590</v>
      </c>
      <c r="X50" s="31" t="s">
        <v>590</v>
      </c>
      <c r="Y50" t="s">
        <v>590</v>
      </c>
      <c r="Z50" s="31" t="s">
        <v>590</v>
      </c>
      <c r="AA50" t="s">
        <v>590</v>
      </c>
      <c r="AB50" s="31" t="s">
        <v>590</v>
      </c>
      <c r="AD50" t="s">
        <v>590</v>
      </c>
      <c r="AE50" t="s">
        <v>590</v>
      </c>
      <c r="AF50" s="31" t="s">
        <v>590</v>
      </c>
      <c r="AG50" t="s">
        <v>590</v>
      </c>
      <c r="AH50" s="31" t="s">
        <v>590</v>
      </c>
      <c r="AI50" t="s">
        <v>590</v>
      </c>
      <c r="AJ50" s="31" t="s">
        <v>590</v>
      </c>
      <c r="AK50" t="s">
        <v>590</v>
      </c>
      <c r="AL50" s="31" t="s">
        <v>590</v>
      </c>
      <c r="AM50" t="s">
        <v>590</v>
      </c>
      <c r="AN50" s="31" t="s">
        <v>590</v>
      </c>
      <c r="AO50" t="s">
        <v>590</v>
      </c>
      <c r="AP50">
        <v>144.6</v>
      </c>
      <c r="AQ50">
        <v>38589</v>
      </c>
      <c r="AR50">
        <v>23608</v>
      </c>
      <c r="AS50" s="31">
        <v>-0.38821944077327736</v>
      </c>
      <c r="AT50">
        <v>42347</v>
      </c>
      <c r="AU50" s="31">
        <v>0.79375635377838016</v>
      </c>
      <c r="AV50">
        <v>56054</v>
      </c>
      <c r="AW50" s="31">
        <v>0.32368290551869083</v>
      </c>
      <c r="AX50">
        <v>77893</v>
      </c>
      <c r="AY50" s="31">
        <v>0.38960645092232488</v>
      </c>
      <c r="AZ50">
        <v>86746</v>
      </c>
      <c r="BA50" s="31">
        <v>0.11365591259805118</v>
      </c>
      <c r="BB50">
        <v>2266</v>
      </c>
      <c r="BC50">
        <v>-31</v>
      </c>
      <c r="BD50" s="31">
        <v>-1.0136804942630184</v>
      </c>
      <c r="BE50">
        <v>1180</v>
      </c>
      <c r="BF50" s="31">
        <v>39.064516129032299</v>
      </c>
      <c r="BG50">
        <v>2003</v>
      </c>
      <c r="BH50" s="31">
        <v>0.69745762711864412</v>
      </c>
      <c r="BI50">
        <v>-812</v>
      </c>
      <c r="BJ50" s="31">
        <v>-1.4053919121318024</v>
      </c>
      <c r="BK50">
        <v>7310</v>
      </c>
      <c r="BL50" s="31">
        <v>10.002463054187199</v>
      </c>
      <c r="BM50" t="s">
        <v>899</v>
      </c>
      <c r="BN50" t="s">
        <v>900</v>
      </c>
      <c r="BO50" t="s">
        <v>901</v>
      </c>
      <c r="BP50" t="s">
        <v>80</v>
      </c>
      <c r="BQ50" t="s">
        <v>80</v>
      </c>
      <c r="BR50" t="s">
        <v>189</v>
      </c>
      <c r="BS50" t="s">
        <v>902</v>
      </c>
    </row>
    <row r="51" spans="1:71" x14ac:dyDescent="0.2">
      <c r="A51" t="s">
        <v>903</v>
      </c>
      <c r="B51" t="s">
        <v>904</v>
      </c>
      <c r="C51">
        <v>731100</v>
      </c>
      <c r="D51" t="s">
        <v>508</v>
      </c>
      <c r="I51">
        <v>304405052</v>
      </c>
      <c r="J51" t="s">
        <v>80</v>
      </c>
      <c r="K51" t="s">
        <v>905</v>
      </c>
      <c r="L51" t="s">
        <v>906</v>
      </c>
      <c r="M51" t="s">
        <v>77</v>
      </c>
      <c r="N51" t="s">
        <v>907</v>
      </c>
      <c r="O51" t="s">
        <v>80</v>
      </c>
      <c r="P51">
        <v>37065097123</v>
      </c>
      <c r="Q51" t="s">
        <v>80</v>
      </c>
      <c r="R51" t="s">
        <v>590</v>
      </c>
      <c r="S51" t="s">
        <v>590</v>
      </c>
      <c r="T51" s="31" t="s">
        <v>590</v>
      </c>
      <c r="U51" t="s">
        <v>590</v>
      </c>
      <c r="V51" s="31" t="s">
        <v>590</v>
      </c>
      <c r="W51" t="s">
        <v>590</v>
      </c>
      <c r="X51" s="31" t="s">
        <v>590</v>
      </c>
      <c r="Y51" t="s">
        <v>590</v>
      </c>
      <c r="Z51" s="31" t="s">
        <v>590</v>
      </c>
      <c r="AA51" t="s">
        <v>752</v>
      </c>
      <c r="AB51" s="31" t="s">
        <v>590</v>
      </c>
      <c r="AC51">
        <v>1</v>
      </c>
      <c r="AD51" t="s">
        <v>590</v>
      </c>
      <c r="AE51" t="s">
        <v>590</v>
      </c>
      <c r="AF51" s="31" t="s">
        <v>590</v>
      </c>
      <c r="AG51" t="s">
        <v>590</v>
      </c>
      <c r="AH51" s="31" t="s">
        <v>590</v>
      </c>
      <c r="AI51" t="s">
        <v>590</v>
      </c>
      <c r="AJ51" s="31" t="s">
        <v>590</v>
      </c>
      <c r="AK51" t="s">
        <v>590</v>
      </c>
      <c r="AL51" s="31" t="s">
        <v>590</v>
      </c>
      <c r="AM51" t="s">
        <v>590</v>
      </c>
      <c r="AN51" s="31" t="s">
        <v>590</v>
      </c>
      <c r="AO51" t="s">
        <v>590</v>
      </c>
      <c r="AP51" t="s">
        <v>80</v>
      </c>
      <c r="AQ51">
        <v>3060</v>
      </c>
      <c r="AR51">
        <v>4301</v>
      </c>
      <c r="AS51" s="31">
        <v>0.40555555555555556</v>
      </c>
      <c r="AU51" s="31" t="s">
        <v>590</v>
      </c>
      <c r="AV51">
        <v>0</v>
      </c>
      <c r="AW51" s="31" t="s">
        <v>590</v>
      </c>
      <c r="AX51">
        <v>23740</v>
      </c>
      <c r="AY51" s="31" t="s">
        <v>590</v>
      </c>
      <c r="AZ51">
        <v>60840</v>
      </c>
      <c r="BA51" s="31">
        <v>1.5627632687447346</v>
      </c>
      <c r="BB51">
        <v>-3087</v>
      </c>
      <c r="BC51">
        <v>1</v>
      </c>
      <c r="BD51" s="31">
        <v>1.0003239390994501</v>
      </c>
      <c r="BE51">
        <v>0</v>
      </c>
      <c r="BF51" s="31">
        <v>-1</v>
      </c>
      <c r="BG51">
        <v>0</v>
      </c>
      <c r="BH51" s="31">
        <v>0</v>
      </c>
      <c r="BI51">
        <v>18605</v>
      </c>
      <c r="BJ51" s="31" t="s">
        <v>590</v>
      </c>
      <c r="BK51">
        <v>31289</v>
      </c>
      <c r="BL51" s="31">
        <v>0.68175221714592849</v>
      </c>
      <c r="BM51" t="s">
        <v>908</v>
      </c>
      <c r="BN51" t="s">
        <v>909</v>
      </c>
      <c r="BO51" t="s">
        <v>80</v>
      </c>
      <c r="BP51" t="s">
        <v>80</v>
      </c>
      <c r="BQ51" t="s">
        <v>910</v>
      </c>
      <c r="BR51" t="s">
        <v>95</v>
      </c>
      <c r="BS51" t="s">
        <v>911</v>
      </c>
    </row>
    <row r="52" spans="1:71" x14ac:dyDescent="0.2">
      <c r="A52" t="s">
        <v>912</v>
      </c>
      <c r="B52" t="s">
        <v>913</v>
      </c>
      <c r="C52">
        <v>731100</v>
      </c>
      <c r="D52" t="s">
        <v>508</v>
      </c>
      <c r="I52">
        <v>304719793</v>
      </c>
      <c r="J52" t="s">
        <v>914</v>
      </c>
      <c r="K52" t="s">
        <v>915</v>
      </c>
      <c r="L52" t="s">
        <v>916</v>
      </c>
      <c r="M52" t="s">
        <v>77</v>
      </c>
      <c r="N52" t="s">
        <v>917</v>
      </c>
      <c r="O52" t="s">
        <v>80</v>
      </c>
      <c r="P52">
        <v>37068725465</v>
      </c>
      <c r="Q52" t="s">
        <v>80</v>
      </c>
      <c r="R52" t="s">
        <v>514</v>
      </c>
      <c r="S52" t="s">
        <v>514</v>
      </c>
      <c r="T52" s="31">
        <v>0</v>
      </c>
      <c r="U52" t="s">
        <v>589</v>
      </c>
      <c r="V52" s="31">
        <v>0.4</v>
      </c>
      <c r="W52" t="s">
        <v>705</v>
      </c>
      <c r="X52" s="31">
        <v>-0.14285714285714285</v>
      </c>
      <c r="Y52" t="s">
        <v>588</v>
      </c>
      <c r="Z52" s="31">
        <v>-0.33333333333333331</v>
      </c>
      <c r="AA52" t="s">
        <v>636</v>
      </c>
      <c r="AB52" s="31">
        <v>-0.5</v>
      </c>
      <c r="AC52">
        <v>1</v>
      </c>
      <c r="AD52" t="s">
        <v>725</v>
      </c>
      <c r="AE52" t="s">
        <v>918</v>
      </c>
      <c r="AF52" s="31">
        <v>-0.22544169611307421</v>
      </c>
      <c r="AG52" t="s">
        <v>919</v>
      </c>
      <c r="AH52" s="31">
        <v>0.21624087591240876</v>
      </c>
      <c r="AI52" t="s">
        <v>179</v>
      </c>
      <c r="AJ52" s="31">
        <v>0.15153788447111777</v>
      </c>
      <c r="AK52" t="s">
        <v>920</v>
      </c>
      <c r="AL52" s="31">
        <v>0.13029315960912052</v>
      </c>
      <c r="AM52" t="s">
        <v>590</v>
      </c>
      <c r="AN52" s="31" t="s">
        <v>590</v>
      </c>
      <c r="AO52" t="s">
        <v>590</v>
      </c>
      <c r="AP52" t="s">
        <v>80</v>
      </c>
      <c r="AQ52">
        <v>196226</v>
      </c>
      <c r="AR52">
        <v>99713</v>
      </c>
      <c r="AS52" s="31">
        <v>-0.49184613659759663</v>
      </c>
      <c r="AT52">
        <v>416339</v>
      </c>
      <c r="AU52" s="31">
        <v>3.1753733214325113</v>
      </c>
      <c r="AV52">
        <v>265483</v>
      </c>
      <c r="AW52" s="31">
        <v>-0.3623393436598541</v>
      </c>
      <c r="AX52">
        <v>197038</v>
      </c>
      <c r="AY52" s="31">
        <v>-0.25781311797742229</v>
      </c>
      <c r="AZ52">
        <v>46405</v>
      </c>
      <c r="BA52" s="31">
        <v>-0.76448705325876232</v>
      </c>
      <c r="BB52">
        <v>536</v>
      </c>
      <c r="BC52">
        <v>-21167</v>
      </c>
      <c r="BD52" s="31">
        <v>-40.490671641791046</v>
      </c>
      <c r="BE52">
        <v>8338</v>
      </c>
      <c r="BF52" s="31">
        <v>1.3939150564558001</v>
      </c>
      <c r="BG52">
        <v>1474</v>
      </c>
      <c r="BH52" s="31">
        <v>-0.82321899736147752</v>
      </c>
      <c r="BI52">
        <v>1478</v>
      </c>
      <c r="BJ52" s="31">
        <v>2.7137042062415195E-3</v>
      </c>
      <c r="BK52">
        <v>-48434</v>
      </c>
      <c r="BL52" s="31">
        <v>-33.769959404600812</v>
      </c>
      <c r="BM52" t="s">
        <v>921</v>
      </c>
      <c r="BN52" t="s">
        <v>922</v>
      </c>
      <c r="BO52" t="s">
        <v>80</v>
      </c>
      <c r="BP52" t="s">
        <v>80</v>
      </c>
      <c r="BQ52" t="s">
        <v>80</v>
      </c>
      <c r="BR52" t="s">
        <v>891</v>
      </c>
      <c r="BS52" t="s">
        <v>923</v>
      </c>
    </row>
    <row r="53" spans="1:71" x14ac:dyDescent="0.2">
      <c r="A53" t="s">
        <v>924</v>
      </c>
      <c r="B53" t="s">
        <v>925</v>
      </c>
      <c r="C53">
        <v>731100</v>
      </c>
      <c r="D53" t="s">
        <v>508</v>
      </c>
      <c r="I53">
        <v>303020484</v>
      </c>
      <c r="J53" t="s">
        <v>926</v>
      </c>
      <c r="K53" t="s">
        <v>927</v>
      </c>
      <c r="L53" t="s">
        <v>928</v>
      </c>
      <c r="M53" t="s">
        <v>77</v>
      </c>
      <c r="N53" t="s">
        <v>929</v>
      </c>
      <c r="O53" t="s">
        <v>80</v>
      </c>
      <c r="P53">
        <v>37065514049</v>
      </c>
      <c r="Q53" t="s">
        <v>80</v>
      </c>
      <c r="R53" t="s">
        <v>752</v>
      </c>
      <c r="S53" t="s">
        <v>752</v>
      </c>
      <c r="T53" s="31">
        <v>0</v>
      </c>
      <c r="U53" t="s">
        <v>752</v>
      </c>
      <c r="V53" s="31">
        <v>0</v>
      </c>
      <c r="W53" t="s">
        <v>752</v>
      </c>
      <c r="X53" s="31">
        <v>0</v>
      </c>
      <c r="Y53" t="s">
        <v>752</v>
      </c>
      <c r="Z53" s="31">
        <v>0</v>
      </c>
      <c r="AA53" t="s">
        <v>752</v>
      </c>
      <c r="AB53" s="31">
        <v>0</v>
      </c>
      <c r="AC53">
        <v>1</v>
      </c>
      <c r="AD53" t="s">
        <v>590</v>
      </c>
      <c r="AE53" t="s">
        <v>590</v>
      </c>
      <c r="AF53" s="31" t="s">
        <v>590</v>
      </c>
      <c r="AG53" t="s">
        <v>590</v>
      </c>
      <c r="AH53" s="31" t="s">
        <v>590</v>
      </c>
      <c r="AI53" t="s">
        <v>590</v>
      </c>
      <c r="AJ53" s="31" t="s">
        <v>590</v>
      </c>
      <c r="AK53" t="s">
        <v>590</v>
      </c>
      <c r="AL53" s="31" t="s">
        <v>590</v>
      </c>
      <c r="AM53" t="s">
        <v>590</v>
      </c>
      <c r="AN53" s="31" t="s">
        <v>590</v>
      </c>
      <c r="AO53" t="s">
        <v>590</v>
      </c>
      <c r="AP53" t="s">
        <v>80</v>
      </c>
      <c r="AQ53">
        <v>22054</v>
      </c>
      <c r="AR53">
        <v>17953</v>
      </c>
      <c r="AS53" s="31">
        <v>-0.18595266164868052</v>
      </c>
      <c r="AT53">
        <v>31688</v>
      </c>
      <c r="AU53" s="31">
        <v>0.76505319445218067</v>
      </c>
      <c r="AV53">
        <v>64112</v>
      </c>
      <c r="AW53" s="31">
        <v>1.0232264579651602</v>
      </c>
      <c r="AX53">
        <v>50177</v>
      </c>
      <c r="AY53" s="31">
        <v>-0.21735400549039183</v>
      </c>
      <c r="AZ53">
        <v>41486</v>
      </c>
      <c r="BA53" s="31">
        <v>-0.17320684775893339</v>
      </c>
      <c r="BB53">
        <v>467</v>
      </c>
      <c r="BC53">
        <v>1177</v>
      </c>
      <c r="BD53" s="31">
        <v>1.5203426124197001</v>
      </c>
      <c r="BE53">
        <v>1376</v>
      </c>
      <c r="BF53" s="31">
        <v>0.16907391673746813</v>
      </c>
      <c r="BG53">
        <v>1818</v>
      </c>
      <c r="BH53" s="31">
        <v>0.32122093023255816</v>
      </c>
      <c r="BI53">
        <v>2050</v>
      </c>
      <c r="BJ53" s="31">
        <v>0.12761276127612761</v>
      </c>
      <c r="BK53">
        <v>436</v>
      </c>
      <c r="BL53" s="31">
        <v>-0.78731707317073174</v>
      </c>
      <c r="BM53" t="s">
        <v>930</v>
      </c>
      <c r="BN53" t="s">
        <v>931</v>
      </c>
      <c r="BO53" t="s">
        <v>80</v>
      </c>
      <c r="BP53" t="s">
        <v>80</v>
      </c>
      <c r="BQ53" t="s">
        <v>80</v>
      </c>
      <c r="BR53" t="s">
        <v>189</v>
      </c>
      <c r="BS53" t="s">
        <v>932</v>
      </c>
    </row>
    <row r="54" spans="1:71" x14ac:dyDescent="0.2">
      <c r="A54" t="s">
        <v>933</v>
      </c>
      <c r="B54" t="s">
        <v>80</v>
      </c>
      <c r="C54">
        <v>702100</v>
      </c>
      <c r="D54" t="s">
        <v>763</v>
      </c>
      <c r="I54">
        <v>300132599</v>
      </c>
      <c r="J54" t="s">
        <v>934</v>
      </c>
      <c r="K54" t="s">
        <v>935</v>
      </c>
      <c r="L54" t="s">
        <v>936</v>
      </c>
      <c r="M54" t="s">
        <v>171</v>
      </c>
      <c r="N54" t="s">
        <v>937</v>
      </c>
      <c r="O54" t="s">
        <v>80</v>
      </c>
      <c r="P54">
        <v>37065630386</v>
      </c>
      <c r="Q54" t="s">
        <v>80</v>
      </c>
      <c r="R54" t="s">
        <v>752</v>
      </c>
      <c r="S54" t="s">
        <v>636</v>
      </c>
      <c r="T54" s="31">
        <v>1</v>
      </c>
      <c r="U54" t="s">
        <v>752</v>
      </c>
      <c r="V54" s="31">
        <v>-0.5</v>
      </c>
      <c r="W54" t="s">
        <v>752</v>
      </c>
      <c r="X54" s="31">
        <v>0</v>
      </c>
      <c r="Y54" t="s">
        <v>752</v>
      </c>
      <c r="Z54" s="31">
        <v>0</v>
      </c>
      <c r="AA54" t="s">
        <v>752</v>
      </c>
      <c r="AB54" s="31">
        <v>0</v>
      </c>
      <c r="AC54">
        <v>1</v>
      </c>
      <c r="AD54" t="s">
        <v>590</v>
      </c>
      <c r="AE54" t="s">
        <v>590</v>
      </c>
      <c r="AF54" s="31" t="s">
        <v>590</v>
      </c>
      <c r="AG54" t="s">
        <v>590</v>
      </c>
      <c r="AH54" s="31" t="s">
        <v>590</v>
      </c>
      <c r="AI54" t="s">
        <v>590</v>
      </c>
      <c r="AJ54" s="31" t="s">
        <v>590</v>
      </c>
      <c r="AK54" t="s">
        <v>590</v>
      </c>
      <c r="AL54" s="31" t="s">
        <v>590</v>
      </c>
      <c r="AM54" t="s">
        <v>590</v>
      </c>
      <c r="AN54" s="31" t="s">
        <v>590</v>
      </c>
      <c r="AO54" t="s">
        <v>590</v>
      </c>
      <c r="AP54" t="s">
        <v>80</v>
      </c>
      <c r="AQ54">
        <v>64811</v>
      </c>
      <c r="AR54">
        <v>17787</v>
      </c>
      <c r="AS54" s="31">
        <v>-0.72555584700128062</v>
      </c>
      <c r="AT54">
        <v>31519</v>
      </c>
      <c r="AU54" s="31">
        <v>0.77202451228425251</v>
      </c>
      <c r="AV54">
        <v>36262</v>
      </c>
      <c r="AW54" s="31">
        <v>0.15048066245756528</v>
      </c>
      <c r="AX54">
        <v>25807</v>
      </c>
      <c r="AY54" s="31">
        <v>-0.28831834978765652</v>
      </c>
      <c r="AZ54">
        <v>16127</v>
      </c>
      <c r="BA54" s="31">
        <v>-0.37509202929437752</v>
      </c>
      <c r="BB54">
        <v>5224</v>
      </c>
      <c r="BC54">
        <v>-4123</v>
      </c>
      <c r="BD54" s="31">
        <v>-1.7892419601837672</v>
      </c>
      <c r="BE54">
        <v>11349</v>
      </c>
      <c r="BF54" s="31">
        <v>3.7526073247635199</v>
      </c>
      <c r="BG54">
        <v>-1098</v>
      </c>
      <c r="BH54" s="31">
        <v>-1.0967486122125298</v>
      </c>
      <c r="BI54">
        <v>1644</v>
      </c>
      <c r="BJ54" s="31">
        <v>2.4972677595628401</v>
      </c>
      <c r="BK54">
        <v>-1197</v>
      </c>
      <c r="BL54" s="31">
        <v>-1.7281021897810218</v>
      </c>
      <c r="BM54" t="s">
        <v>938</v>
      </c>
      <c r="BN54" t="s">
        <v>939</v>
      </c>
      <c r="BO54" t="s">
        <v>80</v>
      </c>
      <c r="BP54" t="s">
        <v>80</v>
      </c>
      <c r="BQ54" t="s">
        <v>80</v>
      </c>
      <c r="BR54" t="s">
        <v>95</v>
      </c>
      <c r="BS54" t="s">
        <v>940</v>
      </c>
    </row>
    <row r="55" spans="1:71" x14ac:dyDescent="0.2">
      <c r="A55" t="s">
        <v>941</v>
      </c>
      <c r="B55" t="s">
        <v>942</v>
      </c>
      <c r="C55">
        <v>731100</v>
      </c>
      <c r="D55" t="s">
        <v>508</v>
      </c>
      <c r="I55">
        <v>306279691</v>
      </c>
      <c r="J55" t="s">
        <v>80</v>
      </c>
      <c r="K55" t="s">
        <v>943</v>
      </c>
      <c r="L55" t="s">
        <v>944</v>
      </c>
      <c r="M55" t="s">
        <v>77</v>
      </c>
      <c r="N55" t="s">
        <v>945</v>
      </c>
      <c r="O55" t="s">
        <v>80</v>
      </c>
      <c r="P55">
        <v>37063372962</v>
      </c>
      <c r="Q55" t="s">
        <v>80</v>
      </c>
      <c r="R55" t="s">
        <v>590</v>
      </c>
      <c r="S55" t="s">
        <v>590</v>
      </c>
      <c r="T55" s="31" t="s">
        <v>590</v>
      </c>
      <c r="U55" t="s">
        <v>590</v>
      </c>
      <c r="V55" s="31" t="s">
        <v>590</v>
      </c>
      <c r="W55" t="s">
        <v>590</v>
      </c>
      <c r="X55" s="31" t="s">
        <v>590</v>
      </c>
      <c r="Y55" t="s">
        <v>590</v>
      </c>
      <c r="Z55" s="31" t="s">
        <v>590</v>
      </c>
      <c r="AA55" t="s">
        <v>590</v>
      </c>
      <c r="AB55" s="31" t="s">
        <v>590</v>
      </c>
      <c r="AD55" t="s">
        <v>590</v>
      </c>
      <c r="AE55" t="s">
        <v>590</v>
      </c>
      <c r="AF55" s="31" t="s">
        <v>590</v>
      </c>
      <c r="AG55" t="s">
        <v>590</v>
      </c>
      <c r="AH55" s="31" t="s">
        <v>590</v>
      </c>
      <c r="AI55" t="s">
        <v>590</v>
      </c>
      <c r="AJ55" s="31" t="s">
        <v>590</v>
      </c>
      <c r="AK55" t="s">
        <v>590</v>
      </c>
      <c r="AL55" s="31" t="s">
        <v>590</v>
      </c>
      <c r="AM55" t="s">
        <v>590</v>
      </c>
      <c r="AN55" s="31" t="s">
        <v>590</v>
      </c>
      <c r="AO55" t="s">
        <v>590</v>
      </c>
      <c r="AP55" t="s">
        <v>80</v>
      </c>
      <c r="AS55" s="31" t="s">
        <v>590</v>
      </c>
      <c r="AU55" s="31" t="s">
        <v>590</v>
      </c>
      <c r="AW55" s="31" t="s">
        <v>590</v>
      </c>
      <c r="AX55">
        <v>9309</v>
      </c>
      <c r="AY55" s="31" t="s">
        <v>590</v>
      </c>
      <c r="AZ55">
        <v>10169</v>
      </c>
      <c r="BA55" s="31">
        <v>9.2383714684713722E-2</v>
      </c>
      <c r="BD55" s="31" t="s">
        <v>590</v>
      </c>
      <c r="BF55" s="31" t="s">
        <v>590</v>
      </c>
      <c r="BH55" s="31" t="s">
        <v>590</v>
      </c>
      <c r="BI55">
        <v>2289</v>
      </c>
      <c r="BJ55" s="31" t="s">
        <v>590</v>
      </c>
      <c r="BK55">
        <v>-14089</v>
      </c>
      <c r="BL55" s="31">
        <v>-7.1550895587592835</v>
      </c>
      <c r="BM55" t="s">
        <v>946</v>
      </c>
      <c r="BN55" t="s">
        <v>947</v>
      </c>
      <c r="BO55" t="s">
        <v>80</v>
      </c>
      <c r="BP55" t="s">
        <v>80</v>
      </c>
      <c r="BQ55" t="s">
        <v>80</v>
      </c>
      <c r="BR55" t="s">
        <v>891</v>
      </c>
      <c r="BS55" t="s">
        <v>948</v>
      </c>
    </row>
    <row r="56" spans="1:71" x14ac:dyDescent="0.2">
      <c r="A56" t="s">
        <v>949</v>
      </c>
      <c r="B56" t="s">
        <v>950</v>
      </c>
      <c r="C56">
        <v>731100</v>
      </c>
      <c r="D56" t="s">
        <v>508</v>
      </c>
      <c r="I56">
        <v>111436135</v>
      </c>
      <c r="J56" t="s">
        <v>951</v>
      </c>
      <c r="K56" t="s">
        <v>952</v>
      </c>
      <c r="L56" t="s">
        <v>953</v>
      </c>
      <c r="M56" t="s">
        <v>77</v>
      </c>
      <c r="N56" t="s">
        <v>954</v>
      </c>
      <c r="O56" t="s">
        <v>955</v>
      </c>
      <c r="P56">
        <v>37061387583</v>
      </c>
      <c r="Q56" t="s">
        <v>80</v>
      </c>
      <c r="R56" t="s">
        <v>129</v>
      </c>
      <c r="S56" t="s">
        <v>150</v>
      </c>
      <c r="T56" s="31">
        <v>-0.20930232558139536</v>
      </c>
      <c r="U56" t="s">
        <v>306</v>
      </c>
      <c r="V56" s="31">
        <v>8.8235294117647065E-2</v>
      </c>
      <c r="W56" t="s">
        <v>107</v>
      </c>
      <c r="X56" s="31">
        <v>8.1081081081081086E-2</v>
      </c>
      <c r="Y56" t="s">
        <v>307</v>
      </c>
      <c r="Z56" s="31">
        <v>0.05</v>
      </c>
      <c r="AA56" t="s">
        <v>176</v>
      </c>
      <c r="AB56" s="31">
        <v>-0.5</v>
      </c>
      <c r="AC56">
        <v>14</v>
      </c>
      <c r="AD56" t="s">
        <v>771</v>
      </c>
      <c r="AE56" t="s">
        <v>956</v>
      </c>
      <c r="AF56" s="31">
        <v>6.3701263042284462E-2</v>
      </c>
      <c r="AG56" t="s">
        <v>957</v>
      </c>
      <c r="AH56" s="31">
        <v>0.18120805369127516</v>
      </c>
      <c r="AI56" t="s">
        <v>958</v>
      </c>
      <c r="AJ56" s="31">
        <v>0.15034965034965034</v>
      </c>
      <c r="AK56" t="s">
        <v>959</v>
      </c>
      <c r="AL56" s="31">
        <v>8.8145896656534953E-2</v>
      </c>
      <c r="AM56" t="s">
        <v>960</v>
      </c>
      <c r="AN56" s="31">
        <v>4.0502793296089384E-2</v>
      </c>
      <c r="AO56" t="s">
        <v>961</v>
      </c>
      <c r="AP56" t="s">
        <v>80</v>
      </c>
      <c r="AQ56">
        <v>2147000</v>
      </c>
      <c r="AR56">
        <v>1750000</v>
      </c>
      <c r="AS56" s="31">
        <v>-0.18490917559385189</v>
      </c>
      <c r="AT56">
        <v>3889000</v>
      </c>
      <c r="AU56" s="31">
        <v>1.2222857142857142</v>
      </c>
      <c r="AV56">
        <v>5674000</v>
      </c>
      <c r="AW56" s="31">
        <v>0.45898688608896887</v>
      </c>
      <c r="AX56">
        <v>4918000</v>
      </c>
      <c r="AY56" s="31">
        <v>-0.13323933732816357</v>
      </c>
      <c r="BA56" s="31" t="s">
        <v>590</v>
      </c>
      <c r="BB56">
        <v>313000</v>
      </c>
      <c r="BC56">
        <v>249000</v>
      </c>
      <c r="BD56" s="31">
        <v>-0.20447284345047922</v>
      </c>
      <c r="BE56">
        <v>133000</v>
      </c>
      <c r="BF56" s="31">
        <v>-0.46586345381526106</v>
      </c>
      <c r="BG56">
        <v>180000</v>
      </c>
      <c r="BH56" s="31">
        <v>0.35338345864661652</v>
      </c>
      <c r="BI56">
        <v>-769000</v>
      </c>
      <c r="BJ56" s="31">
        <v>-5.2722222222222221</v>
      </c>
      <c r="BL56" s="31" t="s">
        <v>590</v>
      </c>
      <c r="BM56" t="s">
        <v>962</v>
      </c>
      <c r="BN56" t="s">
        <v>963</v>
      </c>
      <c r="BO56" t="s">
        <v>80</v>
      </c>
      <c r="BP56" t="s">
        <v>80</v>
      </c>
      <c r="BQ56" t="s">
        <v>80</v>
      </c>
      <c r="BR56" t="s">
        <v>628</v>
      </c>
      <c r="BS56" t="s">
        <v>964</v>
      </c>
    </row>
    <row r="57" spans="1:71" x14ac:dyDescent="0.2">
      <c r="A57" t="s">
        <v>965</v>
      </c>
      <c r="B57" t="s">
        <v>966</v>
      </c>
      <c r="C57">
        <v>731100</v>
      </c>
      <c r="D57" t="s">
        <v>73</v>
      </c>
      <c r="I57">
        <v>111794310</v>
      </c>
      <c r="J57" t="s">
        <v>967</v>
      </c>
      <c r="K57" t="s">
        <v>968</v>
      </c>
      <c r="L57" t="s">
        <v>969</v>
      </c>
      <c r="M57" t="s">
        <v>77</v>
      </c>
      <c r="N57" t="s">
        <v>970</v>
      </c>
      <c r="O57" t="s">
        <v>971</v>
      </c>
      <c r="Q57" t="s">
        <v>80</v>
      </c>
      <c r="R57" t="s">
        <v>82</v>
      </c>
      <c r="S57" t="s">
        <v>82</v>
      </c>
      <c r="T57" s="31">
        <v>0</v>
      </c>
      <c r="U57" t="s">
        <v>82</v>
      </c>
      <c r="V57" s="31">
        <v>0</v>
      </c>
      <c r="W57" t="s">
        <v>409</v>
      </c>
      <c r="X57" s="31">
        <v>0.21052631578947367</v>
      </c>
      <c r="Y57" t="s">
        <v>409</v>
      </c>
      <c r="Z57" s="31">
        <v>0</v>
      </c>
      <c r="AA57" t="s">
        <v>252</v>
      </c>
      <c r="AB57" s="31">
        <v>0.13043478260869565</v>
      </c>
      <c r="AC57">
        <v>27</v>
      </c>
      <c r="AD57" t="s">
        <v>972</v>
      </c>
      <c r="AE57" t="s">
        <v>973</v>
      </c>
      <c r="AF57" s="31">
        <v>0.16499614494988435</v>
      </c>
      <c r="AG57" t="s">
        <v>974</v>
      </c>
      <c r="AH57" s="31">
        <v>3.3090668431502317E-2</v>
      </c>
      <c r="AI57" t="s">
        <v>975</v>
      </c>
      <c r="AJ57" s="31">
        <v>7.2069186418962206E-2</v>
      </c>
      <c r="AK57" t="s">
        <v>976</v>
      </c>
      <c r="AL57" s="31">
        <v>6.0950104571257845E-2</v>
      </c>
      <c r="AM57" t="s">
        <v>977</v>
      </c>
      <c r="AN57" s="31">
        <v>9.2649957758377921E-2</v>
      </c>
      <c r="AO57" t="s">
        <v>978</v>
      </c>
      <c r="AP57" t="s">
        <v>80</v>
      </c>
      <c r="AQ57">
        <v>9111300</v>
      </c>
      <c r="AR57">
        <v>7980395</v>
      </c>
      <c r="AS57" s="31">
        <v>-0.12412114626891882</v>
      </c>
      <c r="AT57">
        <v>14985680</v>
      </c>
      <c r="AU57" s="31">
        <v>0.87781181257318719</v>
      </c>
      <c r="AV57">
        <v>11936797</v>
      </c>
      <c r="AW57" s="31">
        <v>-0.20345309655617896</v>
      </c>
      <c r="AX57">
        <v>17409970</v>
      </c>
      <c r="AY57" s="31">
        <v>0.45851269817187978</v>
      </c>
      <c r="BA57" s="31" t="s">
        <v>590</v>
      </c>
      <c r="BB57">
        <v>337370</v>
      </c>
      <c r="BC57">
        <v>347250</v>
      </c>
      <c r="BD57" s="31">
        <v>2.9285354358715949E-2</v>
      </c>
      <c r="BE57">
        <v>458464</v>
      </c>
      <c r="BF57" s="31">
        <v>0.32027069834413247</v>
      </c>
      <c r="BG57">
        <v>262999</v>
      </c>
      <c r="BH57" s="31">
        <v>-0.42634754310043971</v>
      </c>
      <c r="BI57">
        <v>260117</v>
      </c>
      <c r="BJ57" s="31">
        <v>-1.095821657116567E-2</v>
      </c>
      <c r="BL57" s="31" t="s">
        <v>590</v>
      </c>
      <c r="BM57" t="s">
        <v>979</v>
      </c>
      <c r="BN57" t="s">
        <v>980</v>
      </c>
      <c r="BO57" t="s">
        <v>80</v>
      </c>
      <c r="BP57" t="s">
        <v>80</v>
      </c>
      <c r="BQ57" t="s">
        <v>80</v>
      </c>
      <c r="BR57" t="s">
        <v>95</v>
      </c>
      <c r="BS57" t="s">
        <v>981</v>
      </c>
    </row>
    <row r="58" spans="1:71" x14ac:dyDescent="0.2">
      <c r="A58" t="s">
        <v>982</v>
      </c>
      <c r="B58" t="s">
        <v>983</v>
      </c>
      <c r="C58">
        <v>731100</v>
      </c>
      <c r="D58" t="s">
        <v>508</v>
      </c>
      <c r="I58">
        <v>125763054</v>
      </c>
      <c r="J58" t="s">
        <v>984</v>
      </c>
      <c r="K58" t="s">
        <v>982</v>
      </c>
      <c r="L58" t="s">
        <v>985</v>
      </c>
      <c r="M58" t="s">
        <v>77</v>
      </c>
      <c r="N58" t="s">
        <v>986</v>
      </c>
      <c r="O58" t="s">
        <v>987</v>
      </c>
      <c r="Q58" t="s">
        <v>80</v>
      </c>
      <c r="R58" t="s">
        <v>988</v>
      </c>
      <c r="S58" t="s">
        <v>108</v>
      </c>
      <c r="T58" s="31">
        <v>-3.0303030303030304E-2</v>
      </c>
      <c r="U58" t="s">
        <v>988</v>
      </c>
      <c r="V58" s="31">
        <v>3.125E-2</v>
      </c>
      <c r="W58" t="s">
        <v>153</v>
      </c>
      <c r="X58" s="31">
        <v>6.0606060606060608E-2</v>
      </c>
      <c r="Y58" t="s">
        <v>153</v>
      </c>
      <c r="Z58" s="31">
        <v>0</v>
      </c>
      <c r="AA58" t="s">
        <v>150</v>
      </c>
      <c r="AB58" s="31">
        <v>-2.8571428571428571E-2</v>
      </c>
      <c r="AC58">
        <v>36</v>
      </c>
      <c r="AD58" t="s">
        <v>989</v>
      </c>
      <c r="AE58" t="s">
        <v>676</v>
      </c>
      <c r="AF58" s="31">
        <v>4.4049967126890202E-2</v>
      </c>
      <c r="AG58" t="s">
        <v>990</v>
      </c>
      <c r="AH58" s="31">
        <v>0.19458438287153654</v>
      </c>
      <c r="AI58" t="s">
        <v>991</v>
      </c>
      <c r="AJ58" s="31">
        <v>0.1518186610437533</v>
      </c>
      <c r="AK58" t="s">
        <v>992</v>
      </c>
      <c r="AL58" s="31">
        <v>6.8192219679633861E-2</v>
      </c>
      <c r="AM58" t="s">
        <v>993</v>
      </c>
      <c r="AN58" s="31">
        <v>8.2262210796915161E-2</v>
      </c>
      <c r="AO58" t="s">
        <v>994</v>
      </c>
      <c r="AP58" t="s">
        <v>80</v>
      </c>
      <c r="AQ58">
        <v>1402789</v>
      </c>
      <c r="AR58">
        <v>1237158</v>
      </c>
      <c r="AS58" s="31">
        <v>-0.11807263957729923</v>
      </c>
      <c r="AT58">
        <v>1603371</v>
      </c>
      <c r="AU58" s="31">
        <v>0.29601150378528857</v>
      </c>
      <c r="AV58">
        <v>1860439</v>
      </c>
      <c r="AW58" s="31">
        <v>0.16032970535203642</v>
      </c>
      <c r="AX58">
        <v>1869162</v>
      </c>
      <c r="AY58" s="31">
        <v>4.6886783173218797E-3</v>
      </c>
      <c r="BA58" s="31" t="s">
        <v>590</v>
      </c>
      <c r="BB58">
        <v>173870</v>
      </c>
      <c r="BC58">
        <v>152377</v>
      </c>
      <c r="BD58" s="31">
        <v>-0.12361534479783746</v>
      </c>
      <c r="BE58">
        <v>3715</v>
      </c>
      <c r="BF58" s="31">
        <v>-0.97561968013545353</v>
      </c>
      <c r="BG58">
        <v>100807</v>
      </c>
      <c r="BH58" s="31">
        <v>26.13512786002692</v>
      </c>
      <c r="BI58">
        <v>122873</v>
      </c>
      <c r="BJ58" s="31">
        <v>0.21889352921920105</v>
      </c>
      <c r="BL58" s="31" t="s">
        <v>590</v>
      </c>
      <c r="BM58" t="s">
        <v>995</v>
      </c>
      <c r="BN58" t="s">
        <v>996</v>
      </c>
      <c r="BO58" t="s">
        <v>80</v>
      </c>
      <c r="BP58" t="s">
        <v>80</v>
      </c>
      <c r="BQ58" t="s">
        <v>80</v>
      </c>
      <c r="BR58" t="s">
        <v>95</v>
      </c>
      <c r="BS58" t="s">
        <v>997</v>
      </c>
    </row>
    <row r="59" spans="1:71" x14ac:dyDescent="0.2">
      <c r="A59" t="s">
        <v>998</v>
      </c>
      <c r="B59" t="s">
        <v>999</v>
      </c>
      <c r="C59">
        <v>620100</v>
      </c>
      <c r="D59" t="s">
        <v>651</v>
      </c>
      <c r="I59">
        <v>224497630</v>
      </c>
      <c r="J59" t="s">
        <v>80</v>
      </c>
      <c r="K59" t="s">
        <v>1000</v>
      </c>
      <c r="L59" t="s">
        <v>1001</v>
      </c>
      <c r="M59" t="s">
        <v>77</v>
      </c>
      <c r="N59" t="s">
        <v>1002</v>
      </c>
      <c r="O59" t="s">
        <v>80</v>
      </c>
      <c r="P59">
        <v>37068516600</v>
      </c>
      <c r="Q59" t="s">
        <v>80</v>
      </c>
      <c r="R59" t="s">
        <v>636</v>
      </c>
      <c r="S59" t="s">
        <v>636</v>
      </c>
      <c r="T59" s="31">
        <v>0</v>
      </c>
      <c r="U59" t="s">
        <v>752</v>
      </c>
      <c r="V59" s="31">
        <v>-0.5</v>
      </c>
      <c r="W59" t="s">
        <v>752</v>
      </c>
      <c r="X59" s="31">
        <v>0</v>
      </c>
      <c r="Y59" t="s">
        <v>752</v>
      </c>
      <c r="Z59" s="31">
        <v>0</v>
      </c>
      <c r="AA59" t="s">
        <v>752</v>
      </c>
      <c r="AB59" s="31">
        <v>0</v>
      </c>
      <c r="AC59">
        <v>1</v>
      </c>
      <c r="AD59" t="s">
        <v>590</v>
      </c>
      <c r="AE59" t="s">
        <v>590</v>
      </c>
      <c r="AF59" s="31" t="s">
        <v>590</v>
      </c>
      <c r="AG59" t="s">
        <v>590</v>
      </c>
      <c r="AH59" s="31" t="s">
        <v>590</v>
      </c>
      <c r="AI59" t="s">
        <v>590</v>
      </c>
      <c r="AJ59" s="31" t="s">
        <v>590</v>
      </c>
      <c r="AK59" t="s">
        <v>590</v>
      </c>
      <c r="AL59" s="31" t="s">
        <v>590</v>
      </c>
      <c r="AM59" t="s">
        <v>590</v>
      </c>
      <c r="AN59" s="31" t="s">
        <v>590</v>
      </c>
      <c r="AO59" t="s">
        <v>590</v>
      </c>
      <c r="AP59" t="s">
        <v>80</v>
      </c>
      <c r="AQ59">
        <v>391819</v>
      </c>
      <c r="AR59">
        <v>447495</v>
      </c>
      <c r="AS59" s="31">
        <v>0.14209622300092645</v>
      </c>
      <c r="AT59">
        <v>378329</v>
      </c>
      <c r="AU59" s="31">
        <v>-0.1545626208114057</v>
      </c>
      <c r="AV59">
        <v>460101</v>
      </c>
      <c r="AW59" s="31">
        <v>0.21613992054534545</v>
      </c>
      <c r="AY59" s="31" t="s">
        <v>590</v>
      </c>
      <c r="BA59" s="31" t="s">
        <v>590</v>
      </c>
      <c r="BB59">
        <v>4711</v>
      </c>
      <c r="BC59">
        <v>-81138</v>
      </c>
      <c r="BD59" s="31">
        <v>-18.223094884313308</v>
      </c>
      <c r="BE59">
        <v>41669</v>
      </c>
      <c r="BF59" s="31">
        <v>1.5135571495476801</v>
      </c>
      <c r="BG59">
        <v>246126</v>
      </c>
      <c r="BH59" s="31">
        <v>4.9066932251793896</v>
      </c>
      <c r="BI59">
        <v>25837</v>
      </c>
      <c r="BJ59" s="31">
        <v>-0.89502531223844695</v>
      </c>
      <c r="BL59" s="31" t="s">
        <v>590</v>
      </c>
      <c r="BM59" t="s">
        <v>1003</v>
      </c>
      <c r="BN59" t="s">
        <v>1004</v>
      </c>
      <c r="BO59" t="s">
        <v>80</v>
      </c>
      <c r="BP59" t="s">
        <v>80</v>
      </c>
      <c r="BQ59" t="s">
        <v>80</v>
      </c>
      <c r="BR59" t="s">
        <v>95</v>
      </c>
      <c r="BS59" t="s">
        <v>1005</v>
      </c>
    </row>
    <row r="60" spans="1:71" x14ac:dyDescent="0.2">
      <c r="A60" t="s">
        <v>1006</v>
      </c>
      <c r="B60" t="s">
        <v>1007</v>
      </c>
      <c r="C60">
        <v>702100</v>
      </c>
      <c r="F60" t="s">
        <v>300</v>
      </c>
      <c r="I60">
        <v>226018840</v>
      </c>
      <c r="J60" t="s">
        <v>1008</v>
      </c>
      <c r="K60" t="s">
        <v>1009</v>
      </c>
      <c r="L60" t="s">
        <v>1010</v>
      </c>
      <c r="M60" t="s">
        <v>77</v>
      </c>
      <c r="N60" t="s">
        <v>1011</v>
      </c>
      <c r="O60" t="s">
        <v>1012</v>
      </c>
      <c r="P60">
        <v>37068632565</v>
      </c>
      <c r="Q60" t="s">
        <v>80</v>
      </c>
      <c r="R60" t="s">
        <v>605</v>
      </c>
      <c r="S60" t="s">
        <v>605</v>
      </c>
      <c r="T60" s="31">
        <v>0</v>
      </c>
      <c r="U60" t="s">
        <v>515</v>
      </c>
      <c r="V60" s="31">
        <v>-0.2</v>
      </c>
      <c r="W60" t="s">
        <v>589</v>
      </c>
      <c r="X60" s="31">
        <v>-0.125</v>
      </c>
      <c r="Y60" t="s">
        <v>705</v>
      </c>
      <c r="Z60" s="31">
        <v>-0.14285714285714285</v>
      </c>
      <c r="AA60" t="s">
        <v>705</v>
      </c>
      <c r="AB60" s="31">
        <v>0</v>
      </c>
      <c r="AC60">
        <v>5</v>
      </c>
      <c r="AD60" t="s">
        <v>1013</v>
      </c>
      <c r="AE60" t="s">
        <v>1014</v>
      </c>
      <c r="AF60" s="31">
        <v>7.1381794368041915E-2</v>
      </c>
      <c r="AG60" t="s">
        <v>1015</v>
      </c>
      <c r="AH60" s="31">
        <v>-6.1124694376528117E-4</v>
      </c>
      <c r="AI60" t="s">
        <v>1016</v>
      </c>
      <c r="AJ60" s="31">
        <v>-3.4862385321100919E-2</v>
      </c>
      <c r="AK60" t="s">
        <v>1017</v>
      </c>
      <c r="AL60" s="31">
        <v>0.32002534854245879</v>
      </c>
      <c r="AM60" t="s">
        <v>1018</v>
      </c>
      <c r="AN60" s="31">
        <v>0.42342774843975034</v>
      </c>
      <c r="AO60" t="s">
        <v>1019</v>
      </c>
      <c r="AP60">
        <v>21.13</v>
      </c>
      <c r="AQ60">
        <v>387275</v>
      </c>
      <c r="AR60">
        <v>339047</v>
      </c>
      <c r="AS60" s="31">
        <v>-0.12453166354657542</v>
      </c>
      <c r="AT60">
        <v>394946</v>
      </c>
      <c r="AU60" s="31">
        <v>0.16487094709583036</v>
      </c>
      <c r="AV60">
        <v>363458</v>
      </c>
      <c r="AW60" s="31">
        <v>-7.9727355132094002E-2</v>
      </c>
      <c r="AX60">
        <v>698509</v>
      </c>
      <c r="AY60" s="31">
        <v>0.92184241370392173</v>
      </c>
      <c r="BA60" s="31" t="s">
        <v>590</v>
      </c>
      <c r="BB60">
        <v>7296</v>
      </c>
      <c r="BC60">
        <v>8555</v>
      </c>
      <c r="BD60" s="31">
        <v>0.17256030701754385</v>
      </c>
      <c r="BE60">
        <v>2218</v>
      </c>
      <c r="BF60" s="31">
        <v>-0.74073641145528935</v>
      </c>
      <c r="BG60">
        <v>18163</v>
      </c>
      <c r="BH60" s="31">
        <v>7.1889089269612265</v>
      </c>
      <c r="BI60">
        <v>20193</v>
      </c>
      <c r="BJ60" s="31">
        <v>0.11176567747618786</v>
      </c>
      <c r="BL60" s="31" t="s">
        <v>590</v>
      </c>
      <c r="BM60" t="s">
        <v>1020</v>
      </c>
      <c r="BN60" t="s">
        <v>1021</v>
      </c>
      <c r="BO60" t="s">
        <v>1022</v>
      </c>
      <c r="BP60" t="s">
        <v>80</v>
      </c>
      <c r="BQ60" t="s">
        <v>1023</v>
      </c>
      <c r="BR60" t="s">
        <v>189</v>
      </c>
      <c r="BS60" t="s">
        <v>1024</v>
      </c>
    </row>
    <row r="61" spans="1:71" x14ac:dyDescent="0.2">
      <c r="A61" t="s">
        <v>1025</v>
      </c>
      <c r="B61" t="s">
        <v>1026</v>
      </c>
      <c r="C61">
        <v>702100</v>
      </c>
      <c r="F61" t="s">
        <v>300</v>
      </c>
      <c r="I61">
        <v>300003647</v>
      </c>
      <c r="J61" t="s">
        <v>1027</v>
      </c>
      <c r="K61" t="s">
        <v>1028</v>
      </c>
      <c r="L61" t="s">
        <v>1029</v>
      </c>
      <c r="M61" t="s">
        <v>77</v>
      </c>
      <c r="N61" t="s">
        <v>1030</v>
      </c>
      <c r="O61" t="s">
        <v>1031</v>
      </c>
      <c r="P61">
        <v>37065500448</v>
      </c>
      <c r="Q61" t="s">
        <v>80</v>
      </c>
      <c r="R61" t="s">
        <v>219</v>
      </c>
      <c r="S61" t="s">
        <v>220</v>
      </c>
      <c r="T61" s="31">
        <v>9.0909090909090912E-2</v>
      </c>
      <c r="U61" t="s">
        <v>221</v>
      </c>
      <c r="V61" s="31">
        <v>8.3333333333333329E-2</v>
      </c>
      <c r="W61" t="s">
        <v>222</v>
      </c>
      <c r="X61" s="31">
        <v>7.6923076923076927E-2</v>
      </c>
      <c r="Y61" t="s">
        <v>221</v>
      </c>
      <c r="Z61" s="31">
        <v>-7.1428571428571425E-2</v>
      </c>
      <c r="AA61" t="s">
        <v>220</v>
      </c>
      <c r="AB61" s="31">
        <v>-7.6923076923076927E-2</v>
      </c>
      <c r="AC61">
        <v>13</v>
      </c>
      <c r="AD61" t="s">
        <v>1032</v>
      </c>
      <c r="AE61" t="s">
        <v>1033</v>
      </c>
      <c r="AF61" s="31">
        <v>9.3498119290703924E-2</v>
      </c>
      <c r="AG61" t="s">
        <v>1034</v>
      </c>
      <c r="AH61" s="31">
        <v>0.13906633906633906</v>
      </c>
      <c r="AI61" t="s">
        <v>1035</v>
      </c>
      <c r="AJ61" s="31">
        <v>2.1570319240724763E-3</v>
      </c>
      <c r="AK61" t="s">
        <v>1036</v>
      </c>
      <c r="AL61" s="31">
        <v>5.1226861816616447E-2</v>
      </c>
      <c r="AM61" t="s">
        <v>1037</v>
      </c>
      <c r="AN61" s="31">
        <v>6.347256347256347E-2</v>
      </c>
      <c r="AO61" t="s">
        <v>1038</v>
      </c>
      <c r="AP61" t="s">
        <v>80</v>
      </c>
      <c r="AQ61">
        <v>667536</v>
      </c>
      <c r="AR61">
        <v>744583</v>
      </c>
      <c r="AS61" s="31">
        <v>0.11541999233000168</v>
      </c>
      <c r="AT61">
        <v>1468239</v>
      </c>
      <c r="AU61" s="31">
        <v>0.97189433548711157</v>
      </c>
      <c r="AV61">
        <v>1251440</v>
      </c>
      <c r="AW61" s="31">
        <v>-0.14765920262300619</v>
      </c>
      <c r="AX61">
        <v>1505000</v>
      </c>
      <c r="AY61" s="31">
        <v>0.2026145879946302</v>
      </c>
      <c r="BA61" s="31" t="s">
        <v>590</v>
      </c>
      <c r="BB61">
        <v>62597</v>
      </c>
      <c r="BC61">
        <v>46689</v>
      </c>
      <c r="BD61" s="31">
        <v>-0.25413358467658193</v>
      </c>
      <c r="BE61">
        <v>259227</v>
      </c>
      <c r="BF61" s="31">
        <v>4.5522071580029557</v>
      </c>
      <c r="BG61">
        <v>201023</v>
      </c>
      <c r="BH61" s="31">
        <v>-0.22452908068989727</v>
      </c>
      <c r="BI61">
        <v>318511</v>
      </c>
      <c r="BJ61" s="31">
        <v>0.5844505355108619</v>
      </c>
      <c r="BL61" s="31" t="s">
        <v>590</v>
      </c>
      <c r="BM61" t="s">
        <v>1039</v>
      </c>
      <c r="BN61" t="s">
        <v>1040</v>
      </c>
      <c r="BO61" t="s">
        <v>1041</v>
      </c>
      <c r="BP61" t="s">
        <v>1042</v>
      </c>
      <c r="BQ61" t="s">
        <v>1043</v>
      </c>
      <c r="BR61" t="s">
        <v>95</v>
      </c>
      <c r="BS61" t="s">
        <v>1044</v>
      </c>
    </row>
    <row r="62" spans="1:71" x14ac:dyDescent="0.2">
      <c r="A62" t="s">
        <v>1045</v>
      </c>
      <c r="B62" t="s">
        <v>80</v>
      </c>
      <c r="C62">
        <v>731100</v>
      </c>
      <c r="E62" t="s">
        <v>280</v>
      </c>
      <c r="I62">
        <v>300634324</v>
      </c>
      <c r="J62" t="s">
        <v>1046</v>
      </c>
      <c r="K62" t="s">
        <v>1047</v>
      </c>
      <c r="L62" t="s">
        <v>1029</v>
      </c>
      <c r="M62" t="s">
        <v>77</v>
      </c>
      <c r="N62" t="s">
        <v>1048</v>
      </c>
      <c r="O62" t="s">
        <v>1049</v>
      </c>
      <c r="Q62" t="s">
        <v>80</v>
      </c>
      <c r="R62" t="s">
        <v>174</v>
      </c>
      <c r="S62" t="s">
        <v>174</v>
      </c>
      <c r="T62" s="31">
        <v>0</v>
      </c>
      <c r="U62" t="s">
        <v>82</v>
      </c>
      <c r="V62" s="31">
        <v>0.11764705882352941</v>
      </c>
      <c r="W62" t="s">
        <v>175</v>
      </c>
      <c r="X62" s="31">
        <v>5.2631578947368418E-2</v>
      </c>
      <c r="Y62" t="s">
        <v>176</v>
      </c>
      <c r="Z62" s="31">
        <v>0.05</v>
      </c>
      <c r="AA62" t="s">
        <v>175</v>
      </c>
      <c r="AB62" s="31">
        <v>-4.7619047619047616E-2</v>
      </c>
      <c r="AC62">
        <v>14</v>
      </c>
      <c r="AD62" t="s">
        <v>1050</v>
      </c>
      <c r="AE62" t="s">
        <v>1051</v>
      </c>
      <c r="AF62" s="31">
        <v>0.11591962905718702</v>
      </c>
      <c r="AG62" t="s">
        <v>676</v>
      </c>
      <c r="AH62" s="31">
        <v>9.9722991689750698E-2</v>
      </c>
      <c r="AI62" t="s">
        <v>1052</v>
      </c>
      <c r="AJ62" s="31">
        <v>0.14042821158690177</v>
      </c>
      <c r="AK62" t="s">
        <v>1053</v>
      </c>
      <c r="AL62" s="31">
        <v>7.8961899503037003E-2</v>
      </c>
      <c r="AM62" t="s">
        <v>1034</v>
      </c>
      <c r="AN62" s="31">
        <v>0.18628454452405321</v>
      </c>
      <c r="AO62" t="s">
        <v>1054</v>
      </c>
      <c r="AP62" t="s">
        <v>80</v>
      </c>
      <c r="AQ62">
        <v>1122291</v>
      </c>
      <c r="AR62">
        <v>1618920</v>
      </c>
      <c r="AS62" s="31">
        <v>0.44251357268302072</v>
      </c>
      <c r="AT62">
        <v>1476904</v>
      </c>
      <c r="AU62" s="31">
        <v>-8.7722679317075586E-2</v>
      </c>
      <c r="AV62">
        <v>2039056</v>
      </c>
      <c r="AW62" s="31">
        <v>0.38062866645360838</v>
      </c>
      <c r="AX62">
        <v>2020450</v>
      </c>
      <c r="AY62" s="31">
        <v>-9.1248106967145581E-3</v>
      </c>
      <c r="BA62" s="31" t="s">
        <v>590</v>
      </c>
      <c r="BB62">
        <v>17360</v>
      </c>
      <c r="BC62">
        <v>34568</v>
      </c>
      <c r="BD62" s="31">
        <v>0.99124423963133645</v>
      </c>
      <c r="BE62">
        <v>22379</v>
      </c>
      <c r="BF62" s="31">
        <v>-0.35260934968757235</v>
      </c>
      <c r="BG62">
        <v>22439</v>
      </c>
      <c r="BH62" s="31">
        <v>2.6810849457080299E-3</v>
      </c>
      <c r="BI62">
        <v>30160</v>
      </c>
      <c r="BJ62" s="31">
        <v>0.34408841748741031</v>
      </c>
      <c r="BL62" s="31" t="s">
        <v>590</v>
      </c>
      <c r="BM62" t="s">
        <v>1055</v>
      </c>
      <c r="BN62" t="s">
        <v>1056</v>
      </c>
      <c r="BO62" t="s">
        <v>1057</v>
      </c>
      <c r="BP62" t="s">
        <v>80</v>
      </c>
      <c r="BQ62" t="s">
        <v>80</v>
      </c>
      <c r="BR62" t="s">
        <v>891</v>
      </c>
      <c r="BS62" t="s">
        <v>1058</v>
      </c>
    </row>
    <row r="63" spans="1:71" x14ac:dyDescent="0.2">
      <c r="A63" t="s">
        <v>1059</v>
      </c>
      <c r="B63" t="s">
        <v>1060</v>
      </c>
      <c r="C63">
        <v>731100</v>
      </c>
      <c r="D63" t="s">
        <v>508</v>
      </c>
      <c r="I63">
        <v>302542497</v>
      </c>
      <c r="J63" t="s">
        <v>1061</v>
      </c>
      <c r="K63" t="s">
        <v>1062</v>
      </c>
      <c r="L63" t="s">
        <v>1063</v>
      </c>
      <c r="M63" t="s">
        <v>77</v>
      </c>
      <c r="N63" t="s">
        <v>1064</v>
      </c>
      <c r="O63" t="s">
        <v>80</v>
      </c>
      <c r="P63">
        <v>37060999069</v>
      </c>
      <c r="Q63" t="s">
        <v>80</v>
      </c>
      <c r="R63" t="s">
        <v>200</v>
      </c>
      <c r="S63" t="s">
        <v>201</v>
      </c>
      <c r="T63" s="31">
        <v>-0.13793103448275862</v>
      </c>
      <c r="U63" t="s">
        <v>201</v>
      </c>
      <c r="V63" s="31">
        <v>0</v>
      </c>
      <c r="W63" t="s">
        <v>238</v>
      </c>
      <c r="X63" s="31">
        <v>-0.04</v>
      </c>
      <c r="Y63" t="s">
        <v>82</v>
      </c>
      <c r="Z63" s="31">
        <v>-0.20833333333333334</v>
      </c>
      <c r="AA63" t="s">
        <v>82</v>
      </c>
      <c r="AB63" s="31">
        <v>0</v>
      </c>
      <c r="AC63">
        <v>22</v>
      </c>
      <c r="AD63" t="s">
        <v>1065</v>
      </c>
      <c r="AE63" t="s">
        <v>1066</v>
      </c>
      <c r="AF63" s="31">
        <v>9.9945385035499726E-2</v>
      </c>
      <c r="AG63" t="s">
        <v>1067</v>
      </c>
      <c r="AH63" s="31">
        <v>0.22889771598808342</v>
      </c>
      <c r="AI63" t="s">
        <v>1068</v>
      </c>
      <c r="AJ63" s="31">
        <v>5.131313131313131E-2</v>
      </c>
      <c r="AK63" t="s">
        <v>1069</v>
      </c>
      <c r="AL63" s="31">
        <v>6.8793235972328975E-2</v>
      </c>
      <c r="AM63" t="s">
        <v>1070</v>
      </c>
      <c r="AN63" s="31">
        <v>0.22006472491909385</v>
      </c>
      <c r="AO63" t="s">
        <v>1071</v>
      </c>
      <c r="AP63">
        <v>638.97</v>
      </c>
      <c r="AQ63">
        <v>1273621</v>
      </c>
      <c r="AR63">
        <v>1227723</v>
      </c>
      <c r="AS63" s="31">
        <v>-3.6037408302783951E-2</v>
      </c>
      <c r="AT63">
        <v>1618267</v>
      </c>
      <c r="AU63" s="31">
        <v>0.31810432809355205</v>
      </c>
      <c r="AV63">
        <v>1266138</v>
      </c>
      <c r="AW63" s="31">
        <v>-0.21759635461886079</v>
      </c>
      <c r="AX63">
        <v>988791</v>
      </c>
      <c r="AY63" s="31">
        <v>-0.21904958227302238</v>
      </c>
      <c r="BA63" s="31" t="s">
        <v>590</v>
      </c>
      <c r="BB63">
        <v>14001</v>
      </c>
      <c r="BC63">
        <v>117770</v>
      </c>
      <c r="BD63" s="31">
        <v>7.4115420327119494</v>
      </c>
      <c r="BE63">
        <v>33646</v>
      </c>
      <c r="BF63" s="31">
        <v>-0.71430754861170076</v>
      </c>
      <c r="BG63">
        <v>10305</v>
      </c>
      <c r="BH63" s="31">
        <v>-0.6937228793913095</v>
      </c>
      <c r="BI63">
        <v>74922</v>
      </c>
      <c r="BJ63" s="31">
        <v>6.2704512372634644</v>
      </c>
      <c r="BL63" s="31" t="s">
        <v>590</v>
      </c>
      <c r="BM63" t="s">
        <v>1072</v>
      </c>
      <c r="BN63" t="s">
        <v>1073</v>
      </c>
      <c r="BO63" t="s">
        <v>1074</v>
      </c>
      <c r="BP63" t="s">
        <v>80</v>
      </c>
      <c r="BQ63" t="s">
        <v>1075</v>
      </c>
      <c r="BR63" t="s">
        <v>647</v>
      </c>
      <c r="BS63" t="s">
        <v>1076</v>
      </c>
    </row>
    <row r="64" spans="1:71" x14ac:dyDescent="0.2">
      <c r="A64" t="s">
        <v>1077</v>
      </c>
      <c r="B64" t="s">
        <v>1078</v>
      </c>
      <c r="C64">
        <v>731100</v>
      </c>
      <c r="D64" t="s">
        <v>73</v>
      </c>
      <c r="I64">
        <v>302745177</v>
      </c>
      <c r="J64" t="s">
        <v>1079</v>
      </c>
      <c r="K64" t="s">
        <v>1080</v>
      </c>
      <c r="L64" t="s">
        <v>1081</v>
      </c>
      <c r="M64" t="s">
        <v>77</v>
      </c>
      <c r="N64" t="s">
        <v>1082</v>
      </c>
      <c r="O64" t="s">
        <v>80</v>
      </c>
      <c r="P64">
        <v>37061245994</v>
      </c>
      <c r="Q64" t="s">
        <v>80</v>
      </c>
      <c r="R64" t="s">
        <v>513</v>
      </c>
      <c r="S64" t="s">
        <v>513</v>
      </c>
      <c r="T64" s="31">
        <v>0</v>
      </c>
      <c r="U64" t="s">
        <v>513</v>
      </c>
      <c r="V64" s="31">
        <v>0</v>
      </c>
      <c r="W64" t="s">
        <v>514</v>
      </c>
      <c r="X64" s="31">
        <v>0.66666666666666663</v>
      </c>
      <c r="Y64" t="s">
        <v>705</v>
      </c>
      <c r="Z64" s="31">
        <v>0.2</v>
      </c>
      <c r="AA64" t="s">
        <v>588</v>
      </c>
      <c r="AB64" s="31">
        <v>-0.33333333333333331</v>
      </c>
      <c r="AC64">
        <v>5</v>
      </c>
      <c r="AD64" t="s">
        <v>590</v>
      </c>
      <c r="AE64" t="s">
        <v>590</v>
      </c>
      <c r="AF64" s="31" t="s">
        <v>590</v>
      </c>
      <c r="AG64" t="s">
        <v>1083</v>
      </c>
      <c r="AH64" s="31" t="s">
        <v>590</v>
      </c>
      <c r="AI64" t="s">
        <v>1084</v>
      </c>
      <c r="AJ64" s="31">
        <v>0.18190045248868777</v>
      </c>
      <c r="AK64" t="s">
        <v>1085</v>
      </c>
      <c r="AL64" s="31">
        <v>7.1975497702909647E-2</v>
      </c>
      <c r="AM64" t="s">
        <v>1086</v>
      </c>
      <c r="AN64" s="31">
        <v>9.3571428571428569E-2</v>
      </c>
      <c r="AO64" t="s">
        <v>1087</v>
      </c>
      <c r="AP64">
        <v>5.61</v>
      </c>
      <c r="AQ64">
        <v>272062</v>
      </c>
      <c r="AR64">
        <v>260028</v>
      </c>
      <c r="AS64" s="31">
        <v>-4.4232564636002086E-2</v>
      </c>
      <c r="AT64">
        <v>390004</v>
      </c>
      <c r="AU64" s="31">
        <v>0.49985386189179626</v>
      </c>
      <c r="AV64">
        <v>435751</v>
      </c>
      <c r="AW64" s="31">
        <v>0.11729879693541605</v>
      </c>
      <c r="AX64">
        <v>283497</v>
      </c>
      <c r="AY64" s="31">
        <v>-0.3494059680872792</v>
      </c>
      <c r="BA64" s="31" t="s">
        <v>590</v>
      </c>
      <c r="BB64">
        <v>-5710</v>
      </c>
      <c r="BC64">
        <v>26466</v>
      </c>
      <c r="BD64" s="31">
        <v>5.6350262697022799</v>
      </c>
      <c r="BE64">
        <v>62568</v>
      </c>
      <c r="BF64" s="31">
        <v>1.3640897755610972</v>
      </c>
      <c r="BG64">
        <v>56802</v>
      </c>
      <c r="BH64" s="31">
        <v>-9.2155734560797856E-2</v>
      </c>
      <c r="BI64">
        <v>-3225</v>
      </c>
      <c r="BJ64" s="31">
        <v>-1.0567761698531741</v>
      </c>
      <c r="BL64" s="31" t="s">
        <v>590</v>
      </c>
      <c r="BM64" t="s">
        <v>1088</v>
      </c>
      <c r="BN64" t="s">
        <v>1089</v>
      </c>
      <c r="BO64" t="s">
        <v>1090</v>
      </c>
      <c r="BP64" t="s">
        <v>80</v>
      </c>
      <c r="BQ64" t="s">
        <v>80</v>
      </c>
      <c r="BR64" t="s">
        <v>647</v>
      </c>
      <c r="BS64" t="s">
        <v>1091</v>
      </c>
    </row>
    <row r="65" spans="1:71" x14ac:dyDescent="0.2">
      <c r="A65" t="s">
        <v>1092</v>
      </c>
      <c r="B65" t="s">
        <v>1093</v>
      </c>
      <c r="C65">
        <v>631100</v>
      </c>
      <c r="D65" t="s">
        <v>1094</v>
      </c>
      <c r="I65">
        <v>303139606</v>
      </c>
      <c r="J65" t="s">
        <v>1095</v>
      </c>
      <c r="K65" t="s">
        <v>1096</v>
      </c>
      <c r="L65" t="s">
        <v>1097</v>
      </c>
      <c r="M65" t="s">
        <v>171</v>
      </c>
      <c r="N65" t="s">
        <v>1098</v>
      </c>
      <c r="O65" t="s">
        <v>1099</v>
      </c>
      <c r="Q65" t="s">
        <v>80</v>
      </c>
      <c r="R65" t="s">
        <v>705</v>
      </c>
      <c r="S65" t="s">
        <v>513</v>
      </c>
      <c r="T65" s="31">
        <v>-0.5</v>
      </c>
      <c r="U65" t="s">
        <v>752</v>
      </c>
      <c r="V65" s="31">
        <v>-0.66666666666666663</v>
      </c>
      <c r="W65" t="s">
        <v>752</v>
      </c>
      <c r="X65" s="31">
        <v>0</v>
      </c>
      <c r="Y65" t="s">
        <v>752</v>
      </c>
      <c r="Z65" s="31">
        <v>0</v>
      </c>
      <c r="AA65" t="s">
        <v>752</v>
      </c>
      <c r="AB65" s="31">
        <v>0</v>
      </c>
      <c r="AC65">
        <v>1</v>
      </c>
      <c r="AD65" t="s">
        <v>1100</v>
      </c>
      <c r="AE65" t="s">
        <v>1101</v>
      </c>
      <c r="AF65" s="31">
        <v>0.21559191530317612</v>
      </c>
      <c r="AG65" t="s">
        <v>590</v>
      </c>
      <c r="AH65" s="31" t="s">
        <v>590</v>
      </c>
      <c r="AI65" t="s">
        <v>590</v>
      </c>
      <c r="AJ65" s="31" t="s">
        <v>590</v>
      </c>
      <c r="AK65" t="s">
        <v>590</v>
      </c>
      <c r="AL65" s="31" t="s">
        <v>590</v>
      </c>
      <c r="AM65" t="s">
        <v>590</v>
      </c>
      <c r="AN65" s="31" t="s">
        <v>590</v>
      </c>
      <c r="AO65" t="s">
        <v>590</v>
      </c>
      <c r="AP65">
        <v>0.41</v>
      </c>
      <c r="AQ65">
        <v>134293</v>
      </c>
      <c r="AR65">
        <v>297045</v>
      </c>
      <c r="AS65" s="31">
        <v>1.2119172257675381</v>
      </c>
      <c r="AT65">
        <v>924135</v>
      </c>
      <c r="AU65" s="31">
        <v>2.1110942786446496</v>
      </c>
      <c r="AV65">
        <v>702426</v>
      </c>
      <c r="AW65" s="31">
        <v>-0.23990975344511353</v>
      </c>
      <c r="AX65">
        <v>682575</v>
      </c>
      <c r="AY65" s="31">
        <v>-2.8260628165813907E-2</v>
      </c>
      <c r="BA65" s="31" t="s">
        <v>590</v>
      </c>
      <c r="BB65">
        <v>-15104</v>
      </c>
      <c r="BC65">
        <v>23971</v>
      </c>
      <c r="BD65" s="31">
        <v>2.58706302966102</v>
      </c>
      <c r="BE65">
        <v>176024</v>
      </c>
      <c r="BF65" s="31">
        <v>6.3432063743690295</v>
      </c>
      <c r="BG65">
        <v>75777</v>
      </c>
      <c r="BH65" s="31">
        <v>-0.56950756714993411</v>
      </c>
      <c r="BI65">
        <v>66010</v>
      </c>
      <c r="BJ65" s="31">
        <v>-0.12889135225728124</v>
      </c>
      <c r="BL65" s="31" t="s">
        <v>590</v>
      </c>
      <c r="BM65" t="s">
        <v>1102</v>
      </c>
      <c r="BN65" t="s">
        <v>1103</v>
      </c>
      <c r="BO65" t="s">
        <v>1104</v>
      </c>
      <c r="BP65" t="s">
        <v>80</v>
      </c>
      <c r="BQ65" t="s">
        <v>80</v>
      </c>
      <c r="BR65" t="s">
        <v>189</v>
      </c>
      <c r="BS65" t="s">
        <v>1105</v>
      </c>
    </row>
    <row r="66" spans="1:71" x14ac:dyDescent="0.2">
      <c r="A66" t="s">
        <v>1106</v>
      </c>
      <c r="B66" t="s">
        <v>1107</v>
      </c>
      <c r="C66">
        <v>731100</v>
      </c>
      <c r="D66" t="s">
        <v>73</v>
      </c>
      <c r="I66">
        <v>304067387</v>
      </c>
      <c r="J66" t="s">
        <v>1108</v>
      </c>
      <c r="K66" t="s">
        <v>1109</v>
      </c>
      <c r="L66" t="s">
        <v>1110</v>
      </c>
      <c r="M66" t="s">
        <v>77</v>
      </c>
      <c r="N66" t="s">
        <v>1111</v>
      </c>
      <c r="O66" t="s">
        <v>80</v>
      </c>
      <c r="P66">
        <v>37063153386</v>
      </c>
      <c r="Q66" t="s">
        <v>80</v>
      </c>
      <c r="R66" t="s">
        <v>251</v>
      </c>
      <c r="S66" t="s">
        <v>199</v>
      </c>
      <c r="T66" s="31">
        <v>-3.5714285714285712E-2</v>
      </c>
      <c r="U66" t="s">
        <v>108</v>
      </c>
      <c r="V66" s="31">
        <v>0.18518518518518517</v>
      </c>
      <c r="W66" t="s">
        <v>306</v>
      </c>
      <c r="X66" s="31">
        <v>0.15625</v>
      </c>
      <c r="Y66" t="s">
        <v>1112</v>
      </c>
      <c r="Z66" s="31">
        <v>2.7027027027027029E-2</v>
      </c>
      <c r="AA66" t="s">
        <v>130</v>
      </c>
      <c r="AB66" s="31">
        <v>0.21052631578947367</v>
      </c>
      <c r="AC66">
        <v>40</v>
      </c>
      <c r="AD66" t="s">
        <v>1113</v>
      </c>
      <c r="AE66" t="s">
        <v>1114</v>
      </c>
      <c r="AF66" s="31">
        <v>0.10128913443830571</v>
      </c>
      <c r="AG66" t="s">
        <v>1115</v>
      </c>
      <c r="AH66" s="31">
        <v>6.1872909698996656E-2</v>
      </c>
      <c r="AI66" t="s">
        <v>1116</v>
      </c>
      <c r="AJ66" s="31">
        <v>0.18070866141732284</v>
      </c>
      <c r="AK66" t="s">
        <v>1117</v>
      </c>
      <c r="AL66" s="31">
        <v>7.235745248416138E-2</v>
      </c>
      <c r="AM66" t="s">
        <v>1118</v>
      </c>
      <c r="AN66" s="31">
        <v>5.6592039800995024E-2</v>
      </c>
      <c r="AO66" t="s">
        <v>1119</v>
      </c>
      <c r="AP66" t="s">
        <v>80</v>
      </c>
      <c r="AQ66">
        <v>12323796</v>
      </c>
      <c r="AR66">
        <v>12436858</v>
      </c>
      <c r="AS66" s="31">
        <v>9.1742836379310397E-3</v>
      </c>
      <c r="AT66">
        <v>16776261</v>
      </c>
      <c r="AU66" s="31">
        <v>0.34891473393038658</v>
      </c>
      <c r="AV66">
        <v>21224833</v>
      </c>
      <c r="AW66" s="31">
        <v>0.26517064797692408</v>
      </c>
      <c r="AX66">
        <v>25811839</v>
      </c>
      <c r="AY66" s="31">
        <v>0.21611505730103978</v>
      </c>
      <c r="BA66" s="31" t="s">
        <v>590</v>
      </c>
      <c r="BB66">
        <v>271504</v>
      </c>
      <c r="BC66">
        <v>250157</v>
      </c>
      <c r="BD66" s="31">
        <v>-7.8624992633626017E-2</v>
      </c>
      <c r="BE66">
        <v>416821</v>
      </c>
      <c r="BF66" s="31">
        <v>0.66623760278545074</v>
      </c>
      <c r="BG66">
        <v>425795</v>
      </c>
      <c r="BH66" s="31">
        <v>2.1529625426741934E-2</v>
      </c>
      <c r="BI66">
        <v>405824</v>
      </c>
      <c r="BJ66" s="31">
        <v>-4.6902852311558378E-2</v>
      </c>
      <c r="BL66" s="31" t="s">
        <v>590</v>
      </c>
      <c r="BM66" t="s">
        <v>1120</v>
      </c>
      <c r="BN66" t="s">
        <v>1121</v>
      </c>
      <c r="BO66" t="s">
        <v>80</v>
      </c>
      <c r="BP66" t="s">
        <v>80</v>
      </c>
      <c r="BQ66" t="s">
        <v>80</v>
      </c>
      <c r="BR66" t="s">
        <v>95</v>
      </c>
      <c r="BS66" t="s">
        <v>1122</v>
      </c>
    </row>
    <row r="67" spans="1:71" x14ac:dyDescent="0.2">
      <c r="A67" t="s">
        <v>1123</v>
      </c>
      <c r="B67" t="s">
        <v>1124</v>
      </c>
      <c r="I67">
        <v>302837871</v>
      </c>
      <c r="J67" t="s">
        <v>1125</v>
      </c>
      <c r="T67" s="31"/>
      <c r="V67" s="31"/>
      <c r="X67" s="31"/>
      <c r="Z67" s="31"/>
      <c r="AB67" s="31"/>
      <c r="AF67" s="31"/>
      <c r="AH67" s="31"/>
      <c r="AJ67" s="31"/>
      <c r="AL67" s="31"/>
      <c r="AN67" s="31"/>
      <c r="AS67" s="31"/>
      <c r="AU67" s="31"/>
      <c r="AW67" s="31"/>
      <c r="AY67" s="31"/>
      <c r="BA67" s="31"/>
      <c r="BD67" s="31"/>
      <c r="BF67" s="31"/>
      <c r="BH67" s="31"/>
      <c r="BJ67" s="31"/>
      <c r="BL67" s="31"/>
    </row>
    <row r="68" spans="1:71" x14ac:dyDescent="0.2">
      <c r="A68" t="s">
        <v>1126</v>
      </c>
      <c r="B68" t="s">
        <v>1127</v>
      </c>
      <c r="I68">
        <v>301793500</v>
      </c>
      <c r="J68" t="s">
        <v>1128</v>
      </c>
      <c r="T68" s="31"/>
      <c r="V68" s="31"/>
      <c r="X68" s="31"/>
      <c r="Z68" s="31"/>
      <c r="AB68" s="31"/>
      <c r="AF68" s="31"/>
      <c r="AH68" s="31"/>
      <c r="AJ68" s="31"/>
      <c r="AL68" s="31"/>
      <c r="AN68" s="31"/>
      <c r="AS68" s="31"/>
      <c r="AU68" s="31"/>
      <c r="AW68" s="31"/>
      <c r="AY68" s="31"/>
      <c r="BA68" s="31"/>
      <c r="BD68" s="31"/>
      <c r="BF68" s="31"/>
      <c r="BH68" s="31"/>
      <c r="BJ68" s="31"/>
      <c r="BL68" s="31"/>
    </row>
    <row r="69" spans="1:71" x14ac:dyDescent="0.2">
      <c r="A69" t="s">
        <v>1129</v>
      </c>
      <c r="B69" t="s">
        <v>1130</v>
      </c>
      <c r="C69">
        <v>731100</v>
      </c>
      <c r="D69" t="s">
        <v>508</v>
      </c>
      <c r="I69">
        <v>111632739</v>
      </c>
      <c r="J69" t="s">
        <v>1131</v>
      </c>
      <c r="K69" t="s">
        <v>1129</v>
      </c>
      <c r="L69" t="s">
        <v>1132</v>
      </c>
      <c r="M69" t="s">
        <v>77</v>
      </c>
      <c r="N69" t="s">
        <v>1133</v>
      </c>
      <c r="O69" t="s">
        <v>1134</v>
      </c>
      <c r="P69">
        <v>37070000000</v>
      </c>
      <c r="Q69" t="s">
        <v>1135</v>
      </c>
      <c r="R69">
        <v>21</v>
      </c>
      <c r="S69">
        <v>16</v>
      </c>
      <c r="T69" s="31">
        <v>-0.24</v>
      </c>
      <c r="U69">
        <v>13</v>
      </c>
      <c r="V69" s="31">
        <v>-0.19</v>
      </c>
      <c r="W69">
        <v>16</v>
      </c>
      <c r="X69" s="31">
        <v>0.23</v>
      </c>
      <c r="Y69">
        <v>16</v>
      </c>
      <c r="Z69" s="31">
        <v>0</v>
      </c>
      <c r="AA69">
        <v>24</v>
      </c>
      <c r="AB69" s="31">
        <v>0.5</v>
      </c>
      <c r="AC69">
        <v>23</v>
      </c>
      <c r="AD69">
        <v>2789</v>
      </c>
      <c r="AE69">
        <v>2908</v>
      </c>
      <c r="AF69" s="31">
        <v>0.04</v>
      </c>
      <c r="AG69">
        <v>2982</v>
      </c>
      <c r="AH69" s="31">
        <v>0.03</v>
      </c>
      <c r="AI69">
        <v>3321</v>
      </c>
      <c r="AJ69" s="31">
        <v>0.11</v>
      </c>
      <c r="AK69">
        <v>3469</v>
      </c>
      <c r="AL69" s="31">
        <v>0.04</v>
      </c>
      <c r="AM69">
        <v>3549</v>
      </c>
      <c r="AN69" s="31">
        <v>0.02</v>
      </c>
      <c r="AO69">
        <v>5094</v>
      </c>
      <c r="AP69" t="s">
        <v>1135</v>
      </c>
      <c r="AQ69">
        <v>7485095</v>
      </c>
      <c r="AR69">
        <v>6600159</v>
      </c>
      <c r="AS69" s="31">
        <v>-0.12</v>
      </c>
      <c r="AT69">
        <v>8885368</v>
      </c>
      <c r="AU69" s="31">
        <v>0.35</v>
      </c>
      <c r="AV69">
        <v>7425733</v>
      </c>
      <c r="AW69" s="31">
        <v>-0.16</v>
      </c>
      <c r="AX69">
        <v>7342686</v>
      </c>
      <c r="AY69" s="31">
        <v>-0.01</v>
      </c>
      <c r="AZ69">
        <v>7514559</v>
      </c>
      <c r="BA69" s="31">
        <v>0.02</v>
      </c>
      <c r="BB69">
        <v>5460</v>
      </c>
      <c r="BC69">
        <v>113995</v>
      </c>
      <c r="BD69" s="31">
        <v>19.88</v>
      </c>
      <c r="BE69">
        <v>358969</v>
      </c>
      <c r="BF69" s="31">
        <v>2.15</v>
      </c>
      <c r="BG69">
        <v>253547</v>
      </c>
      <c r="BH69" s="31">
        <v>-0.28999999999999998</v>
      </c>
      <c r="BI69">
        <v>96617</v>
      </c>
      <c r="BJ69" s="31">
        <v>-0.62</v>
      </c>
      <c r="BK69">
        <v>72943</v>
      </c>
      <c r="BL69" s="31">
        <v>-0.25</v>
      </c>
      <c r="BM69" t="s">
        <v>1130</v>
      </c>
      <c r="BN69" t="s">
        <v>1136</v>
      </c>
      <c r="BO69" t="s">
        <v>1135</v>
      </c>
      <c r="BP69" t="s">
        <v>1135</v>
      </c>
      <c r="BQ69" t="s">
        <v>1135</v>
      </c>
      <c r="BR69" t="s">
        <v>95</v>
      </c>
      <c r="BS69" t="s">
        <v>1137</v>
      </c>
    </row>
    <row r="70" spans="1:71" x14ac:dyDescent="0.2">
      <c r="A70" t="s">
        <v>1138</v>
      </c>
      <c r="B70" t="s">
        <v>1139</v>
      </c>
      <c r="C70">
        <v>731100</v>
      </c>
      <c r="D70" t="s">
        <v>508</v>
      </c>
      <c r="I70">
        <v>126286061</v>
      </c>
      <c r="J70" t="s">
        <v>1140</v>
      </c>
      <c r="K70" t="s">
        <v>1138</v>
      </c>
      <c r="L70" t="s">
        <v>1141</v>
      </c>
      <c r="M70" t="s">
        <v>77</v>
      </c>
      <c r="N70" t="s">
        <v>1142</v>
      </c>
      <c r="O70" t="s">
        <v>1143</v>
      </c>
      <c r="P70">
        <v>37069000000</v>
      </c>
      <c r="Q70" t="s">
        <v>1135</v>
      </c>
      <c r="R70">
        <v>21</v>
      </c>
      <c r="S70">
        <v>18</v>
      </c>
      <c r="T70" s="31">
        <v>-0.14000000000000001</v>
      </c>
      <c r="U70">
        <v>15</v>
      </c>
      <c r="V70" s="31">
        <v>-0.17</v>
      </c>
      <c r="W70">
        <v>14</v>
      </c>
      <c r="X70" s="31">
        <v>-7.0000000000000007E-2</v>
      </c>
      <c r="Y70">
        <v>13</v>
      </c>
      <c r="Z70" s="31">
        <v>-7.0000000000000007E-2</v>
      </c>
      <c r="AA70">
        <v>11</v>
      </c>
      <c r="AB70" s="31">
        <v>-0.15</v>
      </c>
      <c r="AC70">
        <v>11</v>
      </c>
      <c r="AD70">
        <v>805</v>
      </c>
      <c r="AE70">
        <v>672</v>
      </c>
      <c r="AF70" s="31">
        <v>-0.17</v>
      </c>
      <c r="AG70">
        <v>706</v>
      </c>
      <c r="AH70" s="31">
        <v>0.05</v>
      </c>
      <c r="AI70">
        <v>702</v>
      </c>
      <c r="AJ70" s="31">
        <v>-0.01</v>
      </c>
      <c r="AK70">
        <v>951</v>
      </c>
      <c r="AL70" s="31">
        <v>0.35</v>
      </c>
      <c r="AM70">
        <v>1136</v>
      </c>
      <c r="AN70" s="31">
        <v>0.19</v>
      </c>
      <c r="AO70">
        <v>1177</v>
      </c>
      <c r="AP70" t="s">
        <v>1135</v>
      </c>
      <c r="AQ70">
        <v>1425182</v>
      </c>
      <c r="AR70">
        <v>629069</v>
      </c>
      <c r="AS70" s="31">
        <v>-0.56000000000000005</v>
      </c>
      <c r="AT70">
        <v>621316</v>
      </c>
      <c r="AU70" s="31">
        <v>-0.01</v>
      </c>
      <c r="AV70">
        <v>790127</v>
      </c>
      <c r="AW70" s="31">
        <v>0.27</v>
      </c>
      <c r="AX70">
        <v>1357188</v>
      </c>
      <c r="AY70" s="31">
        <v>0.72</v>
      </c>
      <c r="AZ70">
        <v>1984708</v>
      </c>
      <c r="BA70" s="31">
        <v>0.46</v>
      </c>
      <c r="BB70">
        <v>749</v>
      </c>
      <c r="BC70">
        <v>73</v>
      </c>
      <c r="BD70" s="31">
        <v>-0.9</v>
      </c>
      <c r="BE70">
        <v>51</v>
      </c>
      <c r="BF70" s="31">
        <v>-0.3</v>
      </c>
      <c r="BG70">
        <v>1370</v>
      </c>
      <c r="BH70" s="31">
        <v>25.86</v>
      </c>
      <c r="BI70">
        <v>18707</v>
      </c>
      <c r="BJ70" s="31">
        <v>12.65</v>
      </c>
      <c r="BK70">
        <v>93394</v>
      </c>
      <c r="BL70" s="31">
        <v>3.99</v>
      </c>
      <c r="BM70" t="s">
        <v>1139</v>
      </c>
      <c r="BN70" t="s">
        <v>1144</v>
      </c>
      <c r="BO70" t="s">
        <v>1145</v>
      </c>
      <c r="BP70" t="s">
        <v>1146</v>
      </c>
      <c r="BQ70" t="s">
        <v>1147</v>
      </c>
      <c r="BR70" t="s">
        <v>189</v>
      </c>
      <c r="BS70" t="s">
        <v>1137</v>
      </c>
    </row>
    <row r="71" spans="1:71" x14ac:dyDescent="0.2">
      <c r="A71" t="s">
        <v>1148</v>
      </c>
      <c r="B71" t="s">
        <v>1149</v>
      </c>
      <c r="C71">
        <v>731100</v>
      </c>
      <c r="D71" t="s">
        <v>508</v>
      </c>
      <c r="I71">
        <v>300013463</v>
      </c>
      <c r="J71" t="s">
        <v>1150</v>
      </c>
      <c r="K71" t="s">
        <v>1148</v>
      </c>
      <c r="L71" t="s">
        <v>1151</v>
      </c>
      <c r="M71" t="s">
        <v>77</v>
      </c>
      <c r="N71" t="s">
        <v>1152</v>
      </c>
      <c r="O71" t="s">
        <v>1135</v>
      </c>
      <c r="P71">
        <v>37069000000</v>
      </c>
      <c r="Q71" t="s">
        <v>1135</v>
      </c>
      <c r="R71">
        <v>6</v>
      </c>
      <c r="S71">
        <v>6</v>
      </c>
      <c r="T71" s="31">
        <v>0</v>
      </c>
      <c r="U71">
        <v>7</v>
      </c>
      <c r="V71" s="31">
        <v>0.17</v>
      </c>
      <c r="W71">
        <v>7</v>
      </c>
      <c r="X71" s="31">
        <v>0</v>
      </c>
      <c r="Y71">
        <v>7</v>
      </c>
      <c r="Z71" s="31">
        <v>0</v>
      </c>
      <c r="AA71">
        <v>7</v>
      </c>
      <c r="AB71" s="31">
        <v>0</v>
      </c>
      <c r="AC71">
        <v>9</v>
      </c>
      <c r="AD71">
        <v>1347</v>
      </c>
      <c r="AE71">
        <v>1849</v>
      </c>
      <c r="AF71" s="31">
        <v>0.37</v>
      </c>
      <c r="AG71">
        <v>1704</v>
      </c>
      <c r="AH71" s="31">
        <v>-0.08</v>
      </c>
      <c r="AI71">
        <v>1886</v>
      </c>
      <c r="AJ71" s="31">
        <v>0.11</v>
      </c>
      <c r="AK71">
        <v>2051</v>
      </c>
      <c r="AL71" s="31">
        <v>0.09</v>
      </c>
      <c r="AM71">
        <v>2167</v>
      </c>
      <c r="AN71" s="31">
        <v>0.06</v>
      </c>
      <c r="AO71">
        <v>2561</v>
      </c>
      <c r="AP71" t="s">
        <v>1135</v>
      </c>
      <c r="AQ71">
        <v>919681</v>
      </c>
      <c r="AR71">
        <v>957226</v>
      </c>
      <c r="AS71" s="31">
        <v>0.04</v>
      </c>
      <c r="AT71">
        <v>1539976</v>
      </c>
      <c r="AU71" s="31">
        <v>0.61</v>
      </c>
      <c r="AV71">
        <v>1186957</v>
      </c>
      <c r="AW71" s="31">
        <v>-0.23</v>
      </c>
      <c r="AX71">
        <v>1069493</v>
      </c>
      <c r="AY71" s="31">
        <v>-0.1</v>
      </c>
      <c r="AZ71">
        <v>848557</v>
      </c>
      <c r="BA71" s="31">
        <v>-0.21</v>
      </c>
      <c r="BB71">
        <v>34825</v>
      </c>
      <c r="BC71">
        <v>37773</v>
      </c>
      <c r="BD71" s="31">
        <v>0.08</v>
      </c>
      <c r="BE71">
        <v>46408</v>
      </c>
      <c r="BF71" s="31">
        <v>0.23</v>
      </c>
      <c r="BG71">
        <v>48406</v>
      </c>
      <c r="BH71" s="31">
        <v>0.04</v>
      </c>
      <c r="BI71">
        <v>60954</v>
      </c>
      <c r="BJ71" s="31">
        <v>0.26</v>
      </c>
      <c r="BK71">
        <v>40206</v>
      </c>
      <c r="BL71" s="31">
        <v>-0.34</v>
      </c>
      <c r="BM71" t="s">
        <v>1149</v>
      </c>
      <c r="BN71" t="s">
        <v>1153</v>
      </c>
      <c r="BO71" t="s">
        <v>1135</v>
      </c>
      <c r="BP71" t="s">
        <v>1135</v>
      </c>
      <c r="BQ71" t="s">
        <v>1135</v>
      </c>
      <c r="BR71" t="s">
        <v>95</v>
      </c>
      <c r="BS71" t="s">
        <v>1137</v>
      </c>
    </row>
    <row r="72" spans="1:71" x14ac:dyDescent="0.2">
      <c r="A72" t="s">
        <v>1154</v>
      </c>
      <c r="B72" t="s">
        <v>1155</v>
      </c>
      <c r="C72">
        <v>702100</v>
      </c>
      <c r="D72" t="s">
        <v>763</v>
      </c>
      <c r="I72">
        <v>300613091</v>
      </c>
      <c r="J72" t="s">
        <v>1156</v>
      </c>
      <c r="K72" t="s">
        <v>1154</v>
      </c>
      <c r="L72" t="s">
        <v>1157</v>
      </c>
      <c r="M72" t="s">
        <v>77</v>
      </c>
      <c r="N72" t="s">
        <v>1158</v>
      </c>
      <c r="O72" t="s">
        <v>1159</v>
      </c>
      <c r="Q72" t="s">
        <v>1135</v>
      </c>
      <c r="R72">
        <v>33</v>
      </c>
      <c r="S72">
        <v>21</v>
      </c>
      <c r="T72" s="31">
        <v>-0.36</v>
      </c>
      <c r="U72">
        <v>22</v>
      </c>
      <c r="V72" s="31">
        <v>0.05</v>
      </c>
      <c r="W72">
        <v>23</v>
      </c>
      <c r="X72" s="31">
        <v>0.05</v>
      </c>
      <c r="Y72">
        <v>18</v>
      </c>
      <c r="Z72" s="31">
        <v>-0.22</v>
      </c>
      <c r="AA72">
        <v>19</v>
      </c>
      <c r="AB72" s="31">
        <v>0.06</v>
      </c>
      <c r="AC72">
        <v>15</v>
      </c>
      <c r="AD72">
        <v>1914</v>
      </c>
      <c r="AE72">
        <v>2264</v>
      </c>
      <c r="AF72" s="31">
        <v>0.18</v>
      </c>
      <c r="AG72">
        <v>2355</v>
      </c>
      <c r="AH72" s="31">
        <v>0.04</v>
      </c>
      <c r="AI72">
        <v>2689</v>
      </c>
      <c r="AJ72" s="31">
        <v>0.14000000000000001</v>
      </c>
      <c r="AK72">
        <v>2843</v>
      </c>
      <c r="AL72" s="31">
        <v>0.06</v>
      </c>
      <c r="AM72">
        <v>2886</v>
      </c>
      <c r="AN72" s="31">
        <v>0.02</v>
      </c>
      <c r="AO72">
        <v>2732</v>
      </c>
      <c r="AP72" t="s">
        <v>1135</v>
      </c>
      <c r="AQ72">
        <v>3084434</v>
      </c>
      <c r="AR72">
        <v>1249050</v>
      </c>
      <c r="AS72" s="31">
        <v>-0.6</v>
      </c>
      <c r="AT72">
        <v>1374583</v>
      </c>
      <c r="AU72" s="31">
        <v>0.1</v>
      </c>
      <c r="AV72">
        <v>1467780</v>
      </c>
      <c r="AW72" s="31">
        <v>7.0000000000000007E-2</v>
      </c>
      <c r="AX72">
        <v>1658335</v>
      </c>
      <c r="AY72" s="31">
        <v>0.13</v>
      </c>
      <c r="AZ72">
        <v>1526769</v>
      </c>
      <c r="BA72" s="31">
        <v>-0.08</v>
      </c>
      <c r="BB72">
        <v>49896</v>
      </c>
      <c r="BC72">
        <v>-69262</v>
      </c>
      <c r="BD72" s="31">
        <v>-2.39</v>
      </c>
      <c r="BE72">
        <v>3424</v>
      </c>
      <c r="BF72" s="31">
        <v>1.05</v>
      </c>
      <c r="BG72">
        <v>423</v>
      </c>
      <c r="BH72" s="31">
        <v>-0.88</v>
      </c>
      <c r="BI72">
        <v>1489</v>
      </c>
      <c r="BJ72" s="31">
        <v>2.52</v>
      </c>
      <c r="BK72">
        <v>-47780</v>
      </c>
      <c r="BL72" s="31">
        <v>-33.090000000000003</v>
      </c>
      <c r="BM72" t="s">
        <v>1155</v>
      </c>
      <c r="BN72" t="s">
        <v>1160</v>
      </c>
      <c r="BO72" t="s">
        <v>1161</v>
      </c>
      <c r="BP72" t="s">
        <v>1162</v>
      </c>
      <c r="BQ72" t="s">
        <v>1163</v>
      </c>
      <c r="BR72" t="s">
        <v>95</v>
      </c>
      <c r="BS72" t="s">
        <v>1137</v>
      </c>
    </row>
    <row r="73" spans="1:71" x14ac:dyDescent="0.2">
      <c r="A73" t="s">
        <v>1164</v>
      </c>
      <c r="B73" t="s">
        <v>1165</v>
      </c>
      <c r="C73">
        <v>731100</v>
      </c>
      <c r="D73" t="s">
        <v>508</v>
      </c>
      <c r="I73">
        <v>300940673</v>
      </c>
      <c r="J73" t="s">
        <v>1166</v>
      </c>
      <c r="K73" t="s">
        <v>1164</v>
      </c>
      <c r="L73" t="s">
        <v>1167</v>
      </c>
      <c r="M73" t="s">
        <v>77</v>
      </c>
      <c r="N73" t="s">
        <v>1168</v>
      </c>
      <c r="O73" t="s">
        <v>1169</v>
      </c>
      <c r="Q73">
        <v>37070000000</v>
      </c>
      <c r="R73">
        <v>15</v>
      </c>
      <c r="S73">
        <v>15</v>
      </c>
      <c r="T73" s="31">
        <v>0</v>
      </c>
      <c r="U73">
        <v>15</v>
      </c>
      <c r="V73" s="31">
        <v>0</v>
      </c>
      <c r="W73">
        <v>15</v>
      </c>
      <c r="X73" s="31">
        <v>0</v>
      </c>
      <c r="Y73">
        <v>15</v>
      </c>
      <c r="Z73" s="31">
        <v>0</v>
      </c>
      <c r="AA73">
        <v>14</v>
      </c>
      <c r="AB73" s="31">
        <v>-7.0000000000000007E-2</v>
      </c>
      <c r="AC73">
        <v>11</v>
      </c>
      <c r="AD73">
        <v>1899</v>
      </c>
      <c r="AE73">
        <v>2244</v>
      </c>
      <c r="AF73" s="31">
        <v>0.18</v>
      </c>
      <c r="AG73">
        <v>2645</v>
      </c>
      <c r="AH73" s="31">
        <v>0.18</v>
      </c>
      <c r="AI73">
        <v>2804</v>
      </c>
      <c r="AJ73" s="31">
        <v>0.06</v>
      </c>
      <c r="AK73">
        <v>3033</v>
      </c>
      <c r="AL73" s="31">
        <v>0.08</v>
      </c>
      <c r="AM73">
        <v>3354</v>
      </c>
      <c r="AN73" s="31">
        <v>0.11</v>
      </c>
      <c r="AO73">
        <v>3734</v>
      </c>
      <c r="AP73" t="s">
        <v>1135</v>
      </c>
      <c r="AQ73">
        <v>1390424</v>
      </c>
      <c r="AR73">
        <v>1685954</v>
      </c>
      <c r="AS73" s="31">
        <v>0.21</v>
      </c>
      <c r="AT73">
        <v>1951484</v>
      </c>
      <c r="AU73" s="31">
        <v>0.16</v>
      </c>
      <c r="AV73">
        <v>2060853</v>
      </c>
      <c r="AW73" s="31">
        <v>0.06</v>
      </c>
      <c r="AX73">
        <v>2135316</v>
      </c>
      <c r="AY73" s="31">
        <v>0.04</v>
      </c>
      <c r="AZ73">
        <v>2179847</v>
      </c>
      <c r="BA73" s="31">
        <v>0.02</v>
      </c>
      <c r="BB73">
        <v>79579</v>
      </c>
      <c r="BC73">
        <v>58669</v>
      </c>
      <c r="BD73" s="31">
        <v>-0.26</v>
      </c>
      <c r="BE73">
        <v>64808</v>
      </c>
      <c r="BF73" s="31">
        <v>0.1</v>
      </c>
      <c r="BG73">
        <v>63883</v>
      </c>
      <c r="BH73" s="31">
        <v>-0.01</v>
      </c>
      <c r="BI73">
        <v>132927</v>
      </c>
      <c r="BJ73" s="31">
        <v>1.08</v>
      </c>
      <c r="BK73">
        <v>42493</v>
      </c>
      <c r="BL73" s="31">
        <v>-0.68</v>
      </c>
      <c r="BM73" t="s">
        <v>1165</v>
      </c>
      <c r="BN73" t="s">
        <v>1170</v>
      </c>
      <c r="BO73" t="s">
        <v>1171</v>
      </c>
      <c r="BP73" t="s">
        <v>1135</v>
      </c>
      <c r="BQ73" t="s">
        <v>1135</v>
      </c>
      <c r="BR73" t="s">
        <v>95</v>
      </c>
      <c r="BS73" t="s">
        <v>1137</v>
      </c>
    </row>
    <row r="74" spans="1:71" x14ac:dyDescent="0.2">
      <c r="A74" t="s">
        <v>1172</v>
      </c>
      <c r="B74" t="s">
        <v>1173</v>
      </c>
      <c r="C74">
        <v>731100</v>
      </c>
      <c r="D74" t="s">
        <v>508</v>
      </c>
      <c r="I74">
        <v>301542341</v>
      </c>
      <c r="J74" t="s">
        <v>1174</v>
      </c>
      <c r="K74" t="s">
        <v>1172</v>
      </c>
      <c r="L74" t="s">
        <v>1175</v>
      </c>
      <c r="M74" t="s">
        <v>77</v>
      </c>
      <c r="N74" t="s">
        <v>1176</v>
      </c>
      <c r="O74" t="s">
        <v>1135</v>
      </c>
      <c r="P74" t="s">
        <v>1135</v>
      </c>
      <c r="Q74">
        <v>37062000000</v>
      </c>
      <c r="R74">
        <v>7</v>
      </c>
      <c r="S74">
        <v>3</v>
      </c>
      <c r="T74" s="31">
        <v>-0.56999999999999995</v>
      </c>
      <c r="U74">
        <v>4</v>
      </c>
      <c r="V74" s="31">
        <v>0.33</v>
      </c>
      <c r="W74">
        <v>5</v>
      </c>
      <c r="X74" s="31">
        <v>0.25</v>
      </c>
      <c r="Y74">
        <v>5</v>
      </c>
      <c r="Z74" s="31">
        <v>0</v>
      </c>
      <c r="AA74">
        <v>5</v>
      </c>
      <c r="AB74" s="31">
        <v>0</v>
      </c>
      <c r="AC74">
        <v>4</v>
      </c>
      <c r="AD74">
        <v>2072</v>
      </c>
      <c r="AE74" t="s">
        <v>590</v>
      </c>
      <c r="AF74" s="31" t="s">
        <v>590</v>
      </c>
      <c r="AG74">
        <v>2520</v>
      </c>
      <c r="AH74" s="31" t="s">
        <v>590</v>
      </c>
      <c r="AI74">
        <v>2431</v>
      </c>
      <c r="AJ74" s="31">
        <v>-0.04</v>
      </c>
      <c r="AK74">
        <v>2207</v>
      </c>
      <c r="AL74" s="31">
        <v>-0.09</v>
      </c>
      <c r="AM74">
        <v>2277</v>
      </c>
      <c r="AN74" s="31">
        <v>0.03</v>
      </c>
      <c r="AO74">
        <v>4566</v>
      </c>
      <c r="AP74" t="s">
        <v>1135</v>
      </c>
      <c r="AQ74">
        <v>320551</v>
      </c>
      <c r="AR74">
        <v>379917</v>
      </c>
      <c r="AS74" s="31">
        <v>0.19</v>
      </c>
      <c r="AT74">
        <v>299630</v>
      </c>
      <c r="AU74" s="31">
        <v>-0.21</v>
      </c>
      <c r="AV74">
        <v>276081</v>
      </c>
      <c r="AW74" s="31">
        <v>-0.08</v>
      </c>
      <c r="AX74">
        <v>294768</v>
      </c>
      <c r="AY74" s="31">
        <v>7.0000000000000007E-2</v>
      </c>
      <c r="AZ74">
        <v>299800</v>
      </c>
      <c r="BA74" s="31">
        <v>0.02</v>
      </c>
      <c r="BB74">
        <v>-47904</v>
      </c>
      <c r="BC74">
        <v>31094</v>
      </c>
      <c r="BD74" s="31">
        <v>1.65</v>
      </c>
      <c r="BE74">
        <v>15117</v>
      </c>
      <c r="BF74" s="31">
        <v>-0.51</v>
      </c>
      <c r="BG74">
        <v>-8884</v>
      </c>
      <c r="BH74" s="31">
        <v>-1.59</v>
      </c>
      <c r="BI74">
        <v>30860</v>
      </c>
      <c r="BJ74" s="31">
        <v>4.47</v>
      </c>
      <c r="BK74">
        <v>12287</v>
      </c>
      <c r="BL74" s="31">
        <v>-0.6</v>
      </c>
      <c r="BM74" t="s">
        <v>1173</v>
      </c>
      <c r="BN74" t="s">
        <v>1177</v>
      </c>
      <c r="BO74" t="s">
        <v>1135</v>
      </c>
      <c r="BP74" t="s">
        <v>1135</v>
      </c>
      <c r="BQ74" t="s">
        <v>1135</v>
      </c>
      <c r="BR74" t="s">
        <v>95</v>
      </c>
      <c r="BS74" t="s">
        <v>1137</v>
      </c>
    </row>
    <row r="75" spans="1:71" x14ac:dyDescent="0.2">
      <c r="A75" t="s">
        <v>1178</v>
      </c>
      <c r="B75" t="s">
        <v>1179</v>
      </c>
      <c r="C75">
        <v>731100</v>
      </c>
      <c r="D75" t="s">
        <v>508</v>
      </c>
      <c r="I75">
        <v>301732159</v>
      </c>
      <c r="J75" t="s">
        <v>1180</v>
      </c>
      <c r="K75" t="s">
        <v>1178</v>
      </c>
      <c r="L75" t="s">
        <v>1181</v>
      </c>
      <c r="M75" t="s">
        <v>77</v>
      </c>
      <c r="N75" t="s">
        <v>1182</v>
      </c>
      <c r="O75" t="s">
        <v>1135</v>
      </c>
      <c r="P75">
        <v>37070000000</v>
      </c>
      <c r="Q75" t="s">
        <v>1135</v>
      </c>
      <c r="R75">
        <v>6</v>
      </c>
      <c r="S75">
        <v>5</v>
      </c>
      <c r="T75" s="31">
        <v>-0.17</v>
      </c>
      <c r="U75">
        <v>5</v>
      </c>
      <c r="V75" s="31">
        <v>0</v>
      </c>
      <c r="W75">
        <v>5</v>
      </c>
      <c r="X75" s="31">
        <v>0</v>
      </c>
      <c r="Y75">
        <v>5</v>
      </c>
      <c r="Z75" s="31">
        <v>0</v>
      </c>
      <c r="AA75">
        <v>5</v>
      </c>
      <c r="AB75" s="31">
        <v>0</v>
      </c>
      <c r="AC75">
        <v>5</v>
      </c>
      <c r="AD75">
        <v>1883</v>
      </c>
      <c r="AE75">
        <v>1962</v>
      </c>
      <c r="AF75" s="31">
        <v>0.04</v>
      </c>
      <c r="AG75">
        <v>1999</v>
      </c>
      <c r="AH75" s="31">
        <v>0.02</v>
      </c>
      <c r="AI75">
        <v>2050</v>
      </c>
      <c r="AJ75" s="31">
        <v>0.03</v>
      </c>
      <c r="AK75">
        <v>2129</v>
      </c>
      <c r="AL75" s="31">
        <v>0.04</v>
      </c>
      <c r="AM75">
        <v>2183</v>
      </c>
      <c r="AN75" s="31">
        <v>0.03</v>
      </c>
      <c r="AO75">
        <v>2462</v>
      </c>
      <c r="AP75" t="s">
        <v>1135</v>
      </c>
      <c r="AQ75">
        <v>4843320</v>
      </c>
      <c r="AR75">
        <v>4939175</v>
      </c>
      <c r="AS75" s="31">
        <v>0.02</v>
      </c>
      <c r="AT75">
        <v>4099596</v>
      </c>
      <c r="AU75" s="31">
        <v>-0.17</v>
      </c>
      <c r="AV75">
        <v>3344864</v>
      </c>
      <c r="AW75" s="31">
        <v>-0.18</v>
      </c>
      <c r="AX75">
        <v>1037356</v>
      </c>
      <c r="AY75" s="31">
        <v>-0.69</v>
      </c>
      <c r="AZ75">
        <v>6566337</v>
      </c>
      <c r="BA75" s="31">
        <v>5.33</v>
      </c>
      <c r="BB75">
        <v>451672</v>
      </c>
      <c r="BC75">
        <v>212424</v>
      </c>
      <c r="BD75" s="31">
        <v>-0.53</v>
      </c>
      <c r="BE75">
        <v>179729</v>
      </c>
      <c r="BF75" s="31">
        <v>-0.15</v>
      </c>
      <c r="BG75">
        <v>45750</v>
      </c>
      <c r="BH75" s="31">
        <v>-0.75</v>
      </c>
      <c r="BI75">
        <v>-167494</v>
      </c>
      <c r="BJ75" s="31">
        <v>-4.66</v>
      </c>
      <c r="BK75">
        <v>364854</v>
      </c>
      <c r="BL75" s="31">
        <v>3.18</v>
      </c>
      <c r="BM75" t="s">
        <v>1179</v>
      </c>
      <c r="BN75" t="s">
        <v>1183</v>
      </c>
      <c r="BO75" t="s">
        <v>1135</v>
      </c>
      <c r="BP75" t="s">
        <v>1135</v>
      </c>
      <c r="BQ75" t="s">
        <v>1135</v>
      </c>
      <c r="BR75" t="s">
        <v>95</v>
      </c>
      <c r="BS75" t="s">
        <v>1137</v>
      </c>
    </row>
    <row r="76" spans="1:71" x14ac:dyDescent="0.2">
      <c r="A76" t="s">
        <v>1184</v>
      </c>
      <c r="B76" t="s">
        <v>1185</v>
      </c>
      <c r="C76">
        <v>591100</v>
      </c>
      <c r="D76" t="s">
        <v>1186</v>
      </c>
      <c r="I76">
        <v>301899560</v>
      </c>
      <c r="J76" t="s">
        <v>1187</v>
      </c>
      <c r="K76" t="s">
        <v>1184</v>
      </c>
      <c r="L76" t="s">
        <v>1188</v>
      </c>
      <c r="M76" t="s">
        <v>77</v>
      </c>
      <c r="N76" t="s">
        <v>1135</v>
      </c>
      <c r="O76" t="s">
        <v>1189</v>
      </c>
      <c r="Q76" t="s">
        <v>1135</v>
      </c>
      <c r="R76">
        <v>3</v>
      </c>
      <c r="S76">
        <v>4</v>
      </c>
      <c r="T76" s="31">
        <v>0.33</v>
      </c>
      <c r="U76">
        <v>4</v>
      </c>
      <c r="V76" s="31">
        <v>0</v>
      </c>
      <c r="W76">
        <v>4</v>
      </c>
      <c r="X76" s="31">
        <v>0</v>
      </c>
      <c r="Y76">
        <v>3</v>
      </c>
      <c r="Z76" s="31">
        <v>-0.25</v>
      </c>
      <c r="AA76">
        <v>3</v>
      </c>
      <c r="AB76" s="31">
        <v>0</v>
      </c>
      <c r="AC76">
        <v>3</v>
      </c>
      <c r="AD76">
        <v>1375</v>
      </c>
      <c r="AE76">
        <v>1387</v>
      </c>
      <c r="AF76" s="31">
        <v>0.01</v>
      </c>
      <c r="AG76">
        <v>1522</v>
      </c>
      <c r="AH76" s="31">
        <v>0.1</v>
      </c>
      <c r="AI76">
        <v>1877</v>
      </c>
      <c r="AJ76" s="31">
        <v>0.23</v>
      </c>
      <c r="AK76">
        <v>1842</v>
      </c>
      <c r="AL76" s="31">
        <v>-0.02</v>
      </c>
      <c r="AM76" t="s">
        <v>590</v>
      </c>
      <c r="AN76" s="31" t="s">
        <v>590</v>
      </c>
      <c r="AO76" t="s">
        <v>590</v>
      </c>
      <c r="AP76" t="s">
        <v>1135</v>
      </c>
      <c r="AQ76">
        <v>1039900</v>
      </c>
      <c r="AR76">
        <v>1298211</v>
      </c>
      <c r="AS76" s="31">
        <v>0.25</v>
      </c>
      <c r="AT76">
        <v>1406758</v>
      </c>
      <c r="AU76" s="31">
        <v>0.08</v>
      </c>
      <c r="AV76">
        <v>1174594</v>
      </c>
      <c r="AW76" s="31">
        <v>-0.17</v>
      </c>
      <c r="AX76">
        <v>1321169</v>
      </c>
      <c r="AY76" s="31">
        <v>0.12</v>
      </c>
      <c r="AZ76">
        <v>786302</v>
      </c>
      <c r="BA76" s="31">
        <v>-0.4</v>
      </c>
      <c r="BB76">
        <v>32219</v>
      </c>
      <c r="BC76">
        <v>98452</v>
      </c>
      <c r="BD76" s="31">
        <v>2.06</v>
      </c>
      <c r="BE76">
        <v>176626</v>
      </c>
      <c r="BF76" s="31">
        <v>0.79</v>
      </c>
      <c r="BG76">
        <v>2190</v>
      </c>
      <c r="BH76" s="31">
        <v>-0.99</v>
      </c>
      <c r="BI76">
        <v>105851</v>
      </c>
      <c r="BJ76" s="31">
        <v>47.33</v>
      </c>
      <c r="BK76">
        <v>37146</v>
      </c>
      <c r="BL76" s="31">
        <v>-0.65</v>
      </c>
      <c r="BM76" t="s">
        <v>1185</v>
      </c>
      <c r="BN76" t="s">
        <v>1190</v>
      </c>
      <c r="BO76" t="s">
        <v>1135</v>
      </c>
      <c r="BP76" t="s">
        <v>1135</v>
      </c>
      <c r="BQ76" t="s">
        <v>1135</v>
      </c>
      <c r="BR76" t="s">
        <v>95</v>
      </c>
      <c r="BS76" t="s">
        <v>1137</v>
      </c>
    </row>
    <row r="77" spans="1:71" x14ac:dyDescent="0.2">
      <c r="A77" t="s">
        <v>1191</v>
      </c>
      <c r="B77" t="s">
        <v>1192</v>
      </c>
      <c r="C77">
        <v>900200</v>
      </c>
      <c r="D77" t="s">
        <v>1193</v>
      </c>
      <c r="I77">
        <v>302248937</v>
      </c>
      <c r="J77" t="s">
        <v>1194</v>
      </c>
      <c r="K77" t="s">
        <v>1191</v>
      </c>
      <c r="L77" t="s">
        <v>1195</v>
      </c>
      <c r="M77" t="s">
        <v>77</v>
      </c>
      <c r="N77" t="s">
        <v>1196</v>
      </c>
      <c r="O77" t="s">
        <v>1135</v>
      </c>
      <c r="P77">
        <v>37061000000</v>
      </c>
      <c r="Q77" t="s">
        <v>1135</v>
      </c>
      <c r="R77">
        <v>5</v>
      </c>
      <c r="S77">
        <v>4</v>
      </c>
      <c r="T77" s="31">
        <v>-0.2</v>
      </c>
      <c r="U77">
        <v>3</v>
      </c>
      <c r="V77" s="31">
        <v>-0.25</v>
      </c>
      <c r="W77">
        <v>5</v>
      </c>
      <c r="X77" s="31">
        <v>0.67</v>
      </c>
      <c r="Y77">
        <v>4</v>
      </c>
      <c r="Z77" s="31">
        <v>-0.2</v>
      </c>
      <c r="AA77">
        <v>3</v>
      </c>
      <c r="AB77" s="31">
        <v>-0.25</v>
      </c>
      <c r="AC77">
        <v>4</v>
      </c>
      <c r="AD77">
        <v>1330</v>
      </c>
      <c r="AE77">
        <v>991</v>
      </c>
      <c r="AF77" s="31">
        <v>-0.25</v>
      </c>
      <c r="AG77" t="s">
        <v>590</v>
      </c>
      <c r="AH77" s="31" t="s">
        <v>590</v>
      </c>
      <c r="AI77">
        <v>2720</v>
      </c>
      <c r="AJ77" s="31" t="s">
        <v>590</v>
      </c>
      <c r="AK77">
        <v>3087</v>
      </c>
      <c r="AL77" s="31">
        <v>0.13</v>
      </c>
      <c r="AM77">
        <v>3618</v>
      </c>
      <c r="AN77" s="31">
        <v>0.17</v>
      </c>
      <c r="AO77">
        <v>3590</v>
      </c>
      <c r="AP77" t="s">
        <v>1135</v>
      </c>
      <c r="AQ77">
        <v>821314</v>
      </c>
      <c r="AR77">
        <v>376895</v>
      </c>
      <c r="AS77" s="31">
        <v>-0.54</v>
      </c>
      <c r="AT77">
        <v>930793</v>
      </c>
      <c r="AU77" s="31">
        <v>1.47</v>
      </c>
      <c r="AV77">
        <v>1249429</v>
      </c>
      <c r="AW77" s="31">
        <v>0.34</v>
      </c>
      <c r="AX77">
        <v>1249338</v>
      </c>
      <c r="AY77" s="31">
        <v>0</v>
      </c>
      <c r="AZ77">
        <v>1063817</v>
      </c>
      <c r="BA77" s="31">
        <v>-0.15</v>
      </c>
      <c r="BB77">
        <v>4692</v>
      </c>
      <c r="BC77">
        <v>16090</v>
      </c>
      <c r="BD77" s="31">
        <v>2.4300000000000002</v>
      </c>
      <c r="BE77">
        <v>92764</v>
      </c>
      <c r="BF77" s="31">
        <v>4.7699999999999996</v>
      </c>
      <c r="BG77">
        <v>32892</v>
      </c>
      <c r="BH77" s="31">
        <v>-0.65</v>
      </c>
      <c r="BI77">
        <v>42400</v>
      </c>
      <c r="BJ77" s="31">
        <v>0.28999999999999998</v>
      </c>
      <c r="BK77">
        <v>28207</v>
      </c>
      <c r="BL77" s="31">
        <v>-0.33</v>
      </c>
      <c r="BM77" t="s">
        <v>1192</v>
      </c>
      <c r="BN77" t="s">
        <v>1197</v>
      </c>
      <c r="BO77" t="s">
        <v>1198</v>
      </c>
      <c r="BP77" t="s">
        <v>1135</v>
      </c>
      <c r="BQ77" t="s">
        <v>1199</v>
      </c>
      <c r="BR77" t="s">
        <v>95</v>
      </c>
      <c r="BS77" t="s">
        <v>1137</v>
      </c>
    </row>
    <row r="78" spans="1:71" x14ac:dyDescent="0.2">
      <c r="A78" t="s">
        <v>1200</v>
      </c>
      <c r="B78" t="s">
        <v>1201</v>
      </c>
      <c r="C78">
        <v>731100</v>
      </c>
      <c r="D78" t="s">
        <v>508</v>
      </c>
      <c r="I78">
        <v>302417999</v>
      </c>
      <c r="J78" t="s">
        <v>1202</v>
      </c>
      <c r="K78" t="s">
        <v>1200</v>
      </c>
      <c r="L78" t="s">
        <v>215</v>
      </c>
      <c r="M78" t="s">
        <v>77</v>
      </c>
      <c r="N78" t="s">
        <v>1203</v>
      </c>
      <c r="O78" t="s">
        <v>1135</v>
      </c>
      <c r="P78">
        <v>37066000000</v>
      </c>
      <c r="Q78" t="s">
        <v>1135</v>
      </c>
      <c r="R78">
        <v>24</v>
      </c>
      <c r="S78">
        <v>27</v>
      </c>
      <c r="T78" s="31">
        <v>0.13</v>
      </c>
      <c r="U78">
        <v>32</v>
      </c>
      <c r="V78" s="31">
        <v>0.19</v>
      </c>
      <c r="W78">
        <v>33</v>
      </c>
      <c r="X78" s="31">
        <v>0.03</v>
      </c>
      <c r="Y78">
        <v>32</v>
      </c>
      <c r="Z78" s="31">
        <v>-0.03</v>
      </c>
      <c r="AA78">
        <v>31</v>
      </c>
      <c r="AB78" s="31">
        <v>-0.03</v>
      </c>
      <c r="AC78">
        <v>29</v>
      </c>
      <c r="AD78">
        <v>2049</v>
      </c>
      <c r="AE78">
        <v>2167</v>
      </c>
      <c r="AF78" s="31">
        <v>0.06</v>
      </c>
      <c r="AG78">
        <v>2575</v>
      </c>
      <c r="AH78" s="31">
        <v>0.19</v>
      </c>
      <c r="AI78">
        <v>2851</v>
      </c>
      <c r="AJ78" s="31">
        <v>0.11</v>
      </c>
      <c r="AK78">
        <v>3081</v>
      </c>
      <c r="AL78" s="31">
        <v>0.08</v>
      </c>
      <c r="AM78">
        <v>3243</v>
      </c>
      <c r="AN78" s="31">
        <v>0.05</v>
      </c>
      <c r="AO78">
        <v>3467</v>
      </c>
      <c r="AP78" t="s">
        <v>1135</v>
      </c>
      <c r="AQ78">
        <v>5847369</v>
      </c>
      <c r="AR78">
        <v>6041502</v>
      </c>
      <c r="AS78" s="31">
        <v>0.03</v>
      </c>
      <c r="AT78">
        <v>10390945</v>
      </c>
      <c r="AU78" s="31">
        <v>0.72</v>
      </c>
      <c r="AV78">
        <v>9116200</v>
      </c>
      <c r="AW78" s="31">
        <v>-0.12</v>
      </c>
      <c r="AX78">
        <v>9198605</v>
      </c>
      <c r="AY78" s="31">
        <v>0.01</v>
      </c>
      <c r="AZ78">
        <v>10097522</v>
      </c>
      <c r="BA78" s="31">
        <v>0.1</v>
      </c>
      <c r="BB78">
        <v>387671</v>
      </c>
      <c r="BC78">
        <v>251222</v>
      </c>
      <c r="BD78" s="31">
        <v>-0.35</v>
      </c>
      <c r="BE78">
        <v>469190</v>
      </c>
      <c r="BF78" s="31">
        <v>0.87</v>
      </c>
      <c r="BG78">
        <v>306081</v>
      </c>
      <c r="BH78" s="31">
        <v>-0.35</v>
      </c>
      <c r="BI78">
        <v>244322</v>
      </c>
      <c r="BJ78" s="31">
        <v>-0.2</v>
      </c>
      <c r="BK78">
        <v>244402</v>
      </c>
      <c r="BL78" s="31">
        <v>0</v>
      </c>
      <c r="BM78" t="s">
        <v>1201</v>
      </c>
      <c r="BN78" t="s">
        <v>1204</v>
      </c>
      <c r="BO78" t="s">
        <v>1135</v>
      </c>
      <c r="BP78" t="s">
        <v>1135</v>
      </c>
      <c r="BQ78" t="s">
        <v>1135</v>
      </c>
      <c r="BR78" t="s">
        <v>95</v>
      </c>
      <c r="BS78" t="s">
        <v>1137</v>
      </c>
    </row>
    <row r="79" spans="1:71" x14ac:dyDescent="0.2">
      <c r="A79" t="s">
        <v>1205</v>
      </c>
      <c r="B79" t="s">
        <v>1206</v>
      </c>
      <c r="C79">
        <v>702100</v>
      </c>
      <c r="D79" t="s">
        <v>763</v>
      </c>
      <c r="I79">
        <v>302448012</v>
      </c>
      <c r="J79" t="s">
        <v>1207</v>
      </c>
      <c r="K79" t="s">
        <v>1205</v>
      </c>
      <c r="L79" t="s">
        <v>1208</v>
      </c>
      <c r="M79" t="s">
        <v>77</v>
      </c>
      <c r="N79" t="s">
        <v>1209</v>
      </c>
      <c r="O79" t="s">
        <v>1135</v>
      </c>
      <c r="P79">
        <v>37066000000</v>
      </c>
      <c r="Q79" t="s">
        <v>1135</v>
      </c>
      <c r="R79">
        <v>7</v>
      </c>
      <c r="S79">
        <v>6</v>
      </c>
      <c r="T79" s="31">
        <v>-0.14000000000000001</v>
      </c>
      <c r="U79">
        <v>8</v>
      </c>
      <c r="V79" s="31">
        <v>0.33</v>
      </c>
      <c r="W79">
        <v>9</v>
      </c>
      <c r="X79" s="31">
        <v>0.13</v>
      </c>
      <c r="Y79">
        <v>11</v>
      </c>
      <c r="Z79" s="31">
        <v>0.22</v>
      </c>
      <c r="AA79">
        <v>11</v>
      </c>
      <c r="AB79" s="31">
        <v>0</v>
      </c>
      <c r="AC79">
        <v>11</v>
      </c>
      <c r="AD79">
        <v>1744</v>
      </c>
      <c r="AE79">
        <v>1741</v>
      </c>
      <c r="AF79" s="31">
        <v>0</v>
      </c>
      <c r="AG79">
        <v>2459</v>
      </c>
      <c r="AH79" s="31">
        <v>0.41</v>
      </c>
      <c r="AI79">
        <v>2996</v>
      </c>
      <c r="AJ79" s="31">
        <v>0.22</v>
      </c>
      <c r="AK79">
        <v>3036</v>
      </c>
      <c r="AL79" s="31">
        <v>0.01</v>
      </c>
      <c r="AM79">
        <v>3512</v>
      </c>
      <c r="AN79" s="31">
        <v>0.16</v>
      </c>
      <c r="AO79">
        <v>3778</v>
      </c>
      <c r="AP79" t="s">
        <v>1135</v>
      </c>
      <c r="AQ79">
        <v>231606</v>
      </c>
      <c r="AR79">
        <v>429939</v>
      </c>
      <c r="AS79" s="31">
        <v>0.86</v>
      </c>
      <c r="AT79">
        <v>620813</v>
      </c>
      <c r="AU79" s="31">
        <v>0.44</v>
      </c>
      <c r="AV79">
        <v>922751</v>
      </c>
      <c r="AW79" s="31">
        <v>0.49</v>
      </c>
      <c r="AX79">
        <v>1018276</v>
      </c>
      <c r="AY79" s="31">
        <v>0.1</v>
      </c>
      <c r="AZ79">
        <v>1566507</v>
      </c>
      <c r="BA79" s="31">
        <v>0.54</v>
      </c>
      <c r="BB79">
        <v>-57134</v>
      </c>
      <c r="BC79">
        <v>104436</v>
      </c>
      <c r="BD79" s="31">
        <v>2.83</v>
      </c>
      <c r="BE79">
        <v>97262</v>
      </c>
      <c r="BF79" s="31">
        <v>-7.0000000000000007E-2</v>
      </c>
      <c r="BG79">
        <v>-22601</v>
      </c>
      <c r="BH79" s="31">
        <v>-1.23</v>
      </c>
      <c r="BI79">
        <v>63393</v>
      </c>
      <c r="BJ79" s="31">
        <v>3.8</v>
      </c>
      <c r="BK79">
        <v>103845</v>
      </c>
      <c r="BL79" s="31">
        <v>0.64</v>
      </c>
      <c r="BM79" t="s">
        <v>1206</v>
      </c>
      <c r="BN79" t="s">
        <v>1210</v>
      </c>
      <c r="BO79" t="s">
        <v>1211</v>
      </c>
      <c r="BP79" t="s">
        <v>1135</v>
      </c>
      <c r="BQ79" t="s">
        <v>1135</v>
      </c>
      <c r="BR79" t="s">
        <v>95</v>
      </c>
      <c r="BS79" t="s">
        <v>1137</v>
      </c>
    </row>
    <row r="80" spans="1:71" x14ac:dyDescent="0.2">
      <c r="A80" t="s">
        <v>1212</v>
      </c>
      <c r="B80" t="s">
        <v>1213</v>
      </c>
      <c r="C80">
        <v>620100</v>
      </c>
      <c r="D80" t="s">
        <v>651</v>
      </c>
      <c r="I80">
        <v>302478991</v>
      </c>
      <c r="J80" t="s">
        <v>1214</v>
      </c>
      <c r="K80" t="s">
        <v>1212</v>
      </c>
      <c r="L80" t="s">
        <v>1215</v>
      </c>
      <c r="M80" t="s">
        <v>77</v>
      </c>
      <c r="N80" t="s">
        <v>1216</v>
      </c>
      <c r="O80" t="s">
        <v>1135</v>
      </c>
      <c r="P80">
        <v>37068000000</v>
      </c>
      <c r="Q80" t="s">
        <v>1135</v>
      </c>
      <c r="R80">
        <v>6</v>
      </c>
      <c r="S80">
        <v>6</v>
      </c>
      <c r="T80" s="31">
        <v>0</v>
      </c>
      <c r="U80">
        <v>8</v>
      </c>
      <c r="V80" s="31">
        <v>0.33</v>
      </c>
      <c r="W80">
        <v>9</v>
      </c>
      <c r="X80" s="31">
        <v>0.13</v>
      </c>
      <c r="Y80">
        <v>10</v>
      </c>
      <c r="Z80" s="31">
        <v>0.11</v>
      </c>
      <c r="AA80">
        <v>11</v>
      </c>
      <c r="AB80" s="31">
        <v>0.1</v>
      </c>
      <c r="AC80">
        <v>15</v>
      </c>
      <c r="AD80">
        <v>1432</v>
      </c>
      <c r="AE80">
        <v>1559</v>
      </c>
      <c r="AF80" s="31">
        <v>0.09</v>
      </c>
      <c r="AG80">
        <v>1534</v>
      </c>
      <c r="AH80" s="31">
        <v>-0.02</v>
      </c>
      <c r="AI80">
        <v>1663</v>
      </c>
      <c r="AJ80" s="31">
        <v>0.08</v>
      </c>
      <c r="AK80">
        <v>2037</v>
      </c>
      <c r="AL80" s="31">
        <v>0.22</v>
      </c>
      <c r="AM80">
        <v>2380</v>
      </c>
      <c r="AN80" s="31">
        <v>0.17</v>
      </c>
      <c r="AO80">
        <v>2725</v>
      </c>
      <c r="AP80" t="s">
        <v>1135</v>
      </c>
      <c r="AQ80">
        <v>235559</v>
      </c>
      <c r="AR80">
        <v>338165</v>
      </c>
      <c r="AS80" s="31">
        <v>0.44</v>
      </c>
      <c r="AT80">
        <v>382359</v>
      </c>
      <c r="AU80" s="31">
        <v>0.13</v>
      </c>
      <c r="AV80">
        <v>342212</v>
      </c>
      <c r="AW80" s="31">
        <v>-0.1</v>
      </c>
      <c r="AX80">
        <v>634289</v>
      </c>
      <c r="AY80" s="31">
        <v>0.85</v>
      </c>
      <c r="AZ80">
        <v>712632</v>
      </c>
      <c r="BA80" s="31">
        <v>0.12</v>
      </c>
      <c r="BB80">
        <v>731</v>
      </c>
      <c r="BC80">
        <v>43465</v>
      </c>
      <c r="BD80" s="31">
        <v>58.46</v>
      </c>
      <c r="BE80">
        <v>29979</v>
      </c>
      <c r="BF80" s="31">
        <v>-0.31</v>
      </c>
      <c r="BG80">
        <v>777</v>
      </c>
      <c r="BH80" s="31">
        <v>-0.97</v>
      </c>
      <c r="BI80">
        <v>52882</v>
      </c>
      <c r="BJ80" s="31">
        <v>67.06</v>
      </c>
      <c r="BK80">
        <v>139519</v>
      </c>
      <c r="BL80" s="31">
        <v>1.64</v>
      </c>
      <c r="BM80" t="s">
        <v>1213</v>
      </c>
      <c r="BN80" t="s">
        <v>1217</v>
      </c>
      <c r="BO80" t="s">
        <v>1135</v>
      </c>
      <c r="BP80" t="s">
        <v>1135</v>
      </c>
      <c r="BQ80" t="s">
        <v>1135</v>
      </c>
      <c r="BR80" t="s">
        <v>95</v>
      </c>
      <c r="BS80" t="s">
        <v>1137</v>
      </c>
    </row>
    <row r="81" spans="1:71" x14ac:dyDescent="0.2">
      <c r="A81" t="s">
        <v>1218</v>
      </c>
      <c r="B81" t="s">
        <v>1219</v>
      </c>
      <c r="C81">
        <v>620100</v>
      </c>
      <c r="D81" t="s">
        <v>651</v>
      </c>
      <c r="I81">
        <v>302561024</v>
      </c>
      <c r="J81" t="s">
        <v>1220</v>
      </c>
      <c r="K81" t="s">
        <v>1218</v>
      </c>
      <c r="L81" t="s">
        <v>1221</v>
      </c>
      <c r="M81" t="s">
        <v>77</v>
      </c>
      <c r="N81" t="s">
        <v>1222</v>
      </c>
      <c r="O81">
        <v>37064630700</v>
      </c>
      <c r="Q81" t="s">
        <v>1135</v>
      </c>
      <c r="R81">
        <v>11</v>
      </c>
      <c r="S81">
        <v>11</v>
      </c>
      <c r="T81" s="31">
        <v>0</v>
      </c>
      <c r="U81">
        <v>14</v>
      </c>
      <c r="V81" s="31">
        <v>0.27</v>
      </c>
      <c r="W81">
        <v>15</v>
      </c>
      <c r="X81" s="31">
        <v>7.0000000000000007E-2</v>
      </c>
      <c r="Y81">
        <v>13</v>
      </c>
      <c r="Z81" s="31">
        <v>-0.13</v>
      </c>
      <c r="AA81">
        <v>15</v>
      </c>
      <c r="AB81" s="31">
        <v>0.15</v>
      </c>
      <c r="AC81">
        <v>16</v>
      </c>
      <c r="AD81">
        <v>1664</v>
      </c>
      <c r="AE81">
        <v>2204</v>
      </c>
      <c r="AF81" s="31">
        <v>0.32</v>
      </c>
      <c r="AG81">
        <v>2844</v>
      </c>
      <c r="AH81" s="31">
        <v>0.28999999999999998</v>
      </c>
      <c r="AI81">
        <v>3598</v>
      </c>
      <c r="AJ81" s="31">
        <v>0.27</v>
      </c>
      <c r="AK81">
        <v>4242</v>
      </c>
      <c r="AL81" s="31">
        <v>0.18</v>
      </c>
      <c r="AM81">
        <v>3978</v>
      </c>
      <c r="AN81" s="31">
        <v>-0.06</v>
      </c>
      <c r="AO81">
        <v>4094</v>
      </c>
      <c r="AP81" t="s">
        <v>1135</v>
      </c>
      <c r="AQ81">
        <v>463182</v>
      </c>
      <c r="AR81">
        <v>638187</v>
      </c>
      <c r="AS81" s="31">
        <v>0.38</v>
      </c>
      <c r="AT81">
        <v>989434</v>
      </c>
      <c r="AU81" s="31">
        <v>0.55000000000000004</v>
      </c>
      <c r="AV81">
        <v>1378217</v>
      </c>
      <c r="AW81" s="31">
        <v>0.39</v>
      </c>
      <c r="AX81">
        <v>1656998</v>
      </c>
      <c r="AY81" s="31">
        <v>0.2</v>
      </c>
      <c r="AZ81">
        <v>1427828</v>
      </c>
      <c r="BA81" s="31">
        <v>-0.14000000000000001</v>
      </c>
      <c r="BB81">
        <v>57772</v>
      </c>
      <c r="BC81">
        <v>71055</v>
      </c>
      <c r="BD81" s="31">
        <v>0.23</v>
      </c>
      <c r="BE81">
        <v>86318</v>
      </c>
      <c r="BF81" s="31">
        <v>0.21</v>
      </c>
      <c r="BG81">
        <v>152887</v>
      </c>
      <c r="BH81" s="31">
        <v>0.77</v>
      </c>
      <c r="BI81">
        <v>183233</v>
      </c>
      <c r="BJ81" s="31">
        <v>0.2</v>
      </c>
      <c r="BK81">
        <v>125310</v>
      </c>
      <c r="BL81" s="31">
        <v>-0.32</v>
      </c>
      <c r="BM81" t="s">
        <v>1219</v>
      </c>
      <c r="BN81" t="s">
        <v>1223</v>
      </c>
      <c r="BO81" t="s">
        <v>1224</v>
      </c>
      <c r="BP81" t="s">
        <v>1225</v>
      </c>
      <c r="BQ81" t="s">
        <v>1226</v>
      </c>
      <c r="BR81" t="s">
        <v>95</v>
      </c>
      <c r="BS81" t="s">
        <v>1137</v>
      </c>
    </row>
    <row r="82" spans="1:71" x14ac:dyDescent="0.2">
      <c r="A82" t="s">
        <v>1227</v>
      </c>
      <c r="B82" t="s">
        <v>1228</v>
      </c>
      <c r="C82">
        <v>731100</v>
      </c>
      <c r="D82" t="s">
        <v>508</v>
      </c>
      <c r="I82">
        <v>302641591</v>
      </c>
      <c r="J82" t="s">
        <v>1229</v>
      </c>
      <c r="K82" t="s">
        <v>1227</v>
      </c>
      <c r="L82" t="s">
        <v>1230</v>
      </c>
      <c r="M82" t="s">
        <v>77</v>
      </c>
      <c r="N82" t="s">
        <v>1231</v>
      </c>
      <c r="O82" t="s">
        <v>1135</v>
      </c>
      <c r="P82">
        <v>37061000000</v>
      </c>
      <c r="Q82" t="s">
        <v>1135</v>
      </c>
      <c r="R82">
        <v>17</v>
      </c>
      <c r="S82">
        <v>16</v>
      </c>
      <c r="T82" s="31">
        <v>-0.06</v>
      </c>
      <c r="U82">
        <v>14</v>
      </c>
      <c r="V82" s="31">
        <v>-0.13</v>
      </c>
      <c r="W82">
        <v>14</v>
      </c>
      <c r="X82" s="31">
        <v>0</v>
      </c>
      <c r="Y82">
        <v>15</v>
      </c>
      <c r="Z82" s="31">
        <v>7.0000000000000007E-2</v>
      </c>
      <c r="AA82">
        <v>14</v>
      </c>
      <c r="AB82" s="31">
        <v>-7.0000000000000007E-2</v>
      </c>
      <c r="AC82">
        <v>14</v>
      </c>
      <c r="AD82">
        <v>1365</v>
      </c>
      <c r="AE82">
        <v>1086</v>
      </c>
      <c r="AF82" s="31">
        <v>-0.2</v>
      </c>
      <c r="AG82">
        <v>1485</v>
      </c>
      <c r="AH82" s="31">
        <v>0.37</v>
      </c>
      <c r="AI82">
        <v>2179</v>
      </c>
      <c r="AJ82" s="31">
        <v>0.47</v>
      </c>
      <c r="AK82">
        <v>2456</v>
      </c>
      <c r="AL82" s="31">
        <v>0.13</v>
      </c>
      <c r="AM82">
        <v>2899</v>
      </c>
      <c r="AN82" s="31">
        <v>0.18</v>
      </c>
      <c r="AO82">
        <v>3245</v>
      </c>
      <c r="AP82" t="s">
        <v>1135</v>
      </c>
      <c r="AQ82">
        <v>2483374</v>
      </c>
      <c r="AR82">
        <v>2102463</v>
      </c>
      <c r="AS82" s="31">
        <v>-0.15</v>
      </c>
      <c r="AT82">
        <v>2392327</v>
      </c>
      <c r="AU82" s="31">
        <v>0.14000000000000001</v>
      </c>
      <c r="AV82">
        <v>3769383</v>
      </c>
      <c r="AW82" s="31">
        <v>0.57999999999999996</v>
      </c>
      <c r="AX82">
        <v>3334151</v>
      </c>
      <c r="AY82" s="31">
        <v>-0.12</v>
      </c>
      <c r="AZ82">
        <v>3604605</v>
      </c>
      <c r="BA82" s="31">
        <v>0.08</v>
      </c>
      <c r="BB82">
        <v>103011</v>
      </c>
      <c r="BC82">
        <v>128173</v>
      </c>
      <c r="BD82" s="31">
        <v>0.24</v>
      </c>
      <c r="BE82">
        <v>193375</v>
      </c>
      <c r="BF82" s="31">
        <v>0.51</v>
      </c>
      <c r="BG82">
        <v>276915</v>
      </c>
      <c r="BH82" s="31">
        <v>0.43</v>
      </c>
      <c r="BI82">
        <v>108369</v>
      </c>
      <c r="BJ82" s="31">
        <v>-0.61</v>
      </c>
      <c r="BK82">
        <v>137745</v>
      </c>
      <c r="BL82" s="31">
        <v>0.27</v>
      </c>
      <c r="BM82" t="s">
        <v>1228</v>
      </c>
      <c r="BN82" t="s">
        <v>1232</v>
      </c>
      <c r="BO82" t="s">
        <v>1135</v>
      </c>
      <c r="BP82" t="s">
        <v>1135</v>
      </c>
      <c r="BQ82" t="s">
        <v>1135</v>
      </c>
      <c r="BR82" t="s">
        <v>189</v>
      </c>
      <c r="BS82" t="s">
        <v>1137</v>
      </c>
    </row>
    <row r="83" spans="1:71" x14ac:dyDescent="0.2">
      <c r="A83" t="s">
        <v>1233</v>
      </c>
      <c r="B83" t="s">
        <v>1234</v>
      </c>
      <c r="C83">
        <v>731100</v>
      </c>
      <c r="D83" t="s">
        <v>508</v>
      </c>
      <c r="I83">
        <v>302651984</v>
      </c>
      <c r="J83" t="s">
        <v>1235</v>
      </c>
      <c r="K83" t="s">
        <v>1233</v>
      </c>
      <c r="L83" t="s">
        <v>1236</v>
      </c>
      <c r="M83" t="s">
        <v>77</v>
      </c>
      <c r="N83" t="s">
        <v>1237</v>
      </c>
      <c r="O83" t="s">
        <v>1135</v>
      </c>
      <c r="P83">
        <v>37065000000</v>
      </c>
      <c r="Q83" t="s">
        <v>1135</v>
      </c>
      <c r="R83">
        <v>8</v>
      </c>
      <c r="S83">
        <v>10</v>
      </c>
      <c r="T83" s="31">
        <v>0.25</v>
      </c>
      <c r="U83">
        <v>10</v>
      </c>
      <c r="V83" s="31">
        <v>0</v>
      </c>
      <c r="W83">
        <v>10</v>
      </c>
      <c r="X83" s="31">
        <v>0</v>
      </c>
      <c r="Y83">
        <v>9</v>
      </c>
      <c r="Z83" s="31">
        <v>-0.1</v>
      </c>
      <c r="AA83">
        <v>9</v>
      </c>
      <c r="AB83" s="31">
        <v>0</v>
      </c>
      <c r="AC83">
        <v>8</v>
      </c>
      <c r="AD83">
        <v>1232</v>
      </c>
      <c r="AE83">
        <v>1483</v>
      </c>
      <c r="AF83" s="31">
        <v>0.2</v>
      </c>
      <c r="AG83">
        <v>1725</v>
      </c>
      <c r="AH83" s="31">
        <v>0.16</v>
      </c>
      <c r="AI83">
        <v>1968</v>
      </c>
      <c r="AJ83" s="31">
        <v>0.14000000000000001</v>
      </c>
      <c r="AK83">
        <v>2187</v>
      </c>
      <c r="AL83" s="31">
        <v>0.11</v>
      </c>
      <c r="AM83">
        <v>2149</v>
      </c>
      <c r="AN83" s="31">
        <v>-0.02</v>
      </c>
      <c r="AO83">
        <v>2192</v>
      </c>
      <c r="AP83" t="s">
        <v>1135</v>
      </c>
      <c r="AQ83">
        <v>289074</v>
      </c>
      <c r="AR83">
        <v>326922</v>
      </c>
      <c r="AS83" s="31">
        <v>0.13</v>
      </c>
      <c r="AT83">
        <v>422449</v>
      </c>
      <c r="AU83" s="31">
        <v>0.28999999999999998</v>
      </c>
      <c r="AV83">
        <v>569288</v>
      </c>
      <c r="AW83" s="31">
        <v>0.35</v>
      </c>
      <c r="AX83">
        <v>546169</v>
      </c>
      <c r="AY83" s="31">
        <v>-0.04</v>
      </c>
      <c r="AZ83">
        <v>532524</v>
      </c>
      <c r="BA83" s="31">
        <v>-0.02</v>
      </c>
      <c r="BB83">
        <v>48872</v>
      </c>
      <c r="BC83">
        <v>50256</v>
      </c>
      <c r="BD83" s="31">
        <v>0.03</v>
      </c>
      <c r="BE83">
        <v>66118</v>
      </c>
      <c r="BF83" s="31">
        <v>0.32</v>
      </c>
      <c r="BG83">
        <v>4081</v>
      </c>
      <c r="BH83" s="31">
        <v>-0.94</v>
      </c>
      <c r="BI83">
        <v>30482</v>
      </c>
      <c r="BJ83" s="31">
        <v>6.47</v>
      </c>
      <c r="BK83">
        <v>19852</v>
      </c>
      <c r="BL83" s="31">
        <v>-0.35</v>
      </c>
      <c r="BM83" t="s">
        <v>1234</v>
      </c>
      <c r="BN83" t="s">
        <v>1238</v>
      </c>
      <c r="BO83" t="s">
        <v>1239</v>
      </c>
      <c r="BP83" t="s">
        <v>1240</v>
      </c>
      <c r="BQ83" t="s">
        <v>1241</v>
      </c>
      <c r="BR83" t="s">
        <v>95</v>
      </c>
      <c r="BS83" t="s">
        <v>1137</v>
      </c>
    </row>
    <row r="84" spans="1:71" x14ac:dyDescent="0.2">
      <c r="A84" t="s">
        <v>1242</v>
      </c>
      <c r="B84" t="s">
        <v>1243</v>
      </c>
      <c r="C84">
        <v>731100</v>
      </c>
      <c r="D84" t="s">
        <v>508</v>
      </c>
      <c r="I84">
        <v>302652310</v>
      </c>
      <c r="J84" t="s">
        <v>1244</v>
      </c>
      <c r="K84" t="s">
        <v>1242</v>
      </c>
      <c r="L84" t="s">
        <v>1245</v>
      </c>
      <c r="M84" t="s">
        <v>77</v>
      </c>
      <c r="N84" t="s">
        <v>1246</v>
      </c>
      <c r="O84" t="s">
        <v>1247</v>
      </c>
      <c r="Q84" t="s">
        <v>1135</v>
      </c>
      <c r="R84">
        <v>12</v>
      </c>
      <c r="S84">
        <v>12</v>
      </c>
      <c r="T84" s="31">
        <v>0</v>
      </c>
      <c r="U84">
        <v>11</v>
      </c>
      <c r="V84" s="31">
        <v>-0.08</v>
      </c>
      <c r="W84">
        <v>11</v>
      </c>
      <c r="X84" s="31">
        <v>0</v>
      </c>
      <c r="Y84">
        <v>12</v>
      </c>
      <c r="Z84" s="31">
        <v>0.09</v>
      </c>
      <c r="AA84">
        <v>13</v>
      </c>
      <c r="AB84" s="31">
        <v>0.08</v>
      </c>
      <c r="AC84">
        <v>16</v>
      </c>
      <c r="AD84">
        <v>1176</v>
      </c>
      <c r="AE84">
        <v>1278</v>
      </c>
      <c r="AF84" s="31">
        <v>0.09</v>
      </c>
      <c r="AG84">
        <v>1653</v>
      </c>
      <c r="AH84" s="31">
        <v>0.28999999999999998</v>
      </c>
      <c r="AI84">
        <v>1709</v>
      </c>
      <c r="AJ84" s="31">
        <v>0.03</v>
      </c>
      <c r="AK84">
        <v>1889</v>
      </c>
      <c r="AL84" s="31">
        <v>0.11</v>
      </c>
      <c r="AM84">
        <v>2139</v>
      </c>
      <c r="AN84" s="31">
        <v>0.13</v>
      </c>
      <c r="AO84">
        <v>2212</v>
      </c>
      <c r="AP84" t="s">
        <v>1135</v>
      </c>
      <c r="AQ84">
        <v>829120</v>
      </c>
      <c r="AR84">
        <v>824661</v>
      </c>
      <c r="AS84" s="31">
        <v>-0.01</v>
      </c>
      <c r="AT84">
        <v>917347</v>
      </c>
      <c r="AU84" s="31">
        <v>0.11</v>
      </c>
      <c r="AV84">
        <v>1167788</v>
      </c>
      <c r="AW84" s="31">
        <v>0.27</v>
      </c>
      <c r="AX84">
        <v>1503595</v>
      </c>
      <c r="AY84" s="31">
        <v>0.28999999999999998</v>
      </c>
      <c r="AZ84">
        <v>1851227</v>
      </c>
      <c r="BA84" s="31">
        <v>0.23</v>
      </c>
      <c r="BB84">
        <v>934</v>
      </c>
      <c r="BC84">
        <v>77167</v>
      </c>
      <c r="BD84" s="31">
        <v>81.62</v>
      </c>
      <c r="BE84">
        <v>103099</v>
      </c>
      <c r="BF84" s="31">
        <v>0.34</v>
      </c>
      <c r="BG84">
        <v>120018</v>
      </c>
      <c r="BH84" s="31">
        <v>0.16</v>
      </c>
      <c r="BI84">
        <v>106616</v>
      </c>
      <c r="BJ84" s="31">
        <v>-0.11</v>
      </c>
      <c r="BK84">
        <v>120628</v>
      </c>
      <c r="BL84" s="31">
        <v>0.13</v>
      </c>
      <c r="BM84" t="s">
        <v>1243</v>
      </c>
      <c r="BN84" t="s">
        <v>1248</v>
      </c>
      <c r="BO84" t="s">
        <v>1249</v>
      </c>
      <c r="BP84" t="s">
        <v>1250</v>
      </c>
      <c r="BQ84" t="s">
        <v>1251</v>
      </c>
      <c r="BR84" t="s">
        <v>95</v>
      </c>
      <c r="BS84" t="s">
        <v>1137</v>
      </c>
    </row>
    <row r="85" spans="1:71" x14ac:dyDescent="0.2">
      <c r="A85" t="s">
        <v>1252</v>
      </c>
      <c r="B85" t="s">
        <v>1253</v>
      </c>
      <c r="C85">
        <v>731100</v>
      </c>
      <c r="D85" t="s">
        <v>508</v>
      </c>
      <c r="I85">
        <v>302653711</v>
      </c>
      <c r="J85" t="s">
        <v>1254</v>
      </c>
      <c r="K85" t="s">
        <v>1252</v>
      </c>
      <c r="L85" t="s">
        <v>1255</v>
      </c>
      <c r="M85" t="s">
        <v>77</v>
      </c>
      <c r="N85" t="s">
        <v>1256</v>
      </c>
      <c r="O85" t="s">
        <v>1135</v>
      </c>
      <c r="P85">
        <v>37062000000</v>
      </c>
      <c r="Q85" t="s">
        <v>1135</v>
      </c>
      <c r="R85">
        <v>14</v>
      </c>
      <c r="S85">
        <v>14</v>
      </c>
      <c r="T85" s="31">
        <v>0</v>
      </c>
      <c r="U85">
        <v>15</v>
      </c>
      <c r="V85" s="31">
        <v>7.0000000000000007E-2</v>
      </c>
      <c r="W85">
        <v>21</v>
      </c>
      <c r="X85" s="31">
        <v>0.4</v>
      </c>
      <c r="Y85">
        <v>25</v>
      </c>
      <c r="Z85" s="31">
        <v>0.19</v>
      </c>
      <c r="AA85">
        <v>23</v>
      </c>
      <c r="AB85" s="31">
        <v>-0.08</v>
      </c>
      <c r="AC85">
        <v>21</v>
      </c>
      <c r="AD85">
        <v>1748</v>
      </c>
      <c r="AE85">
        <v>2064</v>
      </c>
      <c r="AF85" s="31">
        <v>0.18</v>
      </c>
      <c r="AG85">
        <v>2302</v>
      </c>
      <c r="AH85" s="31">
        <v>0.12</v>
      </c>
      <c r="AI85">
        <v>2523</v>
      </c>
      <c r="AJ85" s="31">
        <v>0.1</v>
      </c>
      <c r="AK85">
        <v>2684</v>
      </c>
      <c r="AL85" s="31">
        <v>0.06</v>
      </c>
      <c r="AM85">
        <v>3002</v>
      </c>
      <c r="AN85" s="31">
        <v>0.12</v>
      </c>
      <c r="AO85">
        <v>3300</v>
      </c>
      <c r="AP85" t="s">
        <v>1135</v>
      </c>
      <c r="AQ85">
        <v>4126272</v>
      </c>
      <c r="AR85">
        <v>4392485</v>
      </c>
      <c r="AS85" s="31">
        <v>0.06</v>
      </c>
      <c r="AT85">
        <v>4915295</v>
      </c>
      <c r="AU85" s="31">
        <v>0.12</v>
      </c>
      <c r="AV85">
        <v>7618331</v>
      </c>
      <c r="AW85" s="31">
        <v>0.55000000000000004</v>
      </c>
      <c r="AX85">
        <v>5004244</v>
      </c>
      <c r="AY85" s="31">
        <v>-0.34</v>
      </c>
      <c r="AZ85">
        <v>3893452</v>
      </c>
      <c r="BA85" s="31">
        <v>-0.22</v>
      </c>
      <c r="BB85">
        <v>227290</v>
      </c>
      <c r="BC85">
        <v>139097</v>
      </c>
      <c r="BD85" s="31">
        <v>-0.39</v>
      </c>
      <c r="BE85">
        <v>173096</v>
      </c>
      <c r="BF85" s="31">
        <v>0.24</v>
      </c>
      <c r="BG85">
        <v>257944</v>
      </c>
      <c r="BH85" s="31">
        <v>0.49</v>
      </c>
      <c r="BI85">
        <v>73670</v>
      </c>
      <c r="BJ85" s="31">
        <v>-0.71</v>
      </c>
      <c r="BK85">
        <v>-215562</v>
      </c>
      <c r="BL85" s="31">
        <v>-3.93</v>
      </c>
      <c r="BM85" t="s">
        <v>1253</v>
      </c>
      <c r="BN85" t="s">
        <v>1257</v>
      </c>
      <c r="BO85" t="s">
        <v>1258</v>
      </c>
      <c r="BP85" t="s">
        <v>1259</v>
      </c>
      <c r="BQ85" t="s">
        <v>1260</v>
      </c>
      <c r="BR85" t="s">
        <v>647</v>
      </c>
      <c r="BS85" t="s">
        <v>1137</v>
      </c>
    </row>
    <row r="86" spans="1:71" x14ac:dyDescent="0.2">
      <c r="A86" t="s">
        <v>1261</v>
      </c>
      <c r="B86" t="s">
        <v>1262</v>
      </c>
      <c r="C86">
        <v>620100</v>
      </c>
      <c r="D86" t="s">
        <v>651</v>
      </c>
      <c r="I86">
        <v>302686095</v>
      </c>
      <c r="J86" t="s">
        <v>1263</v>
      </c>
      <c r="K86" t="s">
        <v>1261</v>
      </c>
      <c r="L86" t="s">
        <v>1264</v>
      </c>
      <c r="M86" t="s">
        <v>77</v>
      </c>
      <c r="N86" t="s">
        <v>1265</v>
      </c>
      <c r="O86" t="s">
        <v>1135</v>
      </c>
      <c r="P86">
        <v>37069000000</v>
      </c>
      <c r="Q86" t="s">
        <v>1135</v>
      </c>
      <c r="R86">
        <v>16</v>
      </c>
      <c r="S86">
        <v>18</v>
      </c>
      <c r="T86" s="31">
        <v>0.13</v>
      </c>
      <c r="U86">
        <v>20</v>
      </c>
      <c r="V86" s="31">
        <v>0.11</v>
      </c>
      <c r="W86">
        <v>19</v>
      </c>
      <c r="X86" s="31">
        <v>-0.05</v>
      </c>
      <c r="Y86">
        <v>20</v>
      </c>
      <c r="Z86" s="31">
        <v>0.05</v>
      </c>
      <c r="AA86">
        <v>20</v>
      </c>
      <c r="AB86" s="31">
        <v>0</v>
      </c>
      <c r="AC86">
        <v>21</v>
      </c>
      <c r="AD86">
        <v>2280</v>
      </c>
      <c r="AE86">
        <v>2496</v>
      </c>
      <c r="AF86" s="31">
        <v>0.09</v>
      </c>
      <c r="AG86">
        <v>2709</v>
      </c>
      <c r="AH86" s="31">
        <v>0.09</v>
      </c>
      <c r="AI86">
        <v>2958</v>
      </c>
      <c r="AJ86" s="31">
        <v>0.09</v>
      </c>
      <c r="AK86">
        <v>3278</v>
      </c>
      <c r="AL86" s="31">
        <v>0.11</v>
      </c>
      <c r="AM86">
        <v>3596</v>
      </c>
      <c r="AN86" s="31">
        <v>0.1</v>
      </c>
      <c r="AO86">
        <v>3733</v>
      </c>
      <c r="AP86" t="s">
        <v>1135</v>
      </c>
      <c r="AQ86">
        <v>531305</v>
      </c>
      <c r="AR86">
        <v>647894</v>
      </c>
      <c r="AS86" s="31">
        <v>0.22</v>
      </c>
      <c r="AT86">
        <v>784600</v>
      </c>
      <c r="AU86" s="31">
        <v>0.21</v>
      </c>
      <c r="AV86">
        <v>831603</v>
      </c>
      <c r="AW86" s="31">
        <v>0.06</v>
      </c>
      <c r="AX86">
        <v>971641</v>
      </c>
      <c r="AY86" s="31">
        <v>0.17</v>
      </c>
      <c r="AZ86">
        <v>1100235</v>
      </c>
      <c r="BA86" s="31">
        <v>0.13</v>
      </c>
      <c r="BB86">
        <v>23883</v>
      </c>
      <c r="BC86">
        <v>10392</v>
      </c>
      <c r="BD86" s="31">
        <v>-0.56000000000000005</v>
      </c>
      <c r="BE86">
        <v>9400</v>
      </c>
      <c r="BF86" s="31">
        <v>-0.1</v>
      </c>
      <c r="BG86">
        <v>5052</v>
      </c>
      <c r="BH86" s="31">
        <v>-0.46</v>
      </c>
      <c r="BI86">
        <v>7010</v>
      </c>
      <c r="BJ86" s="31">
        <v>0.39</v>
      </c>
      <c r="BK86">
        <v>7093</v>
      </c>
      <c r="BL86" s="31">
        <v>0.01</v>
      </c>
      <c r="BM86" t="s">
        <v>1262</v>
      </c>
      <c r="BN86" t="s">
        <v>1266</v>
      </c>
      <c r="BO86" t="s">
        <v>1135</v>
      </c>
      <c r="BP86" t="s">
        <v>1135</v>
      </c>
      <c r="BQ86" t="s">
        <v>1135</v>
      </c>
      <c r="BR86" t="s">
        <v>95</v>
      </c>
      <c r="BS86" t="s">
        <v>1137</v>
      </c>
    </row>
    <row r="87" spans="1:71" x14ac:dyDescent="0.2">
      <c r="A87" t="s">
        <v>1267</v>
      </c>
      <c r="B87" t="s">
        <v>1268</v>
      </c>
      <c r="C87">
        <v>591100</v>
      </c>
      <c r="D87" t="s">
        <v>1186</v>
      </c>
      <c r="I87">
        <v>302735546</v>
      </c>
      <c r="J87" t="s">
        <v>1269</v>
      </c>
      <c r="K87" t="s">
        <v>1267</v>
      </c>
      <c r="L87" t="s">
        <v>1270</v>
      </c>
      <c r="M87" t="s">
        <v>77</v>
      </c>
      <c r="N87" t="s">
        <v>1271</v>
      </c>
      <c r="O87" t="s">
        <v>1135</v>
      </c>
      <c r="P87">
        <v>37061000000</v>
      </c>
      <c r="Q87" t="s">
        <v>1135</v>
      </c>
      <c r="R87">
        <v>3</v>
      </c>
      <c r="S87">
        <v>3</v>
      </c>
      <c r="T87" s="31">
        <v>0</v>
      </c>
      <c r="U87">
        <v>4</v>
      </c>
      <c r="V87" s="31">
        <v>0.33</v>
      </c>
      <c r="W87">
        <v>4</v>
      </c>
      <c r="X87" s="31">
        <v>0</v>
      </c>
      <c r="Y87">
        <v>3</v>
      </c>
      <c r="Z87" s="31">
        <v>-0.25</v>
      </c>
      <c r="AA87">
        <v>3</v>
      </c>
      <c r="AB87" s="31">
        <v>0</v>
      </c>
      <c r="AC87">
        <v>4</v>
      </c>
      <c r="AD87" t="s">
        <v>590</v>
      </c>
      <c r="AE87">
        <v>464</v>
      </c>
      <c r="AF87" s="31" t="s">
        <v>590</v>
      </c>
      <c r="AG87">
        <v>443</v>
      </c>
      <c r="AH87" s="31">
        <v>-0.05</v>
      </c>
      <c r="AI87">
        <v>727</v>
      </c>
      <c r="AJ87" s="31">
        <v>0.64</v>
      </c>
      <c r="AK87">
        <v>824</v>
      </c>
      <c r="AL87" s="31">
        <v>0.13</v>
      </c>
      <c r="AM87" t="s">
        <v>590</v>
      </c>
      <c r="AN87" s="31" t="s">
        <v>590</v>
      </c>
      <c r="AO87">
        <v>1055</v>
      </c>
      <c r="AP87" t="s">
        <v>1135</v>
      </c>
      <c r="AQ87">
        <v>1507524</v>
      </c>
      <c r="AR87">
        <v>1539395</v>
      </c>
      <c r="AS87" s="31">
        <v>0.02</v>
      </c>
      <c r="AT87">
        <v>1457975</v>
      </c>
      <c r="AU87" s="31">
        <v>-0.05</v>
      </c>
      <c r="AV87">
        <v>1560444</v>
      </c>
      <c r="AW87" s="31">
        <v>7.0000000000000007E-2</v>
      </c>
      <c r="AX87">
        <v>1741263</v>
      </c>
      <c r="AY87" s="31">
        <v>0.12</v>
      </c>
      <c r="AZ87" t="s">
        <v>590</v>
      </c>
      <c r="BA87" s="31" t="s">
        <v>590</v>
      </c>
      <c r="BB87">
        <v>112348</v>
      </c>
      <c r="BC87">
        <v>109993</v>
      </c>
      <c r="BD87" s="31">
        <v>-0.02</v>
      </c>
      <c r="BE87">
        <v>72955</v>
      </c>
      <c r="BF87" s="31">
        <v>-0.34</v>
      </c>
      <c r="BG87">
        <v>62888</v>
      </c>
      <c r="BH87" s="31">
        <v>-0.14000000000000001</v>
      </c>
      <c r="BI87">
        <v>53987</v>
      </c>
      <c r="BJ87" s="31">
        <v>-0.14000000000000001</v>
      </c>
      <c r="BK87" t="s">
        <v>590</v>
      </c>
      <c r="BL87" s="31" t="s">
        <v>590</v>
      </c>
      <c r="BM87" t="s">
        <v>1268</v>
      </c>
      <c r="BN87" t="s">
        <v>1272</v>
      </c>
      <c r="BO87" t="s">
        <v>1135</v>
      </c>
      <c r="BP87" t="s">
        <v>1135</v>
      </c>
      <c r="BQ87" t="s">
        <v>1135</v>
      </c>
      <c r="BR87" t="s">
        <v>891</v>
      </c>
      <c r="BS87" t="s">
        <v>1137</v>
      </c>
    </row>
    <row r="88" spans="1:71" x14ac:dyDescent="0.2">
      <c r="A88" t="s">
        <v>1273</v>
      </c>
      <c r="B88" t="s">
        <v>1274</v>
      </c>
      <c r="C88">
        <v>731100</v>
      </c>
      <c r="D88" t="s">
        <v>508</v>
      </c>
      <c r="I88">
        <v>302928919</v>
      </c>
      <c r="J88" t="s">
        <v>1275</v>
      </c>
      <c r="K88" t="s">
        <v>1273</v>
      </c>
      <c r="L88" t="s">
        <v>1276</v>
      </c>
      <c r="M88" t="s">
        <v>171</v>
      </c>
      <c r="N88" t="s">
        <v>1277</v>
      </c>
      <c r="O88" t="s">
        <v>1135</v>
      </c>
      <c r="P88">
        <v>37060000000</v>
      </c>
      <c r="Q88" t="s">
        <v>1135</v>
      </c>
      <c r="R88">
        <v>6</v>
      </c>
      <c r="S88">
        <v>5</v>
      </c>
      <c r="T88" s="31">
        <v>-0.17</v>
      </c>
      <c r="U88">
        <v>7</v>
      </c>
      <c r="V88" s="31">
        <v>0.4</v>
      </c>
      <c r="W88">
        <v>9</v>
      </c>
      <c r="X88" s="31">
        <v>0.28999999999999998</v>
      </c>
      <c r="Y88">
        <v>9</v>
      </c>
      <c r="Z88" s="31">
        <v>0</v>
      </c>
      <c r="AA88">
        <v>9</v>
      </c>
      <c r="AB88" s="31">
        <v>0</v>
      </c>
      <c r="AC88">
        <v>11</v>
      </c>
      <c r="AD88">
        <v>1122</v>
      </c>
      <c r="AE88">
        <v>1681</v>
      </c>
      <c r="AF88" s="31">
        <v>0.5</v>
      </c>
      <c r="AG88">
        <v>1944</v>
      </c>
      <c r="AH88" s="31">
        <v>0.16</v>
      </c>
      <c r="AI88">
        <v>2381</v>
      </c>
      <c r="AJ88" s="31">
        <v>0.22</v>
      </c>
      <c r="AK88">
        <v>2815</v>
      </c>
      <c r="AL88" s="31">
        <v>0.18</v>
      </c>
      <c r="AM88">
        <v>3161</v>
      </c>
      <c r="AN88" s="31">
        <v>0.12</v>
      </c>
      <c r="AO88">
        <v>2836</v>
      </c>
      <c r="AP88" t="s">
        <v>1135</v>
      </c>
      <c r="AQ88">
        <v>180509</v>
      </c>
      <c r="AR88">
        <v>246330</v>
      </c>
      <c r="AS88" s="31">
        <v>0.36</v>
      </c>
      <c r="AT88">
        <v>377769</v>
      </c>
      <c r="AU88" s="31">
        <v>0.53</v>
      </c>
      <c r="AV88">
        <v>628198</v>
      </c>
      <c r="AW88" s="31">
        <v>0.66</v>
      </c>
      <c r="AX88">
        <v>645494</v>
      </c>
      <c r="AY88" s="31">
        <v>0.03</v>
      </c>
      <c r="AZ88">
        <v>770285</v>
      </c>
      <c r="BA88" s="31">
        <v>0.19</v>
      </c>
      <c r="BB88">
        <v>14970</v>
      </c>
      <c r="BC88">
        <v>36249</v>
      </c>
      <c r="BD88" s="31">
        <v>1.42</v>
      </c>
      <c r="BE88">
        <v>44305</v>
      </c>
      <c r="BF88" s="31">
        <v>0.22</v>
      </c>
      <c r="BG88">
        <v>85709</v>
      </c>
      <c r="BH88" s="31">
        <v>0.93</v>
      </c>
      <c r="BI88">
        <v>61795</v>
      </c>
      <c r="BJ88" s="31">
        <v>-0.28000000000000003</v>
      </c>
      <c r="BK88">
        <v>86675</v>
      </c>
      <c r="BL88" s="31">
        <v>0.4</v>
      </c>
      <c r="BM88" t="s">
        <v>1274</v>
      </c>
      <c r="BN88" t="s">
        <v>1278</v>
      </c>
      <c r="BO88" t="s">
        <v>1135</v>
      </c>
      <c r="BP88" t="s">
        <v>1135</v>
      </c>
      <c r="BQ88" t="s">
        <v>1135</v>
      </c>
      <c r="BR88" t="s">
        <v>95</v>
      </c>
      <c r="BS88" t="s">
        <v>1137</v>
      </c>
    </row>
    <row r="89" spans="1:71" x14ac:dyDescent="0.2">
      <c r="A89" t="s">
        <v>1279</v>
      </c>
      <c r="B89" t="s">
        <v>1280</v>
      </c>
      <c r="C89">
        <v>900200</v>
      </c>
      <c r="D89" t="s">
        <v>1193</v>
      </c>
      <c r="I89">
        <v>302930418</v>
      </c>
      <c r="J89" t="s">
        <v>1281</v>
      </c>
      <c r="K89" t="s">
        <v>1279</v>
      </c>
      <c r="L89" t="s">
        <v>1282</v>
      </c>
      <c r="M89" t="s">
        <v>77</v>
      </c>
      <c r="N89" t="s">
        <v>1283</v>
      </c>
      <c r="O89" t="s">
        <v>1284</v>
      </c>
      <c r="Q89" t="s">
        <v>1135</v>
      </c>
      <c r="R89">
        <v>4</v>
      </c>
      <c r="S89">
        <v>4</v>
      </c>
      <c r="T89" s="31">
        <v>0</v>
      </c>
      <c r="U89">
        <v>3</v>
      </c>
      <c r="V89" s="31">
        <v>-0.25</v>
      </c>
      <c r="W89">
        <v>4</v>
      </c>
      <c r="X89" s="31">
        <v>0.33</v>
      </c>
      <c r="Y89">
        <v>4</v>
      </c>
      <c r="Z89" s="31">
        <v>0</v>
      </c>
      <c r="AA89">
        <v>4</v>
      </c>
      <c r="AB89" s="31">
        <v>0</v>
      </c>
      <c r="AC89">
        <v>4</v>
      </c>
      <c r="AD89">
        <v>1062</v>
      </c>
      <c r="AE89">
        <v>1060</v>
      </c>
      <c r="AF89" s="31">
        <v>0</v>
      </c>
      <c r="AG89">
        <v>1055</v>
      </c>
      <c r="AH89" s="31">
        <v>0</v>
      </c>
      <c r="AI89">
        <v>1559</v>
      </c>
      <c r="AJ89" s="31">
        <v>0.48</v>
      </c>
      <c r="AK89">
        <v>1982</v>
      </c>
      <c r="AL89" s="31">
        <v>0.27</v>
      </c>
      <c r="AM89">
        <v>2195</v>
      </c>
      <c r="AN89" s="31">
        <v>0.11</v>
      </c>
      <c r="AO89">
        <v>2386</v>
      </c>
      <c r="AP89" t="s">
        <v>1135</v>
      </c>
      <c r="AQ89">
        <v>653976</v>
      </c>
      <c r="AR89">
        <v>196389</v>
      </c>
      <c r="AS89" s="31">
        <v>-0.7</v>
      </c>
      <c r="AT89">
        <v>399946</v>
      </c>
      <c r="AU89" s="31">
        <v>1.04</v>
      </c>
      <c r="AV89">
        <v>928031</v>
      </c>
      <c r="AW89" s="31">
        <v>1.32</v>
      </c>
      <c r="AX89">
        <v>1228001</v>
      </c>
      <c r="AY89" s="31">
        <v>0.32</v>
      </c>
      <c r="AZ89">
        <v>1064448</v>
      </c>
      <c r="BA89" s="31">
        <v>-0.13</v>
      </c>
      <c r="BB89">
        <v>60565</v>
      </c>
      <c r="BC89">
        <v>-2971</v>
      </c>
      <c r="BD89" s="31">
        <v>-1.05</v>
      </c>
      <c r="BE89">
        <v>19717</v>
      </c>
      <c r="BF89" s="31">
        <v>7.64</v>
      </c>
      <c r="BG89">
        <v>155375</v>
      </c>
      <c r="BH89" s="31">
        <v>6.88</v>
      </c>
      <c r="BI89">
        <v>156397</v>
      </c>
      <c r="BJ89" s="31">
        <v>0.01</v>
      </c>
      <c r="BK89">
        <v>83018</v>
      </c>
      <c r="BL89" s="31">
        <v>-0.47</v>
      </c>
      <c r="BM89" t="s">
        <v>1280</v>
      </c>
      <c r="BN89" t="s">
        <v>1285</v>
      </c>
      <c r="BO89" t="s">
        <v>1286</v>
      </c>
      <c r="BP89" t="s">
        <v>1135</v>
      </c>
      <c r="BQ89" t="s">
        <v>1135</v>
      </c>
      <c r="BR89" t="s">
        <v>95</v>
      </c>
      <c r="BS89" t="s">
        <v>1137</v>
      </c>
    </row>
    <row r="90" spans="1:71" x14ac:dyDescent="0.2">
      <c r="A90" t="s">
        <v>1287</v>
      </c>
      <c r="B90" t="s">
        <v>1288</v>
      </c>
      <c r="C90">
        <v>742000</v>
      </c>
      <c r="D90" t="s">
        <v>1289</v>
      </c>
      <c r="I90">
        <v>302932718</v>
      </c>
      <c r="J90" t="s">
        <v>1290</v>
      </c>
      <c r="K90" t="s">
        <v>1287</v>
      </c>
      <c r="L90" t="s">
        <v>1291</v>
      </c>
      <c r="M90" t="s">
        <v>77</v>
      </c>
      <c r="N90" t="s">
        <v>1292</v>
      </c>
      <c r="O90" t="s">
        <v>1135</v>
      </c>
      <c r="P90">
        <v>37068000000</v>
      </c>
      <c r="Q90" t="s">
        <v>1135</v>
      </c>
      <c r="R90" t="s">
        <v>590</v>
      </c>
      <c r="S90" t="s">
        <v>590</v>
      </c>
      <c r="T90" s="31" t="s">
        <v>590</v>
      </c>
      <c r="U90" t="s">
        <v>590</v>
      </c>
      <c r="V90" s="31" t="s">
        <v>590</v>
      </c>
      <c r="W90">
        <v>1</v>
      </c>
      <c r="X90" s="31" t="s">
        <v>590</v>
      </c>
      <c r="Y90">
        <v>2</v>
      </c>
      <c r="Z90" s="31">
        <v>1</v>
      </c>
      <c r="AA90">
        <v>3</v>
      </c>
      <c r="AB90" s="31">
        <v>0.5</v>
      </c>
      <c r="AC90">
        <v>3</v>
      </c>
      <c r="AD90" t="s">
        <v>590</v>
      </c>
      <c r="AE90" t="s">
        <v>590</v>
      </c>
      <c r="AF90" s="31" t="s">
        <v>590</v>
      </c>
      <c r="AG90" t="s">
        <v>590</v>
      </c>
      <c r="AH90" s="31" t="s">
        <v>590</v>
      </c>
      <c r="AI90" t="s">
        <v>590</v>
      </c>
      <c r="AJ90" s="31" t="s">
        <v>590</v>
      </c>
      <c r="AK90" t="s">
        <v>590</v>
      </c>
      <c r="AL90" s="31" t="s">
        <v>590</v>
      </c>
      <c r="AM90" t="s">
        <v>590</v>
      </c>
      <c r="AN90" s="31" t="s">
        <v>590</v>
      </c>
      <c r="AO90" t="s">
        <v>590</v>
      </c>
      <c r="AP90" t="s">
        <v>1135</v>
      </c>
      <c r="AQ90">
        <v>213414</v>
      </c>
      <c r="AR90">
        <v>153278</v>
      </c>
      <c r="AS90" s="31">
        <v>-0.28000000000000003</v>
      </c>
      <c r="AT90">
        <v>196578</v>
      </c>
      <c r="AU90" s="31">
        <v>0.28000000000000003</v>
      </c>
      <c r="AV90">
        <v>240432</v>
      </c>
      <c r="AW90" s="31">
        <v>0.22</v>
      </c>
      <c r="AX90">
        <v>155163</v>
      </c>
      <c r="AY90" s="31">
        <v>-0.35</v>
      </c>
      <c r="AZ90">
        <v>217614</v>
      </c>
      <c r="BA90" s="31">
        <v>0.4</v>
      </c>
      <c r="BB90">
        <v>56780</v>
      </c>
      <c r="BC90">
        <v>-2132</v>
      </c>
      <c r="BD90" s="31">
        <v>-1.04</v>
      </c>
      <c r="BE90">
        <v>21552</v>
      </c>
      <c r="BF90" s="31">
        <v>11.11</v>
      </c>
      <c r="BG90">
        <v>23364</v>
      </c>
      <c r="BH90" s="31">
        <v>0.08</v>
      </c>
      <c r="BI90">
        <v>-27895</v>
      </c>
      <c r="BJ90" s="31">
        <v>-2.19</v>
      </c>
      <c r="BK90">
        <v>31160</v>
      </c>
      <c r="BL90" s="31">
        <v>2.12</v>
      </c>
      <c r="BM90" t="s">
        <v>1288</v>
      </c>
      <c r="BN90" t="s">
        <v>1293</v>
      </c>
      <c r="BO90" t="s">
        <v>1294</v>
      </c>
      <c r="BP90" t="s">
        <v>1135</v>
      </c>
      <c r="BQ90" t="s">
        <v>1135</v>
      </c>
      <c r="BR90" t="s">
        <v>95</v>
      </c>
      <c r="BS90" t="s">
        <v>1137</v>
      </c>
    </row>
    <row r="91" spans="1:71" x14ac:dyDescent="0.2">
      <c r="A91" t="s">
        <v>1295</v>
      </c>
      <c r="B91" t="s">
        <v>1296</v>
      </c>
      <c r="C91">
        <v>731100</v>
      </c>
      <c r="D91" t="s">
        <v>508</v>
      </c>
      <c r="I91">
        <v>302988072</v>
      </c>
      <c r="J91" t="s">
        <v>1297</v>
      </c>
      <c r="K91" t="s">
        <v>1295</v>
      </c>
      <c r="L91" t="s">
        <v>1298</v>
      </c>
      <c r="M91" t="s">
        <v>77</v>
      </c>
      <c r="N91" t="s">
        <v>1299</v>
      </c>
      <c r="O91" t="s">
        <v>1135</v>
      </c>
      <c r="P91">
        <v>37065000000</v>
      </c>
      <c r="Q91" t="s">
        <v>1135</v>
      </c>
      <c r="R91">
        <v>14</v>
      </c>
      <c r="S91">
        <v>16</v>
      </c>
      <c r="T91" s="31">
        <v>0.14000000000000001</v>
      </c>
      <c r="U91">
        <v>16</v>
      </c>
      <c r="V91" s="31">
        <v>0</v>
      </c>
      <c r="W91">
        <v>13</v>
      </c>
      <c r="X91" s="31">
        <v>-0.19</v>
      </c>
      <c r="Y91">
        <v>11</v>
      </c>
      <c r="Z91" s="31">
        <v>-0.15</v>
      </c>
      <c r="AA91">
        <v>8</v>
      </c>
      <c r="AB91" s="31">
        <v>-0.27</v>
      </c>
      <c r="AC91">
        <v>7</v>
      </c>
      <c r="AD91">
        <v>1019</v>
      </c>
      <c r="AE91">
        <v>974</v>
      </c>
      <c r="AF91" s="31">
        <v>-0.04</v>
      </c>
      <c r="AG91">
        <v>1437</v>
      </c>
      <c r="AH91" s="31">
        <v>0.48</v>
      </c>
      <c r="AI91">
        <v>1826</v>
      </c>
      <c r="AJ91" s="31">
        <v>0.27</v>
      </c>
      <c r="AK91">
        <v>2196</v>
      </c>
      <c r="AL91" s="31">
        <v>0.2</v>
      </c>
      <c r="AM91">
        <v>2276</v>
      </c>
      <c r="AN91" s="31">
        <v>0.04</v>
      </c>
      <c r="AO91">
        <v>2228</v>
      </c>
      <c r="AP91" t="s">
        <v>1135</v>
      </c>
      <c r="AQ91">
        <v>542303</v>
      </c>
      <c r="AR91">
        <v>658028</v>
      </c>
      <c r="AS91" s="31">
        <v>0.21</v>
      </c>
      <c r="AT91">
        <v>752783</v>
      </c>
      <c r="AU91" s="31">
        <v>0.14000000000000001</v>
      </c>
      <c r="AV91">
        <v>684723</v>
      </c>
      <c r="AW91" s="31">
        <v>-0.09</v>
      </c>
      <c r="AX91">
        <v>670301</v>
      </c>
      <c r="AY91" s="31">
        <v>-0.02</v>
      </c>
      <c r="AZ91">
        <v>808733</v>
      </c>
      <c r="BA91" s="31">
        <v>0.21</v>
      </c>
      <c r="BB91">
        <v>4181</v>
      </c>
      <c r="BC91">
        <v>91256</v>
      </c>
      <c r="BD91" s="31">
        <v>20.83</v>
      </c>
      <c r="BE91">
        <v>49223</v>
      </c>
      <c r="BF91" s="31">
        <v>-0.46</v>
      </c>
      <c r="BG91">
        <v>30056</v>
      </c>
      <c r="BH91" s="31">
        <v>-0.39</v>
      </c>
      <c r="BI91">
        <v>19561</v>
      </c>
      <c r="BJ91" s="31">
        <v>-0.35</v>
      </c>
      <c r="BK91">
        <v>21444</v>
      </c>
      <c r="BL91" s="31">
        <v>0.1</v>
      </c>
      <c r="BM91" t="s">
        <v>1296</v>
      </c>
      <c r="BN91" t="s">
        <v>1300</v>
      </c>
      <c r="BO91" t="s">
        <v>1135</v>
      </c>
      <c r="BP91" t="s">
        <v>1135</v>
      </c>
      <c r="BQ91" t="s">
        <v>1135</v>
      </c>
      <c r="BR91" t="s">
        <v>628</v>
      </c>
      <c r="BS91" t="s">
        <v>1137</v>
      </c>
    </row>
    <row r="92" spans="1:71" x14ac:dyDescent="0.2">
      <c r="A92" t="s">
        <v>1301</v>
      </c>
      <c r="B92" t="s">
        <v>1302</v>
      </c>
      <c r="C92">
        <v>733000</v>
      </c>
      <c r="D92" t="s">
        <v>763</v>
      </c>
      <c r="I92">
        <v>303119589</v>
      </c>
      <c r="J92" t="s">
        <v>1303</v>
      </c>
      <c r="K92" t="s">
        <v>1301</v>
      </c>
      <c r="L92" t="s">
        <v>1304</v>
      </c>
      <c r="M92" t="s">
        <v>77</v>
      </c>
      <c r="N92" t="s">
        <v>1305</v>
      </c>
      <c r="O92" t="s">
        <v>1135</v>
      </c>
      <c r="P92" t="s">
        <v>1135</v>
      </c>
      <c r="Q92" t="s">
        <v>1135</v>
      </c>
      <c r="R92">
        <v>10</v>
      </c>
      <c r="S92">
        <v>10</v>
      </c>
      <c r="T92" s="31">
        <v>0</v>
      </c>
      <c r="U92">
        <v>10</v>
      </c>
      <c r="V92" s="31">
        <v>0</v>
      </c>
      <c r="W92">
        <v>7</v>
      </c>
      <c r="X92" s="31">
        <v>-0.3</v>
      </c>
      <c r="Y92">
        <v>2</v>
      </c>
      <c r="Z92" s="31">
        <v>-0.71</v>
      </c>
      <c r="AA92">
        <v>2</v>
      </c>
      <c r="AB92" s="31">
        <v>0</v>
      </c>
      <c r="AC92">
        <v>1</v>
      </c>
      <c r="AD92">
        <v>885</v>
      </c>
      <c r="AE92">
        <v>951</v>
      </c>
      <c r="AF92" s="31">
        <v>7.0000000000000007E-2</v>
      </c>
      <c r="AG92">
        <v>1469</v>
      </c>
      <c r="AH92" s="31">
        <v>0.54</v>
      </c>
      <c r="AI92">
        <v>1752</v>
      </c>
      <c r="AJ92" s="31">
        <v>0.19</v>
      </c>
      <c r="AK92" t="s">
        <v>590</v>
      </c>
      <c r="AL92" s="31" t="s">
        <v>590</v>
      </c>
      <c r="AM92" t="s">
        <v>590</v>
      </c>
      <c r="AN92" s="31" t="s">
        <v>590</v>
      </c>
      <c r="AO92" t="s">
        <v>590</v>
      </c>
      <c r="AP92" t="s">
        <v>1135</v>
      </c>
      <c r="AQ92">
        <v>577489</v>
      </c>
      <c r="AR92">
        <v>464698</v>
      </c>
      <c r="AS92" s="31">
        <v>-0.2</v>
      </c>
      <c r="AT92">
        <v>690337</v>
      </c>
      <c r="AU92" s="31">
        <v>0.49</v>
      </c>
      <c r="AV92">
        <v>410820</v>
      </c>
      <c r="AW92" s="31">
        <v>-0.4</v>
      </c>
      <c r="AX92">
        <v>451779</v>
      </c>
      <c r="AY92" s="31">
        <v>0.1</v>
      </c>
      <c r="AZ92">
        <v>477010</v>
      </c>
      <c r="BA92" s="31">
        <v>0.06</v>
      </c>
      <c r="BB92">
        <v>70122</v>
      </c>
      <c r="BC92">
        <v>53658</v>
      </c>
      <c r="BD92" s="31">
        <v>-0.23</v>
      </c>
      <c r="BE92">
        <v>70891</v>
      </c>
      <c r="BF92" s="31">
        <v>0.32</v>
      </c>
      <c r="BG92">
        <v>16785</v>
      </c>
      <c r="BH92" s="31">
        <v>-0.76</v>
      </c>
      <c r="BI92">
        <v>583</v>
      </c>
      <c r="BJ92" s="31">
        <v>-0.97</v>
      </c>
      <c r="BK92">
        <v>21248</v>
      </c>
      <c r="BL92" s="31">
        <v>35.450000000000003</v>
      </c>
      <c r="BM92" t="s">
        <v>1302</v>
      </c>
      <c r="BN92" t="s">
        <v>1306</v>
      </c>
      <c r="BO92" t="s">
        <v>1135</v>
      </c>
      <c r="BP92" t="s">
        <v>1135</v>
      </c>
      <c r="BQ92" t="s">
        <v>1135</v>
      </c>
      <c r="BR92" t="s">
        <v>95</v>
      </c>
      <c r="BS92" t="s">
        <v>1137</v>
      </c>
    </row>
    <row r="93" spans="1:71" x14ac:dyDescent="0.2">
      <c r="A93" t="s">
        <v>1307</v>
      </c>
      <c r="B93" t="s">
        <v>1308</v>
      </c>
      <c r="C93">
        <v>731100</v>
      </c>
      <c r="D93" t="s">
        <v>508</v>
      </c>
      <c r="I93">
        <v>303193931</v>
      </c>
      <c r="J93" t="s">
        <v>1309</v>
      </c>
      <c r="K93" t="s">
        <v>1307</v>
      </c>
      <c r="L93" t="s">
        <v>1310</v>
      </c>
      <c r="M93" t="s">
        <v>77</v>
      </c>
      <c r="N93" t="s">
        <v>1311</v>
      </c>
      <c r="O93" t="s">
        <v>1135</v>
      </c>
      <c r="P93">
        <v>37070000000</v>
      </c>
      <c r="Q93" t="s">
        <v>1135</v>
      </c>
      <c r="R93">
        <v>2</v>
      </c>
      <c r="S93">
        <v>2</v>
      </c>
      <c r="T93" s="31">
        <v>0</v>
      </c>
      <c r="U93">
        <v>2</v>
      </c>
      <c r="V93" s="31">
        <v>0</v>
      </c>
      <c r="W93">
        <v>1</v>
      </c>
      <c r="X93" s="31">
        <v>-0.5</v>
      </c>
      <c r="Y93">
        <v>1</v>
      </c>
      <c r="Z93" s="31">
        <v>0</v>
      </c>
      <c r="AA93">
        <v>2</v>
      </c>
      <c r="AB93" s="31">
        <v>1</v>
      </c>
      <c r="AC93">
        <v>1</v>
      </c>
      <c r="AD93" t="s">
        <v>590</v>
      </c>
      <c r="AE93" t="s">
        <v>590</v>
      </c>
      <c r="AF93" s="31" t="s">
        <v>590</v>
      </c>
      <c r="AG93" t="s">
        <v>590</v>
      </c>
      <c r="AH93" s="31" t="s">
        <v>590</v>
      </c>
      <c r="AI93" t="s">
        <v>590</v>
      </c>
      <c r="AJ93" s="31" t="s">
        <v>590</v>
      </c>
      <c r="AK93" t="s">
        <v>590</v>
      </c>
      <c r="AL93" s="31" t="s">
        <v>590</v>
      </c>
      <c r="AM93" t="s">
        <v>590</v>
      </c>
      <c r="AN93" s="31" t="s">
        <v>590</v>
      </c>
      <c r="AO93" t="s">
        <v>590</v>
      </c>
      <c r="AP93" t="s">
        <v>1135</v>
      </c>
      <c r="AQ93">
        <v>1171259</v>
      </c>
      <c r="AR93">
        <v>607912</v>
      </c>
      <c r="AS93" s="31">
        <v>-0.48</v>
      </c>
      <c r="AT93">
        <v>882594</v>
      </c>
      <c r="AU93" s="31">
        <v>0.45</v>
      </c>
      <c r="AV93">
        <v>1040136</v>
      </c>
      <c r="AW93" s="31">
        <v>0.18</v>
      </c>
      <c r="AX93">
        <v>1946579</v>
      </c>
      <c r="AY93" s="31">
        <v>0.87</v>
      </c>
      <c r="AZ93">
        <v>1713642</v>
      </c>
      <c r="BA93" s="31">
        <v>-0.12</v>
      </c>
      <c r="BB93">
        <v>93664</v>
      </c>
      <c r="BC93">
        <v>-2056</v>
      </c>
      <c r="BD93" s="31">
        <v>-1.02</v>
      </c>
      <c r="BE93">
        <v>38215</v>
      </c>
      <c r="BF93" s="31">
        <v>19.59</v>
      </c>
      <c r="BG93">
        <v>40347</v>
      </c>
      <c r="BH93" s="31">
        <v>0.06</v>
      </c>
      <c r="BI93">
        <v>187358</v>
      </c>
      <c r="BJ93" s="31">
        <v>3.64</v>
      </c>
      <c r="BK93">
        <v>58387</v>
      </c>
      <c r="BL93" s="31">
        <v>-0.69</v>
      </c>
      <c r="BM93" t="s">
        <v>1308</v>
      </c>
      <c r="BN93" t="s">
        <v>1312</v>
      </c>
      <c r="BO93" t="s">
        <v>1313</v>
      </c>
      <c r="BP93" t="s">
        <v>1135</v>
      </c>
      <c r="BQ93" t="s">
        <v>1314</v>
      </c>
      <c r="BR93" t="s">
        <v>628</v>
      </c>
      <c r="BS93" t="s">
        <v>1137</v>
      </c>
    </row>
    <row r="94" spans="1:71" x14ac:dyDescent="0.2">
      <c r="A94" t="s">
        <v>1315</v>
      </c>
      <c r="B94" t="s">
        <v>1316</v>
      </c>
      <c r="C94">
        <v>731100</v>
      </c>
      <c r="D94" t="s">
        <v>508</v>
      </c>
      <c r="I94">
        <v>304009850</v>
      </c>
      <c r="J94" t="s">
        <v>1317</v>
      </c>
      <c r="K94" t="s">
        <v>1315</v>
      </c>
      <c r="L94" t="s">
        <v>1318</v>
      </c>
      <c r="M94" t="s">
        <v>77</v>
      </c>
      <c r="N94" t="s">
        <v>1319</v>
      </c>
      <c r="O94" t="s">
        <v>1135</v>
      </c>
      <c r="P94">
        <v>37060000000</v>
      </c>
      <c r="Q94" t="s">
        <v>1135</v>
      </c>
      <c r="R94">
        <v>6</v>
      </c>
      <c r="S94">
        <v>7</v>
      </c>
      <c r="T94" s="31">
        <v>0.17</v>
      </c>
      <c r="U94">
        <v>6</v>
      </c>
      <c r="V94" s="31">
        <v>-0.14000000000000001</v>
      </c>
      <c r="W94">
        <v>7</v>
      </c>
      <c r="X94" s="31">
        <v>0.17</v>
      </c>
      <c r="Y94">
        <v>6</v>
      </c>
      <c r="Z94" s="31">
        <v>-0.14000000000000001</v>
      </c>
      <c r="AA94">
        <v>6</v>
      </c>
      <c r="AB94" s="31">
        <v>0</v>
      </c>
      <c r="AC94">
        <v>6</v>
      </c>
      <c r="AD94">
        <v>2858</v>
      </c>
      <c r="AE94">
        <v>3139</v>
      </c>
      <c r="AF94" s="31">
        <v>0.1</v>
      </c>
      <c r="AG94">
        <v>4661</v>
      </c>
      <c r="AH94" s="31">
        <v>0.48</v>
      </c>
      <c r="AI94">
        <v>4471</v>
      </c>
      <c r="AJ94" s="31">
        <v>-0.04</v>
      </c>
      <c r="AK94">
        <v>5086</v>
      </c>
      <c r="AL94" s="31">
        <v>0.14000000000000001</v>
      </c>
      <c r="AM94">
        <v>5911</v>
      </c>
      <c r="AN94" s="31">
        <v>0.16</v>
      </c>
      <c r="AO94">
        <v>5556</v>
      </c>
      <c r="AP94" t="s">
        <v>1135</v>
      </c>
      <c r="AQ94">
        <v>992725</v>
      </c>
      <c r="AR94">
        <v>1086282</v>
      </c>
      <c r="AS94" s="31">
        <v>0.09</v>
      </c>
      <c r="AT94">
        <v>1341762</v>
      </c>
      <c r="AU94" s="31">
        <v>0.24</v>
      </c>
      <c r="AV94">
        <v>1988223</v>
      </c>
      <c r="AW94" s="31">
        <v>0.48</v>
      </c>
      <c r="AX94">
        <v>2655646</v>
      </c>
      <c r="AY94" s="31">
        <v>0.34</v>
      </c>
      <c r="AZ94">
        <v>2521409</v>
      </c>
      <c r="BA94" s="31">
        <v>-0.05</v>
      </c>
      <c r="BB94">
        <v>66749</v>
      </c>
      <c r="BC94">
        <v>66481</v>
      </c>
      <c r="BD94" s="31">
        <v>0</v>
      </c>
      <c r="BE94">
        <v>47495</v>
      </c>
      <c r="BF94" s="31">
        <v>-0.28999999999999998</v>
      </c>
      <c r="BG94">
        <v>87884</v>
      </c>
      <c r="BH94" s="31">
        <v>0.85</v>
      </c>
      <c r="BI94">
        <v>32475</v>
      </c>
      <c r="BJ94" s="31">
        <v>-0.63</v>
      </c>
      <c r="BK94">
        <v>80127</v>
      </c>
      <c r="BL94" s="31">
        <v>1.47</v>
      </c>
      <c r="BM94" t="s">
        <v>1316</v>
      </c>
      <c r="BN94" t="s">
        <v>1320</v>
      </c>
      <c r="BO94" t="s">
        <v>1135</v>
      </c>
      <c r="BP94" t="s">
        <v>1135</v>
      </c>
      <c r="BQ94" t="s">
        <v>1135</v>
      </c>
      <c r="BR94" t="s">
        <v>95</v>
      </c>
      <c r="BS94" t="s">
        <v>1137</v>
      </c>
    </row>
    <row r="95" spans="1:71" x14ac:dyDescent="0.2">
      <c r="A95" t="s">
        <v>1321</v>
      </c>
      <c r="B95" t="s">
        <v>1322</v>
      </c>
      <c r="C95">
        <v>731100</v>
      </c>
      <c r="D95" t="s">
        <v>508</v>
      </c>
      <c r="I95">
        <v>304170889</v>
      </c>
      <c r="J95" t="s">
        <v>1323</v>
      </c>
      <c r="K95" t="s">
        <v>1321</v>
      </c>
      <c r="L95" t="s">
        <v>1324</v>
      </c>
      <c r="M95" t="s">
        <v>77</v>
      </c>
      <c r="N95" t="s">
        <v>1325</v>
      </c>
      <c r="O95" t="s">
        <v>1135</v>
      </c>
      <c r="P95">
        <v>37061000000</v>
      </c>
      <c r="Q95" t="s">
        <v>1135</v>
      </c>
      <c r="R95">
        <v>11</v>
      </c>
      <c r="S95">
        <v>11</v>
      </c>
      <c r="T95" s="31">
        <v>0</v>
      </c>
      <c r="U95">
        <v>14</v>
      </c>
      <c r="V95" s="31">
        <v>0.27</v>
      </c>
      <c r="W95">
        <v>16</v>
      </c>
      <c r="X95" s="31">
        <v>0.14000000000000001</v>
      </c>
      <c r="Y95">
        <v>17</v>
      </c>
      <c r="Z95" s="31">
        <v>0.06</v>
      </c>
      <c r="AA95">
        <v>15</v>
      </c>
      <c r="AB95" s="31">
        <v>-0.12</v>
      </c>
      <c r="AC95">
        <v>11</v>
      </c>
      <c r="AD95">
        <v>2115</v>
      </c>
      <c r="AE95">
        <v>1562</v>
      </c>
      <c r="AF95" s="31">
        <v>-0.26</v>
      </c>
      <c r="AG95">
        <v>2120</v>
      </c>
      <c r="AH95" s="31">
        <v>0.36</v>
      </c>
      <c r="AI95">
        <v>2689</v>
      </c>
      <c r="AJ95" s="31">
        <v>0.27</v>
      </c>
      <c r="AK95">
        <v>2813</v>
      </c>
      <c r="AL95" s="31">
        <v>0.05</v>
      </c>
      <c r="AM95">
        <v>2848</v>
      </c>
      <c r="AN95" s="31">
        <v>0.01</v>
      </c>
      <c r="AO95">
        <v>2912</v>
      </c>
      <c r="AP95" t="s">
        <v>1135</v>
      </c>
      <c r="AQ95">
        <v>696612</v>
      </c>
      <c r="AR95">
        <v>883128</v>
      </c>
      <c r="AS95" s="31">
        <v>0.27</v>
      </c>
      <c r="AT95">
        <v>2308986</v>
      </c>
      <c r="AU95" s="31">
        <v>1.61</v>
      </c>
      <c r="AV95">
        <v>3091351</v>
      </c>
      <c r="AW95" s="31">
        <v>0.34</v>
      </c>
      <c r="AX95">
        <v>3630118</v>
      </c>
      <c r="AY95" s="31">
        <v>0.17</v>
      </c>
      <c r="AZ95">
        <v>3855674</v>
      </c>
      <c r="BA95" s="31">
        <v>0.06</v>
      </c>
      <c r="BB95">
        <v>118886</v>
      </c>
      <c r="BC95">
        <v>153799</v>
      </c>
      <c r="BD95" s="31">
        <v>0.28999999999999998</v>
      </c>
      <c r="BE95">
        <v>152342</v>
      </c>
      <c r="BF95" s="31">
        <v>-0.01</v>
      </c>
      <c r="BG95">
        <v>170223</v>
      </c>
      <c r="BH95" s="31">
        <v>0.12</v>
      </c>
      <c r="BI95">
        <v>185256</v>
      </c>
      <c r="BJ95" s="31">
        <v>0.09</v>
      </c>
      <c r="BK95">
        <v>181329</v>
      </c>
      <c r="BL95" s="31">
        <v>-0.02</v>
      </c>
      <c r="BM95" t="s">
        <v>1322</v>
      </c>
      <c r="BN95" t="s">
        <v>1326</v>
      </c>
      <c r="BO95" t="s">
        <v>1135</v>
      </c>
      <c r="BP95" t="s">
        <v>1135</v>
      </c>
      <c r="BQ95" t="s">
        <v>1135</v>
      </c>
      <c r="BR95" t="s">
        <v>95</v>
      </c>
      <c r="BS95" t="s">
        <v>1137</v>
      </c>
    </row>
    <row r="96" spans="1:71" x14ac:dyDescent="0.2">
      <c r="A96" t="s">
        <v>1327</v>
      </c>
      <c r="B96" t="s">
        <v>1328</v>
      </c>
      <c r="C96">
        <v>731100</v>
      </c>
      <c r="D96" t="s">
        <v>508</v>
      </c>
      <c r="I96">
        <v>304562858</v>
      </c>
      <c r="J96" t="s">
        <v>1329</v>
      </c>
      <c r="K96" t="s">
        <v>1327</v>
      </c>
      <c r="L96" t="s">
        <v>1330</v>
      </c>
      <c r="M96" t="s">
        <v>171</v>
      </c>
      <c r="N96" t="s">
        <v>1331</v>
      </c>
      <c r="O96" t="s">
        <v>1099</v>
      </c>
      <c r="P96" t="s">
        <v>1135</v>
      </c>
      <c r="Q96" t="s">
        <v>1135</v>
      </c>
      <c r="R96">
        <v>17</v>
      </c>
      <c r="S96">
        <v>12</v>
      </c>
      <c r="T96" s="31">
        <v>-0.28999999999999998</v>
      </c>
      <c r="U96">
        <v>15</v>
      </c>
      <c r="V96" s="31">
        <v>0.25</v>
      </c>
      <c r="W96">
        <v>23</v>
      </c>
      <c r="X96" s="31">
        <v>0.53</v>
      </c>
      <c r="Y96">
        <v>27</v>
      </c>
      <c r="Z96" s="31">
        <v>0.17</v>
      </c>
      <c r="AA96">
        <v>26</v>
      </c>
      <c r="AB96" s="31">
        <v>-0.04</v>
      </c>
      <c r="AC96">
        <v>33</v>
      </c>
      <c r="AD96">
        <v>2079</v>
      </c>
      <c r="AE96">
        <v>1929</v>
      </c>
      <c r="AF96" s="31">
        <v>-7.0000000000000007E-2</v>
      </c>
      <c r="AG96">
        <v>2230</v>
      </c>
      <c r="AH96" s="31">
        <v>0.16</v>
      </c>
      <c r="AI96">
        <v>2450</v>
      </c>
      <c r="AJ96" s="31">
        <v>0.1</v>
      </c>
      <c r="AK96">
        <v>2646</v>
      </c>
      <c r="AL96" s="31">
        <v>0.08</v>
      </c>
      <c r="AM96">
        <v>2529</v>
      </c>
      <c r="AN96" s="31">
        <v>-0.04</v>
      </c>
      <c r="AO96">
        <v>2600</v>
      </c>
      <c r="AP96" t="s">
        <v>1135</v>
      </c>
      <c r="AQ96">
        <v>872145</v>
      </c>
      <c r="AR96">
        <v>1143759</v>
      </c>
      <c r="AS96" s="31">
        <v>0.31</v>
      </c>
      <c r="AT96">
        <v>1618544</v>
      </c>
      <c r="AU96" s="31">
        <v>0.42</v>
      </c>
      <c r="AV96">
        <v>1813270</v>
      </c>
      <c r="AW96" s="31">
        <v>0.12</v>
      </c>
      <c r="AX96">
        <v>1905999</v>
      </c>
      <c r="AY96" s="31">
        <v>0.05</v>
      </c>
      <c r="AZ96" t="s">
        <v>590</v>
      </c>
      <c r="BA96" s="31" t="s">
        <v>590</v>
      </c>
      <c r="BB96">
        <v>-5901</v>
      </c>
      <c r="BC96">
        <v>99347</v>
      </c>
      <c r="BD96" s="31">
        <v>17.84</v>
      </c>
      <c r="BE96">
        <v>99221</v>
      </c>
      <c r="BF96" s="31">
        <v>0</v>
      </c>
      <c r="BG96">
        <v>15289</v>
      </c>
      <c r="BH96" s="31">
        <v>-0.85</v>
      </c>
      <c r="BI96">
        <v>-91002</v>
      </c>
      <c r="BJ96" s="31">
        <v>-6.95</v>
      </c>
      <c r="BK96" t="s">
        <v>590</v>
      </c>
      <c r="BL96" s="31" t="s">
        <v>590</v>
      </c>
      <c r="BM96" t="s">
        <v>1328</v>
      </c>
      <c r="BN96" t="s">
        <v>1332</v>
      </c>
      <c r="BO96" t="s">
        <v>1333</v>
      </c>
      <c r="BP96" t="s">
        <v>1334</v>
      </c>
      <c r="BQ96" t="s">
        <v>1335</v>
      </c>
      <c r="BR96" t="s">
        <v>95</v>
      </c>
      <c r="BS96" t="s">
        <v>1137</v>
      </c>
    </row>
    <row r="97" spans="1:71" x14ac:dyDescent="0.2">
      <c r="A97" t="s">
        <v>896</v>
      </c>
      <c r="B97" t="s">
        <v>899</v>
      </c>
      <c r="C97">
        <v>731100</v>
      </c>
      <c r="D97" t="s">
        <v>508</v>
      </c>
      <c r="I97">
        <v>304686507</v>
      </c>
      <c r="J97" t="s">
        <v>895</v>
      </c>
      <c r="K97" t="s">
        <v>896</v>
      </c>
      <c r="L97" t="s">
        <v>897</v>
      </c>
      <c r="M97" t="s">
        <v>77</v>
      </c>
      <c r="N97" t="s">
        <v>898</v>
      </c>
      <c r="O97" t="s">
        <v>1135</v>
      </c>
      <c r="P97">
        <v>37069000000</v>
      </c>
      <c r="Q97" t="s">
        <v>1135</v>
      </c>
      <c r="R97" t="s">
        <v>590</v>
      </c>
      <c r="S97" t="s">
        <v>590</v>
      </c>
      <c r="T97" s="31" t="s">
        <v>590</v>
      </c>
      <c r="U97" t="s">
        <v>590</v>
      </c>
      <c r="V97" s="31" t="s">
        <v>590</v>
      </c>
      <c r="W97" t="s">
        <v>590</v>
      </c>
      <c r="X97" s="31" t="s">
        <v>590</v>
      </c>
      <c r="Y97" t="s">
        <v>590</v>
      </c>
      <c r="Z97" s="31" t="s">
        <v>590</v>
      </c>
      <c r="AA97" t="s">
        <v>590</v>
      </c>
      <c r="AB97" s="31" t="s">
        <v>590</v>
      </c>
      <c r="AC97" t="s">
        <v>1135</v>
      </c>
      <c r="AD97" t="s">
        <v>590</v>
      </c>
      <c r="AE97" t="s">
        <v>590</v>
      </c>
      <c r="AF97" s="31" t="s">
        <v>590</v>
      </c>
      <c r="AG97" t="s">
        <v>590</v>
      </c>
      <c r="AH97" s="31" t="s">
        <v>590</v>
      </c>
      <c r="AI97" t="s">
        <v>590</v>
      </c>
      <c r="AJ97" s="31" t="s">
        <v>590</v>
      </c>
      <c r="AK97" t="s">
        <v>590</v>
      </c>
      <c r="AL97" s="31" t="s">
        <v>590</v>
      </c>
      <c r="AM97" t="s">
        <v>590</v>
      </c>
      <c r="AN97" s="31" t="s">
        <v>590</v>
      </c>
      <c r="AO97" t="s">
        <v>590</v>
      </c>
      <c r="AP97">
        <v>217.05</v>
      </c>
      <c r="AQ97">
        <v>38589</v>
      </c>
      <c r="AR97">
        <v>23608</v>
      </c>
      <c r="AS97" s="31">
        <v>-0.39</v>
      </c>
      <c r="AT97">
        <v>42347</v>
      </c>
      <c r="AU97" s="31">
        <v>0.79</v>
      </c>
      <c r="AV97">
        <v>56054</v>
      </c>
      <c r="AW97" s="31">
        <v>0.32</v>
      </c>
      <c r="AX97">
        <v>77893</v>
      </c>
      <c r="AY97" s="31">
        <v>0.39</v>
      </c>
      <c r="AZ97">
        <v>86746</v>
      </c>
      <c r="BA97" s="31">
        <v>0.11</v>
      </c>
      <c r="BB97">
        <v>2266</v>
      </c>
      <c r="BC97">
        <v>-31</v>
      </c>
      <c r="BD97" s="31">
        <v>-1.01</v>
      </c>
      <c r="BE97">
        <v>1180</v>
      </c>
      <c r="BF97" s="31">
        <v>39.06</v>
      </c>
      <c r="BG97">
        <v>2003</v>
      </c>
      <c r="BH97" s="31">
        <v>0.7</v>
      </c>
      <c r="BI97">
        <v>-812</v>
      </c>
      <c r="BJ97" s="31">
        <v>-1.41</v>
      </c>
      <c r="BK97">
        <v>7310</v>
      </c>
      <c r="BL97" s="31">
        <v>10</v>
      </c>
      <c r="BM97" t="s">
        <v>899</v>
      </c>
      <c r="BN97" t="s">
        <v>900</v>
      </c>
      <c r="BO97" t="s">
        <v>901</v>
      </c>
      <c r="BP97" t="s">
        <v>1135</v>
      </c>
      <c r="BQ97" t="s">
        <v>1135</v>
      </c>
      <c r="BR97" t="s">
        <v>189</v>
      </c>
      <c r="BS97" t="s">
        <v>1137</v>
      </c>
    </row>
    <row r="98" spans="1:71" x14ac:dyDescent="0.2">
      <c r="A98" t="s">
        <v>1336</v>
      </c>
      <c r="B98" t="s">
        <v>1337</v>
      </c>
      <c r="C98">
        <v>731100</v>
      </c>
      <c r="D98" t="s">
        <v>508</v>
      </c>
      <c r="I98">
        <v>304824716</v>
      </c>
      <c r="J98" t="s">
        <v>1338</v>
      </c>
      <c r="K98" t="s">
        <v>1336</v>
      </c>
      <c r="L98" t="s">
        <v>1339</v>
      </c>
      <c r="M98" t="s">
        <v>77</v>
      </c>
      <c r="N98" t="s">
        <v>1340</v>
      </c>
      <c r="O98" t="s">
        <v>1135</v>
      </c>
      <c r="P98">
        <v>37066000000</v>
      </c>
      <c r="Q98" t="s">
        <v>1135</v>
      </c>
      <c r="R98" t="s">
        <v>590</v>
      </c>
      <c r="S98" t="s">
        <v>590</v>
      </c>
      <c r="T98" s="31" t="s">
        <v>590</v>
      </c>
      <c r="U98" t="s">
        <v>590</v>
      </c>
      <c r="V98" s="31" t="s">
        <v>590</v>
      </c>
      <c r="W98">
        <v>3</v>
      </c>
      <c r="X98" s="31" t="s">
        <v>590</v>
      </c>
      <c r="Y98">
        <v>4</v>
      </c>
      <c r="Z98" s="31">
        <v>0.33</v>
      </c>
      <c r="AA98">
        <v>3</v>
      </c>
      <c r="AB98" s="31">
        <v>-0.25</v>
      </c>
      <c r="AC98">
        <v>2</v>
      </c>
      <c r="AD98" t="s">
        <v>590</v>
      </c>
      <c r="AE98" t="s">
        <v>590</v>
      </c>
      <c r="AF98" s="31" t="s">
        <v>590</v>
      </c>
      <c r="AG98" t="s">
        <v>590</v>
      </c>
      <c r="AH98" s="31" t="s">
        <v>590</v>
      </c>
      <c r="AI98">
        <v>1568</v>
      </c>
      <c r="AJ98" s="31" t="s">
        <v>590</v>
      </c>
      <c r="AK98">
        <v>1594</v>
      </c>
      <c r="AL98" s="31">
        <v>0.02</v>
      </c>
      <c r="AM98" t="s">
        <v>590</v>
      </c>
      <c r="AN98" s="31" t="s">
        <v>590</v>
      </c>
      <c r="AO98" t="s">
        <v>590</v>
      </c>
      <c r="AP98" t="s">
        <v>1135</v>
      </c>
      <c r="AQ98">
        <v>301186</v>
      </c>
      <c r="AR98">
        <v>239230</v>
      </c>
      <c r="AS98" s="31">
        <v>-0.21</v>
      </c>
      <c r="AT98">
        <v>447002</v>
      </c>
      <c r="AU98" s="31">
        <v>0.87</v>
      </c>
      <c r="AV98">
        <v>291190</v>
      </c>
      <c r="AW98" s="31">
        <v>-0.35</v>
      </c>
      <c r="AX98">
        <v>491988</v>
      </c>
      <c r="AY98" s="31">
        <v>0.69</v>
      </c>
      <c r="AZ98">
        <v>891608</v>
      </c>
      <c r="BA98" s="31">
        <v>0.81</v>
      </c>
      <c r="BB98">
        <v>42574</v>
      </c>
      <c r="BC98">
        <v>27406</v>
      </c>
      <c r="BD98" s="31">
        <v>-0.36</v>
      </c>
      <c r="BE98">
        <v>59375</v>
      </c>
      <c r="BF98" s="31">
        <v>1.17</v>
      </c>
      <c r="BG98">
        <v>22344</v>
      </c>
      <c r="BH98" s="31">
        <v>-0.62</v>
      </c>
      <c r="BI98">
        <v>81254</v>
      </c>
      <c r="BJ98" s="31">
        <v>2.64</v>
      </c>
      <c r="BK98">
        <v>126884</v>
      </c>
      <c r="BL98" s="31">
        <v>0.56000000000000005</v>
      </c>
      <c r="BM98" t="s">
        <v>1337</v>
      </c>
      <c r="BN98" t="s">
        <v>1341</v>
      </c>
      <c r="BO98" t="s">
        <v>1342</v>
      </c>
      <c r="BP98" t="s">
        <v>1135</v>
      </c>
      <c r="BQ98" t="s">
        <v>1135</v>
      </c>
      <c r="BR98" t="s">
        <v>95</v>
      </c>
      <c r="BS98" t="s">
        <v>1137</v>
      </c>
    </row>
    <row r="99" spans="1:71" x14ac:dyDescent="0.2">
      <c r="A99" t="s">
        <v>1343</v>
      </c>
      <c r="B99" t="s">
        <v>1344</v>
      </c>
      <c r="C99">
        <v>731100</v>
      </c>
      <c r="D99" t="s">
        <v>508</v>
      </c>
      <c r="I99">
        <v>304844761</v>
      </c>
      <c r="J99" t="s">
        <v>1345</v>
      </c>
      <c r="K99" t="s">
        <v>1343</v>
      </c>
      <c r="L99" t="s">
        <v>1346</v>
      </c>
      <c r="M99" t="s">
        <v>77</v>
      </c>
      <c r="N99" t="s">
        <v>1347</v>
      </c>
      <c r="O99" t="s">
        <v>1135</v>
      </c>
      <c r="P99">
        <v>37061000000</v>
      </c>
      <c r="Q99" t="s">
        <v>1135</v>
      </c>
      <c r="R99">
        <v>7</v>
      </c>
      <c r="S99">
        <v>9</v>
      </c>
      <c r="T99" s="31">
        <v>0.28999999999999998</v>
      </c>
      <c r="U99">
        <v>20</v>
      </c>
      <c r="V99" s="31">
        <v>1.22</v>
      </c>
      <c r="W99">
        <v>24</v>
      </c>
      <c r="X99" s="31">
        <v>0.2</v>
      </c>
      <c r="Y99">
        <v>30</v>
      </c>
      <c r="Z99" s="31">
        <v>0.25</v>
      </c>
      <c r="AA99">
        <v>30</v>
      </c>
      <c r="AB99" s="31">
        <v>0</v>
      </c>
      <c r="AC99">
        <v>27</v>
      </c>
      <c r="AD99">
        <v>1237</v>
      </c>
      <c r="AE99">
        <v>1252</v>
      </c>
      <c r="AF99" s="31">
        <v>0.01</v>
      </c>
      <c r="AG99">
        <v>1343</v>
      </c>
      <c r="AH99" s="31">
        <v>7.0000000000000007E-2</v>
      </c>
      <c r="AI99">
        <v>1618</v>
      </c>
      <c r="AJ99" s="31">
        <v>0.2</v>
      </c>
      <c r="AK99">
        <v>1764</v>
      </c>
      <c r="AL99" s="31">
        <v>0.09</v>
      </c>
      <c r="AM99">
        <v>2000</v>
      </c>
      <c r="AN99" s="31">
        <v>0.13</v>
      </c>
      <c r="AO99">
        <v>2249</v>
      </c>
      <c r="AP99" t="s">
        <v>1135</v>
      </c>
      <c r="AQ99">
        <v>316051</v>
      </c>
      <c r="AR99">
        <v>516299</v>
      </c>
      <c r="AS99" s="31">
        <v>0.63</v>
      </c>
      <c r="AT99">
        <v>716566</v>
      </c>
      <c r="AU99" s="31">
        <v>0.39</v>
      </c>
      <c r="AV99">
        <v>1061361</v>
      </c>
      <c r="AW99" s="31">
        <v>0.48</v>
      </c>
      <c r="AX99">
        <v>1278169</v>
      </c>
      <c r="AY99" s="31">
        <v>0.2</v>
      </c>
      <c r="AZ99">
        <v>1258533</v>
      </c>
      <c r="BA99" s="31">
        <v>-0.02</v>
      </c>
      <c r="BB99">
        <v>58587</v>
      </c>
      <c r="BC99">
        <v>144823</v>
      </c>
      <c r="BD99" s="31">
        <v>1.47</v>
      </c>
      <c r="BE99">
        <v>74330</v>
      </c>
      <c r="BF99" s="31">
        <v>-0.49</v>
      </c>
      <c r="BG99">
        <v>203255</v>
      </c>
      <c r="BH99" s="31">
        <v>1.73</v>
      </c>
      <c r="BI99">
        <v>155781</v>
      </c>
      <c r="BJ99" s="31">
        <v>-0.23</v>
      </c>
      <c r="BK99">
        <v>4983</v>
      </c>
      <c r="BL99" s="31">
        <v>-0.97</v>
      </c>
      <c r="BM99" t="s">
        <v>1344</v>
      </c>
      <c r="BN99" t="s">
        <v>1348</v>
      </c>
      <c r="BO99" t="s">
        <v>1349</v>
      </c>
      <c r="BP99" t="s">
        <v>1350</v>
      </c>
      <c r="BQ99" t="s">
        <v>1351</v>
      </c>
      <c r="BR99" t="s">
        <v>189</v>
      </c>
      <c r="BS99" t="s">
        <v>1137</v>
      </c>
    </row>
    <row r="100" spans="1:71" x14ac:dyDescent="0.2">
      <c r="A100" t="s">
        <v>1352</v>
      </c>
      <c r="B100" t="s">
        <v>1353</v>
      </c>
      <c r="C100">
        <v>731100</v>
      </c>
      <c r="D100" t="s">
        <v>508</v>
      </c>
      <c r="I100">
        <v>304859756</v>
      </c>
      <c r="J100" t="s">
        <v>1354</v>
      </c>
      <c r="K100" t="s">
        <v>1352</v>
      </c>
      <c r="L100" t="s">
        <v>1355</v>
      </c>
      <c r="M100" t="s">
        <v>1356</v>
      </c>
      <c r="N100" t="s">
        <v>1357</v>
      </c>
      <c r="O100" t="s">
        <v>1135</v>
      </c>
      <c r="P100">
        <v>37064000000</v>
      </c>
      <c r="Q100">
        <v>37066000000</v>
      </c>
      <c r="R100">
        <v>2</v>
      </c>
      <c r="S100">
        <v>3</v>
      </c>
      <c r="T100" s="31">
        <v>0.5</v>
      </c>
      <c r="U100">
        <v>5</v>
      </c>
      <c r="V100" s="31">
        <v>0.67</v>
      </c>
      <c r="W100">
        <v>7</v>
      </c>
      <c r="X100" s="31">
        <v>0.4</v>
      </c>
      <c r="Y100">
        <v>8</v>
      </c>
      <c r="Z100" s="31">
        <v>0.14000000000000001</v>
      </c>
      <c r="AA100">
        <v>8</v>
      </c>
      <c r="AB100" s="31">
        <v>0</v>
      </c>
      <c r="AC100">
        <v>3</v>
      </c>
      <c r="AD100" t="s">
        <v>590</v>
      </c>
      <c r="AE100" t="s">
        <v>590</v>
      </c>
      <c r="AF100" s="31" t="s">
        <v>590</v>
      </c>
      <c r="AG100">
        <v>1467</v>
      </c>
      <c r="AH100" s="31" t="s">
        <v>590</v>
      </c>
      <c r="AI100">
        <v>1828</v>
      </c>
      <c r="AJ100" s="31">
        <v>0.25</v>
      </c>
      <c r="AK100">
        <v>2501</v>
      </c>
      <c r="AL100" s="31">
        <v>0.37</v>
      </c>
      <c r="AM100">
        <v>2967</v>
      </c>
      <c r="AN100" s="31">
        <v>0.19</v>
      </c>
      <c r="AO100" t="s">
        <v>590</v>
      </c>
      <c r="AP100" t="s">
        <v>1135</v>
      </c>
      <c r="AQ100">
        <v>106868</v>
      </c>
      <c r="AR100">
        <v>188503</v>
      </c>
      <c r="AS100" s="31">
        <v>0.76</v>
      </c>
      <c r="AT100">
        <v>334901</v>
      </c>
      <c r="AU100" s="31">
        <v>0.78</v>
      </c>
      <c r="AV100">
        <v>557757</v>
      </c>
      <c r="AW100" s="31">
        <v>0.67</v>
      </c>
      <c r="AX100">
        <v>663263</v>
      </c>
      <c r="AY100" s="31">
        <v>0.19</v>
      </c>
      <c r="AZ100">
        <v>542041</v>
      </c>
      <c r="BA100" s="31">
        <v>-0.18</v>
      </c>
      <c r="BB100">
        <v>35778</v>
      </c>
      <c r="BC100">
        <v>84072</v>
      </c>
      <c r="BD100" s="31">
        <v>1.35</v>
      </c>
      <c r="BE100">
        <v>66634</v>
      </c>
      <c r="BF100" s="31">
        <v>-0.21</v>
      </c>
      <c r="BG100">
        <v>88738</v>
      </c>
      <c r="BH100" s="31">
        <v>0.33</v>
      </c>
      <c r="BI100">
        <v>100252</v>
      </c>
      <c r="BJ100" s="31">
        <v>0.13</v>
      </c>
      <c r="BK100">
        <v>89946</v>
      </c>
      <c r="BL100" s="31">
        <v>-0.1</v>
      </c>
      <c r="BM100" t="s">
        <v>1353</v>
      </c>
      <c r="BN100" t="s">
        <v>1358</v>
      </c>
      <c r="BO100" t="s">
        <v>1135</v>
      </c>
      <c r="BP100" t="s">
        <v>1135</v>
      </c>
      <c r="BQ100" t="s">
        <v>1135</v>
      </c>
      <c r="BR100" t="s">
        <v>95</v>
      </c>
      <c r="BS100" t="s">
        <v>1137</v>
      </c>
    </row>
    <row r="101" spans="1:71" x14ac:dyDescent="0.2">
      <c r="A101" t="s">
        <v>1359</v>
      </c>
      <c r="B101" t="s">
        <v>1360</v>
      </c>
      <c r="C101">
        <v>731100</v>
      </c>
      <c r="D101" t="s">
        <v>508</v>
      </c>
      <c r="I101">
        <v>305005890</v>
      </c>
      <c r="J101" t="s">
        <v>1361</v>
      </c>
      <c r="K101" t="s">
        <v>1359</v>
      </c>
      <c r="L101" t="s">
        <v>1362</v>
      </c>
      <c r="M101" t="s">
        <v>77</v>
      </c>
      <c r="N101" t="s">
        <v>1135</v>
      </c>
      <c r="O101" t="s">
        <v>1135</v>
      </c>
      <c r="P101">
        <v>37065000000</v>
      </c>
      <c r="Q101" t="s">
        <v>1135</v>
      </c>
      <c r="R101">
        <v>6</v>
      </c>
      <c r="S101">
        <v>10</v>
      </c>
      <c r="T101" s="31">
        <v>0.67</v>
      </c>
      <c r="U101">
        <v>16</v>
      </c>
      <c r="V101" s="31">
        <v>0.6</v>
      </c>
      <c r="W101">
        <v>17</v>
      </c>
      <c r="X101" s="31">
        <v>0.06</v>
      </c>
      <c r="Y101">
        <v>15</v>
      </c>
      <c r="Z101" s="31">
        <v>-0.12</v>
      </c>
      <c r="AA101">
        <v>14</v>
      </c>
      <c r="AB101" s="31">
        <v>-7.0000000000000007E-2</v>
      </c>
      <c r="AC101">
        <v>12</v>
      </c>
      <c r="AD101">
        <v>2236</v>
      </c>
      <c r="AE101">
        <v>2193</v>
      </c>
      <c r="AF101" s="31">
        <v>-0.02</v>
      </c>
      <c r="AG101">
        <v>2601</v>
      </c>
      <c r="AH101" s="31">
        <v>0.19</v>
      </c>
      <c r="AI101">
        <v>2876</v>
      </c>
      <c r="AJ101" s="31">
        <v>0.11</v>
      </c>
      <c r="AK101">
        <v>3528</v>
      </c>
      <c r="AL101" s="31">
        <v>0.23</v>
      </c>
      <c r="AM101">
        <v>3152</v>
      </c>
      <c r="AN101" s="31">
        <v>-0.11</v>
      </c>
      <c r="AO101">
        <v>4230</v>
      </c>
      <c r="AP101" t="s">
        <v>1135</v>
      </c>
      <c r="AQ101">
        <v>735306</v>
      </c>
      <c r="AR101">
        <v>1080510</v>
      </c>
      <c r="AS101" s="31">
        <v>0.47</v>
      </c>
      <c r="AT101">
        <v>1699462</v>
      </c>
      <c r="AU101" s="31">
        <v>0.56999999999999995</v>
      </c>
      <c r="AV101">
        <v>2036569</v>
      </c>
      <c r="AW101" s="31">
        <v>0.2</v>
      </c>
      <c r="AX101">
        <v>1760945</v>
      </c>
      <c r="AY101" s="31">
        <v>-0.14000000000000001</v>
      </c>
      <c r="AZ101">
        <v>1136845</v>
      </c>
      <c r="BA101" s="31">
        <v>-0.35</v>
      </c>
      <c r="BB101">
        <v>10752</v>
      </c>
      <c r="BC101">
        <v>9194</v>
      </c>
      <c r="BD101" s="31">
        <v>-0.14000000000000001</v>
      </c>
      <c r="BE101">
        <v>29804</v>
      </c>
      <c r="BF101" s="31">
        <v>2.2400000000000002</v>
      </c>
      <c r="BG101">
        <v>50291</v>
      </c>
      <c r="BH101" s="31">
        <v>0.69</v>
      </c>
      <c r="BI101">
        <v>8415</v>
      </c>
      <c r="BJ101" s="31">
        <v>-0.83</v>
      </c>
      <c r="BK101">
        <v>91430</v>
      </c>
      <c r="BL101" s="31">
        <v>9.8699999999999992</v>
      </c>
      <c r="BM101" t="s">
        <v>1360</v>
      </c>
      <c r="BN101" t="s">
        <v>1363</v>
      </c>
      <c r="BO101" t="s">
        <v>1364</v>
      </c>
      <c r="BP101" t="s">
        <v>1135</v>
      </c>
      <c r="BQ101" t="s">
        <v>1135</v>
      </c>
      <c r="BR101" t="s">
        <v>95</v>
      </c>
      <c r="BS101" t="s">
        <v>1137</v>
      </c>
    </row>
    <row r="102" spans="1:71" x14ac:dyDescent="0.2">
      <c r="A102" t="s">
        <v>1365</v>
      </c>
      <c r="B102" t="s">
        <v>1366</v>
      </c>
      <c r="C102">
        <v>702200</v>
      </c>
      <c r="D102" t="s">
        <v>844</v>
      </c>
      <c r="I102">
        <v>305678310</v>
      </c>
      <c r="J102" t="s">
        <v>1367</v>
      </c>
      <c r="K102" t="s">
        <v>1365</v>
      </c>
      <c r="L102" t="s">
        <v>1368</v>
      </c>
      <c r="M102" t="s">
        <v>77</v>
      </c>
      <c r="N102" t="s">
        <v>1369</v>
      </c>
      <c r="O102" t="s">
        <v>1135</v>
      </c>
      <c r="P102">
        <v>37070000000</v>
      </c>
      <c r="Q102" t="s">
        <v>1135</v>
      </c>
      <c r="R102" t="s">
        <v>590</v>
      </c>
      <c r="S102" t="s">
        <v>590</v>
      </c>
      <c r="T102" s="31" t="s">
        <v>590</v>
      </c>
      <c r="U102">
        <v>2</v>
      </c>
      <c r="V102" s="31" t="s">
        <v>590</v>
      </c>
      <c r="W102">
        <v>3</v>
      </c>
      <c r="X102" s="31">
        <v>0.5</v>
      </c>
      <c r="Y102">
        <v>3</v>
      </c>
      <c r="Z102" s="31">
        <v>0</v>
      </c>
      <c r="AA102">
        <v>3</v>
      </c>
      <c r="AB102" s="31">
        <v>0</v>
      </c>
      <c r="AC102">
        <v>3</v>
      </c>
      <c r="AD102" t="s">
        <v>590</v>
      </c>
      <c r="AE102" t="s">
        <v>590</v>
      </c>
      <c r="AF102" s="31" t="s">
        <v>590</v>
      </c>
      <c r="AG102" t="s">
        <v>590</v>
      </c>
      <c r="AH102" s="31" t="s">
        <v>590</v>
      </c>
      <c r="AI102" t="s">
        <v>590</v>
      </c>
      <c r="AJ102" s="31" t="s">
        <v>590</v>
      </c>
      <c r="AK102" t="s">
        <v>590</v>
      </c>
      <c r="AL102" s="31" t="s">
        <v>590</v>
      </c>
      <c r="AM102" t="s">
        <v>590</v>
      </c>
      <c r="AN102" s="31" t="s">
        <v>590</v>
      </c>
      <c r="AO102" t="s">
        <v>590</v>
      </c>
      <c r="AP102" t="s">
        <v>1135</v>
      </c>
      <c r="AQ102" t="s">
        <v>590</v>
      </c>
      <c r="AR102" t="s">
        <v>590</v>
      </c>
      <c r="AS102" s="31" t="s">
        <v>590</v>
      </c>
      <c r="AT102">
        <v>56983</v>
      </c>
      <c r="AU102" s="31" t="s">
        <v>590</v>
      </c>
      <c r="AV102">
        <v>129939</v>
      </c>
      <c r="AW102" s="31">
        <v>1.28</v>
      </c>
      <c r="AX102">
        <v>235676</v>
      </c>
      <c r="AY102" s="31">
        <v>0.81</v>
      </c>
      <c r="AZ102">
        <v>201743</v>
      </c>
      <c r="BA102" s="31">
        <v>-0.14000000000000001</v>
      </c>
      <c r="BB102" t="s">
        <v>590</v>
      </c>
      <c r="BC102" t="s">
        <v>590</v>
      </c>
      <c r="BD102" s="31" t="s">
        <v>590</v>
      </c>
      <c r="BE102">
        <v>40177</v>
      </c>
      <c r="BF102" s="31" t="s">
        <v>590</v>
      </c>
      <c r="BG102">
        <v>50125</v>
      </c>
      <c r="BH102" s="31">
        <v>0.25</v>
      </c>
      <c r="BI102">
        <v>105197</v>
      </c>
      <c r="BJ102" s="31">
        <v>1.1000000000000001</v>
      </c>
      <c r="BK102">
        <v>93993</v>
      </c>
      <c r="BL102" s="31">
        <v>-0.11</v>
      </c>
      <c r="BM102" t="s">
        <v>1366</v>
      </c>
      <c r="BN102" t="s">
        <v>1370</v>
      </c>
      <c r="BO102" t="s">
        <v>1135</v>
      </c>
      <c r="BP102" t="s">
        <v>1135</v>
      </c>
      <c r="BQ102" t="s">
        <v>1135</v>
      </c>
      <c r="BR102" t="s">
        <v>95</v>
      </c>
      <c r="BS102" t="s">
        <v>1137</v>
      </c>
    </row>
    <row r="103" spans="1:71" x14ac:dyDescent="0.2">
      <c r="A103" t="s">
        <v>1371</v>
      </c>
      <c r="B103" t="s">
        <v>1372</v>
      </c>
      <c r="C103">
        <v>702100</v>
      </c>
      <c r="D103" t="s">
        <v>763</v>
      </c>
      <c r="I103">
        <v>305709318</v>
      </c>
      <c r="J103" t="s">
        <v>1373</v>
      </c>
      <c r="K103" t="s">
        <v>1371</v>
      </c>
      <c r="L103" t="s">
        <v>1374</v>
      </c>
      <c r="M103" t="s">
        <v>77</v>
      </c>
      <c r="N103" t="s">
        <v>1375</v>
      </c>
      <c r="O103" t="s">
        <v>1135</v>
      </c>
      <c r="P103">
        <v>37063000000</v>
      </c>
      <c r="Q103" t="s">
        <v>1135</v>
      </c>
      <c r="R103" t="s">
        <v>590</v>
      </c>
      <c r="S103" t="s">
        <v>590</v>
      </c>
      <c r="T103" s="31" t="s">
        <v>590</v>
      </c>
      <c r="U103" t="s">
        <v>590</v>
      </c>
      <c r="V103" s="31" t="s">
        <v>590</v>
      </c>
      <c r="W103" t="s">
        <v>590</v>
      </c>
      <c r="X103" s="31" t="s">
        <v>590</v>
      </c>
      <c r="Y103" t="s">
        <v>590</v>
      </c>
      <c r="Z103" s="31" t="s">
        <v>590</v>
      </c>
      <c r="AA103" t="s">
        <v>590</v>
      </c>
      <c r="AB103" s="31" t="s">
        <v>590</v>
      </c>
      <c r="AC103" t="s">
        <v>1135</v>
      </c>
      <c r="AD103" t="s">
        <v>590</v>
      </c>
      <c r="AE103" t="s">
        <v>590</v>
      </c>
      <c r="AF103" s="31" t="s">
        <v>590</v>
      </c>
      <c r="AG103" t="s">
        <v>590</v>
      </c>
      <c r="AH103" s="31" t="s">
        <v>590</v>
      </c>
      <c r="AI103" t="s">
        <v>590</v>
      </c>
      <c r="AJ103" s="31" t="s">
        <v>590</v>
      </c>
      <c r="AK103" t="s">
        <v>590</v>
      </c>
      <c r="AL103" s="31" t="s">
        <v>590</v>
      </c>
      <c r="AM103" t="s">
        <v>590</v>
      </c>
      <c r="AN103" s="31" t="s">
        <v>590</v>
      </c>
      <c r="AO103" t="s">
        <v>590</v>
      </c>
      <c r="AP103" t="s">
        <v>1135</v>
      </c>
      <c r="AQ103" t="s">
        <v>590</v>
      </c>
      <c r="AR103" t="s">
        <v>590</v>
      </c>
      <c r="AS103" s="31" t="s">
        <v>590</v>
      </c>
      <c r="AT103">
        <v>57701</v>
      </c>
      <c r="AU103" s="31" t="s">
        <v>590</v>
      </c>
      <c r="AV103">
        <v>73400</v>
      </c>
      <c r="AW103" s="31">
        <v>0.27</v>
      </c>
      <c r="AX103">
        <v>49395</v>
      </c>
      <c r="AY103" s="31">
        <v>-0.33</v>
      </c>
      <c r="AZ103">
        <v>95209</v>
      </c>
      <c r="BA103" s="31">
        <v>0.93</v>
      </c>
      <c r="BB103" t="s">
        <v>590</v>
      </c>
      <c r="BC103" t="s">
        <v>590</v>
      </c>
      <c r="BD103" s="31" t="s">
        <v>590</v>
      </c>
      <c r="BE103">
        <v>57313</v>
      </c>
      <c r="BF103" s="31" t="s">
        <v>590</v>
      </c>
      <c r="BG103">
        <v>69041</v>
      </c>
      <c r="BH103" s="31">
        <v>0.2</v>
      </c>
      <c r="BI103">
        <v>45194</v>
      </c>
      <c r="BJ103" s="31">
        <v>-0.35</v>
      </c>
      <c r="BK103">
        <v>80047</v>
      </c>
      <c r="BL103" s="31">
        <v>0.77</v>
      </c>
      <c r="BM103" t="s">
        <v>1372</v>
      </c>
      <c r="BN103" t="s">
        <v>1376</v>
      </c>
      <c r="BO103" t="s">
        <v>1135</v>
      </c>
      <c r="BP103" t="s">
        <v>1135</v>
      </c>
      <c r="BQ103" t="s">
        <v>1135</v>
      </c>
      <c r="BR103" t="s">
        <v>95</v>
      </c>
      <c r="BS103" t="s">
        <v>1137</v>
      </c>
    </row>
    <row r="104" spans="1:71" x14ac:dyDescent="0.2">
      <c r="A104" t="s">
        <v>1377</v>
      </c>
      <c r="B104" t="s">
        <v>1378</v>
      </c>
      <c r="C104">
        <v>731100</v>
      </c>
      <c r="D104" t="s">
        <v>508</v>
      </c>
      <c r="I104">
        <v>305758742</v>
      </c>
      <c r="J104" t="s">
        <v>1135</v>
      </c>
      <c r="K104" t="s">
        <v>1377</v>
      </c>
      <c r="L104" t="s">
        <v>1379</v>
      </c>
      <c r="M104" t="s">
        <v>77</v>
      </c>
      <c r="N104" t="s">
        <v>1380</v>
      </c>
      <c r="O104" t="s">
        <v>1381</v>
      </c>
      <c r="P104">
        <v>37061000000</v>
      </c>
      <c r="Q104" t="s">
        <v>1135</v>
      </c>
      <c r="R104" t="s">
        <v>590</v>
      </c>
      <c r="S104" t="s">
        <v>590</v>
      </c>
      <c r="T104" s="31" t="s">
        <v>590</v>
      </c>
      <c r="U104">
        <v>2</v>
      </c>
      <c r="V104" s="31" t="s">
        <v>590</v>
      </c>
      <c r="W104">
        <v>4</v>
      </c>
      <c r="X104" s="31">
        <v>1</v>
      </c>
      <c r="Y104">
        <v>2</v>
      </c>
      <c r="Z104" s="31">
        <v>-0.5</v>
      </c>
      <c r="AA104">
        <v>1</v>
      </c>
      <c r="AB104" s="31">
        <v>-0.5</v>
      </c>
      <c r="AC104">
        <v>1</v>
      </c>
      <c r="AD104" t="s">
        <v>590</v>
      </c>
      <c r="AE104" t="s">
        <v>590</v>
      </c>
      <c r="AF104" s="31" t="s">
        <v>590</v>
      </c>
      <c r="AG104" t="s">
        <v>590</v>
      </c>
      <c r="AH104" s="31" t="s">
        <v>590</v>
      </c>
      <c r="AI104">
        <v>2893</v>
      </c>
      <c r="AJ104" s="31" t="s">
        <v>590</v>
      </c>
      <c r="AK104" t="s">
        <v>590</v>
      </c>
      <c r="AL104" s="31" t="s">
        <v>590</v>
      </c>
      <c r="AM104" t="s">
        <v>590</v>
      </c>
      <c r="AN104" s="31" t="s">
        <v>590</v>
      </c>
      <c r="AO104" t="s">
        <v>590</v>
      </c>
      <c r="AP104" t="s">
        <v>1135</v>
      </c>
      <c r="AQ104" t="s">
        <v>590</v>
      </c>
      <c r="AR104" t="s">
        <v>590</v>
      </c>
      <c r="AS104" s="31" t="s">
        <v>590</v>
      </c>
      <c r="AT104">
        <v>92781</v>
      </c>
      <c r="AU104" s="31" t="s">
        <v>590</v>
      </c>
      <c r="AV104">
        <v>135073</v>
      </c>
      <c r="AW104" s="31">
        <v>0.46</v>
      </c>
      <c r="AX104">
        <v>48292</v>
      </c>
      <c r="AY104" s="31">
        <v>-0.64</v>
      </c>
      <c r="AZ104">
        <v>44366</v>
      </c>
      <c r="BA104" s="31">
        <v>-0.08</v>
      </c>
      <c r="BB104" t="s">
        <v>590</v>
      </c>
      <c r="BC104" t="s">
        <v>590</v>
      </c>
      <c r="BD104" s="31" t="s">
        <v>590</v>
      </c>
      <c r="BE104">
        <v>10703</v>
      </c>
      <c r="BF104" s="31" t="s">
        <v>590</v>
      </c>
      <c r="BG104">
        <v>-4806</v>
      </c>
      <c r="BH104" s="31">
        <v>-1.45</v>
      </c>
      <c r="BI104">
        <v>7197</v>
      </c>
      <c r="BJ104" s="31">
        <v>2.5</v>
      </c>
      <c r="BK104">
        <v>4534</v>
      </c>
      <c r="BL104" s="31">
        <v>-0.37</v>
      </c>
      <c r="BM104" t="s">
        <v>1378</v>
      </c>
      <c r="BN104" t="s">
        <v>1382</v>
      </c>
      <c r="BO104" t="s">
        <v>1135</v>
      </c>
      <c r="BP104" t="s">
        <v>1135</v>
      </c>
      <c r="BQ104" t="s">
        <v>1135</v>
      </c>
      <c r="BR104" t="s">
        <v>189</v>
      </c>
      <c r="BS104" t="s">
        <v>1137</v>
      </c>
    </row>
  </sheetData>
  <autoFilter ref="A1:BS104" xr:uid="{FCA09F18-A96C-6D40-A1EE-382746D7E166}"/>
  <hyperlinks>
    <hyperlink ref="B67" r:id="rId1" xr:uid="{11DF9F06-CB6A-3344-8E30-B256C7B775B1}"/>
    <hyperlink ref="B68" r:id="rId2" display="http://www.ventonuovo.lt/" xr:uid="{E2F4B5C2-711B-0F4A-A386-41289AA87D7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8C0CE-3CD4-410D-9ACE-9B8CBE7A1C21}">
  <sheetPr>
    <tabColor theme="3" tint="0.499984740745262"/>
  </sheetPr>
  <dimension ref="A1:CE170"/>
  <sheetViews>
    <sheetView zoomScale="112" zoomScaleNormal="70" workbookViewId="0">
      <pane xSplit="1" ySplit="1" topLeftCell="B57" activePane="bottomRight" state="frozen"/>
      <selection pane="topRight" activeCell="B1" sqref="B1"/>
      <selection pane="bottomLeft" activeCell="A2" sqref="A2"/>
      <selection pane="bottomRight" activeCell="J127" sqref="J127"/>
    </sheetView>
  </sheetViews>
  <sheetFormatPr baseColWidth="10" defaultColWidth="8.83203125" defaultRowHeight="15" outlineLevelCol="1" x14ac:dyDescent="0.2"/>
  <cols>
    <col min="1" max="1" width="34.1640625" style="42" bestFit="1" customWidth="1"/>
    <col min="2" max="2" width="24.6640625" style="42" customWidth="1"/>
    <col min="3" max="3" width="23.6640625" hidden="1" customWidth="1" outlineLevel="1"/>
    <col min="4" max="4" width="23.5" hidden="1" customWidth="1" outlineLevel="1"/>
    <col min="5" max="5" width="76.1640625" hidden="1" customWidth="1" outlineLevel="1"/>
    <col min="6" max="6" width="17.33203125" hidden="1" customWidth="1" outlineLevel="1"/>
    <col min="7" max="7" width="13.83203125" hidden="1" customWidth="1" outlineLevel="1"/>
    <col min="8" max="8" width="22.83203125" hidden="1" customWidth="1" outlineLevel="1"/>
    <col min="9" max="9" width="13.83203125" hidden="1" customWidth="1" outlineLevel="1"/>
    <col min="10" max="10" width="12.5" customWidth="1" collapsed="1"/>
    <col min="11" max="11" width="14.83203125" customWidth="1"/>
    <col min="12" max="12" width="29.33203125" customWidth="1"/>
    <col min="13" max="13" width="34.5" customWidth="1"/>
    <col min="14" max="14" width="10.83203125" customWidth="1"/>
    <col min="15" max="15" width="33.5" customWidth="1"/>
    <col min="16" max="16" width="14.1640625" customWidth="1"/>
    <col min="17" max="17" width="14.6640625" customWidth="1"/>
    <col min="18" max="18" width="19" customWidth="1" outlineLevel="1" collapsed="1"/>
    <col min="19" max="19" width="19" customWidth="1" outlineLevel="1"/>
    <col min="20" max="20" width="21.1640625" customWidth="1" outlineLevel="1"/>
    <col min="21" max="21" width="19" customWidth="1" outlineLevel="1"/>
    <col min="22" max="22" width="21.1640625" customWidth="1" outlineLevel="1"/>
    <col min="23" max="23" width="19" customWidth="1" outlineLevel="1"/>
    <col min="24" max="24" width="21.1640625" customWidth="1" outlineLevel="1"/>
    <col min="25" max="25" width="19" customWidth="1" outlineLevel="1"/>
    <col min="26" max="26" width="21.1640625" customWidth="1" outlineLevel="1"/>
    <col min="27" max="27" width="19" customWidth="1" outlineLevel="1"/>
    <col min="28" max="28" width="21.1640625" customWidth="1" outlineLevel="1"/>
    <col min="29" max="29" width="24.1640625" customWidth="1" outlineLevel="1"/>
    <col min="30" max="30" width="25.33203125" customWidth="1" outlineLevel="1" collapsed="1"/>
    <col min="31" max="31" width="27.6640625" customWidth="1" outlineLevel="1"/>
    <col min="32" max="32" width="39.5" customWidth="1" outlineLevel="1"/>
    <col min="33" max="33" width="25.33203125" customWidth="1" outlineLevel="1"/>
    <col min="34" max="34" width="27.6640625" customWidth="1" outlineLevel="1"/>
    <col min="35" max="35" width="39.5" customWidth="1" outlineLevel="1"/>
    <col min="36" max="36" width="19.33203125" customWidth="1" outlineLevel="1"/>
    <col min="37" max="37" width="25.33203125" customWidth="1" outlineLevel="1"/>
    <col min="38" max="38" width="27.6640625" customWidth="1" outlineLevel="1"/>
    <col min="39" max="39" width="39.5" customWidth="1" outlineLevel="1"/>
    <col min="40" max="40" width="19.33203125" customWidth="1" outlineLevel="1"/>
    <col min="41" max="41" width="25.33203125" customWidth="1" outlineLevel="1"/>
    <col min="42" max="42" width="27.6640625" customWidth="1" outlineLevel="1"/>
    <col min="43" max="43" width="39.5" customWidth="1" outlineLevel="1"/>
    <col min="44" max="44" width="19.33203125" customWidth="1" outlineLevel="1"/>
    <col min="45" max="45" width="25.33203125" customWidth="1" outlineLevel="1"/>
    <col min="46" max="46" width="27.6640625" customWidth="1" outlineLevel="1"/>
    <col min="47" max="47" width="39.5" customWidth="1" outlineLevel="1"/>
    <col min="48" max="48" width="19.33203125" customWidth="1" outlineLevel="1"/>
    <col min="49" max="49" width="25.33203125" customWidth="1" outlineLevel="1"/>
    <col min="50" max="50" width="26.5" customWidth="1" outlineLevel="1"/>
    <col min="51" max="51" width="39.5" customWidth="1" outlineLevel="1"/>
    <col min="52" max="52" width="19.33203125" customWidth="1" outlineLevel="1"/>
    <col min="53" max="53" width="27.83203125" customWidth="1" outlineLevel="1"/>
    <col min="54" max="54" width="29" customWidth="1" outlineLevel="1"/>
    <col min="55" max="55" width="15.33203125" customWidth="1" outlineLevel="1"/>
    <col min="56" max="57" width="16.33203125" customWidth="1" outlineLevel="1"/>
    <col min="58" max="58" width="23.33203125" customWidth="1" outlineLevel="1"/>
    <col min="59" max="59" width="16.33203125" customWidth="1" outlineLevel="1"/>
    <col min="60" max="60" width="23.33203125" customWidth="1" outlineLevel="1"/>
    <col min="61" max="61" width="16.33203125" customWidth="1" outlineLevel="1"/>
    <col min="62" max="62" width="23.33203125" customWidth="1" outlineLevel="1"/>
    <col min="63" max="63" width="16.33203125" customWidth="1" outlineLevel="1"/>
    <col min="64" max="64" width="23.33203125" customWidth="1" outlineLevel="1"/>
    <col min="65" max="65" width="16.33203125" customWidth="1" outlineLevel="1"/>
    <col min="66" max="66" width="23.33203125" customWidth="1" outlineLevel="1"/>
    <col min="67" max="67" width="22.5" customWidth="1" outlineLevel="1" collapsed="1"/>
    <col min="68" max="68" width="22.5" customWidth="1" outlineLevel="1"/>
    <col min="69" max="69" width="23.83203125" customWidth="1" outlineLevel="1"/>
    <col min="70" max="70" width="22.5" customWidth="1" outlineLevel="1"/>
    <col min="71" max="71" width="23.83203125" customWidth="1" outlineLevel="1"/>
    <col min="72" max="72" width="22.5" customWidth="1" outlineLevel="1"/>
    <col min="73" max="73" width="23.83203125" customWidth="1" outlineLevel="1"/>
    <col min="74" max="74" width="22.5" customWidth="1" outlineLevel="1"/>
    <col min="75" max="75" width="23.83203125" customWidth="1" outlineLevel="1"/>
    <col min="76" max="76" width="22.5" customWidth="1" outlineLevel="1"/>
    <col min="77" max="77" width="23.83203125" customWidth="1" outlineLevel="1"/>
    <col min="78" max="78" width="56.33203125" bestFit="1" customWidth="1"/>
    <col min="79" max="79" width="78.83203125" bestFit="1" customWidth="1"/>
    <col min="80" max="80" width="30.83203125" customWidth="1"/>
    <col min="81" max="81" width="72.1640625" bestFit="1" customWidth="1"/>
    <col min="82" max="82" width="41.5" bestFit="1" customWidth="1"/>
    <col min="83" max="83" width="27.83203125" bestFit="1" customWidth="1"/>
    <col min="86" max="86" width="21.5" bestFit="1" customWidth="1"/>
    <col min="87" max="87" width="74.83203125" bestFit="1" customWidth="1"/>
    <col min="88" max="88" width="54.83203125" bestFit="1" customWidth="1"/>
    <col min="89" max="89" width="14" bestFit="1" customWidth="1"/>
    <col min="90" max="90" width="27.1640625" bestFit="1" customWidth="1"/>
    <col min="91" max="91" width="21.5" bestFit="1" customWidth="1"/>
    <col min="92" max="92" width="74.83203125" bestFit="1" customWidth="1"/>
  </cols>
  <sheetData>
    <row r="1" spans="1:83" s="40" customFormat="1" x14ac:dyDescent="0.2">
      <c r="A1" s="38" t="s">
        <v>1383</v>
      </c>
      <c r="B1" s="38" t="s">
        <v>1384</v>
      </c>
      <c r="C1" s="39" t="s">
        <v>64</v>
      </c>
      <c r="D1" s="39" t="s">
        <v>2</v>
      </c>
      <c r="E1" s="39" t="s">
        <v>3</v>
      </c>
      <c r="F1" s="39" t="s">
        <v>1385</v>
      </c>
      <c r="G1" s="39" t="s">
        <v>1386</v>
      </c>
      <c r="H1" s="39" t="s">
        <v>1387</v>
      </c>
      <c r="I1" s="39" t="s">
        <v>1388</v>
      </c>
      <c r="J1" s="39" t="s">
        <v>8</v>
      </c>
      <c r="K1" s="39" t="s">
        <v>9</v>
      </c>
      <c r="L1" s="39" t="s">
        <v>10</v>
      </c>
      <c r="M1" s="39" t="s">
        <v>11</v>
      </c>
      <c r="N1" s="39" t="s">
        <v>12</v>
      </c>
      <c r="O1" s="39" t="s">
        <v>13</v>
      </c>
      <c r="P1" s="39" t="s">
        <v>14</v>
      </c>
      <c r="Q1" s="39" t="s">
        <v>15</v>
      </c>
      <c r="R1" s="39" t="s">
        <v>17</v>
      </c>
      <c r="S1" s="39" t="s">
        <v>18</v>
      </c>
      <c r="T1" s="39" t="s">
        <v>19</v>
      </c>
      <c r="U1" s="39" t="s">
        <v>20</v>
      </c>
      <c r="V1" s="39" t="s">
        <v>21</v>
      </c>
      <c r="W1" s="39" t="s">
        <v>22</v>
      </c>
      <c r="X1" s="39" t="s">
        <v>23</v>
      </c>
      <c r="Y1" s="39" t="s">
        <v>24</v>
      </c>
      <c r="Z1" s="39" t="s">
        <v>25</v>
      </c>
      <c r="AA1" s="39" t="s">
        <v>26</v>
      </c>
      <c r="AB1" s="39" t="s">
        <v>27</v>
      </c>
      <c r="AC1" s="39" t="s">
        <v>28</v>
      </c>
      <c r="AD1" s="39" t="s">
        <v>29</v>
      </c>
      <c r="AE1" s="39" t="s">
        <v>1389</v>
      </c>
      <c r="AF1" s="39" t="s">
        <v>1390</v>
      </c>
      <c r="AG1" s="39" t="s">
        <v>30</v>
      </c>
      <c r="AH1" s="39" t="s">
        <v>1391</v>
      </c>
      <c r="AI1" s="39" t="s">
        <v>1392</v>
      </c>
      <c r="AJ1" s="39" t="s">
        <v>31</v>
      </c>
      <c r="AK1" s="39" t="s">
        <v>32</v>
      </c>
      <c r="AL1" s="39" t="s">
        <v>1393</v>
      </c>
      <c r="AM1" s="39" t="s">
        <v>1394</v>
      </c>
      <c r="AN1" s="39" t="s">
        <v>33</v>
      </c>
      <c r="AO1" s="39" t="s">
        <v>34</v>
      </c>
      <c r="AP1" s="39" t="s">
        <v>1395</v>
      </c>
      <c r="AQ1" s="39" t="s">
        <v>1396</v>
      </c>
      <c r="AR1" s="39" t="s">
        <v>35</v>
      </c>
      <c r="AS1" s="39" t="s">
        <v>36</v>
      </c>
      <c r="AT1" s="39" t="s">
        <v>1397</v>
      </c>
      <c r="AU1" s="39" t="s">
        <v>1398</v>
      </c>
      <c r="AV1" s="39" t="s">
        <v>37</v>
      </c>
      <c r="AW1" s="39" t="s">
        <v>38</v>
      </c>
      <c r="AX1" s="39" t="s">
        <v>1399</v>
      </c>
      <c r="AY1" s="39" t="s">
        <v>1400</v>
      </c>
      <c r="AZ1" s="39" t="s">
        <v>39</v>
      </c>
      <c r="BA1" s="39" t="s">
        <v>40</v>
      </c>
      <c r="BB1" s="39" t="s">
        <v>1401</v>
      </c>
      <c r="BC1" s="39" t="s">
        <v>41</v>
      </c>
      <c r="BD1" s="39" t="s">
        <v>42</v>
      </c>
      <c r="BE1" s="39" t="s">
        <v>43</v>
      </c>
      <c r="BF1" s="39" t="s">
        <v>44</v>
      </c>
      <c r="BG1" s="39" t="s">
        <v>45</v>
      </c>
      <c r="BH1" s="39" t="s">
        <v>46</v>
      </c>
      <c r="BI1" s="39" t="s">
        <v>47</v>
      </c>
      <c r="BJ1" s="39" t="s">
        <v>48</v>
      </c>
      <c r="BK1" s="39" t="s">
        <v>49</v>
      </c>
      <c r="BL1" s="39" t="s">
        <v>50</v>
      </c>
      <c r="BM1" s="39" t="s">
        <v>51</v>
      </c>
      <c r="BN1" s="39" t="s">
        <v>52</v>
      </c>
      <c r="BO1" s="39" t="s">
        <v>53</v>
      </c>
      <c r="BP1" s="39" t="s">
        <v>54</v>
      </c>
      <c r="BQ1" s="39" t="s">
        <v>55</v>
      </c>
      <c r="BR1" s="39" t="s">
        <v>56</v>
      </c>
      <c r="BS1" s="39" t="s">
        <v>57</v>
      </c>
      <c r="BT1" s="39" t="s">
        <v>58</v>
      </c>
      <c r="BU1" s="39" t="s">
        <v>59</v>
      </c>
      <c r="BV1" s="39" t="s">
        <v>60</v>
      </c>
      <c r="BW1" s="39" t="s">
        <v>61</v>
      </c>
      <c r="BX1" s="39" t="s">
        <v>62</v>
      </c>
      <c r="BY1" s="39" t="s">
        <v>63</v>
      </c>
      <c r="BZ1" s="39" t="s">
        <v>65</v>
      </c>
      <c r="CA1" s="39" t="s">
        <v>66</v>
      </c>
      <c r="CB1" s="39" t="s">
        <v>67</v>
      </c>
      <c r="CC1" s="39" t="s">
        <v>68</v>
      </c>
      <c r="CD1" s="39" t="s">
        <v>69</v>
      </c>
      <c r="CE1" s="39" t="s">
        <v>70</v>
      </c>
    </row>
    <row r="2" spans="1:83" x14ac:dyDescent="0.2">
      <c r="A2" s="41" t="s">
        <v>903</v>
      </c>
      <c r="B2" s="41" t="s">
        <v>1402</v>
      </c>
      <c r="C2" s="2" t="s">
        <v>904</v>
      </c>
      <c r="D2" s="2">
        <v>731100</v>
      </c>
      <c r="E2" s="2" t="s">
        <v>508</v>
      </c>
      <c r="F2" s="2"/>
      <c r="G2" s="2"/>
      <c r="H2" s="2"/>
      <c r="I2" s="2"/>
      <c r="J2" s="2">
        <v>304405052</v>
      </c>
      <c r="K2" s="2" t="s">
        <v>80</v>
      </c>
      <c r="L2" s="2" t="s">
        <v>1403</v>
      </c>
      <c r="M2" s="2" t="s">
        <v>906</v>
      </c>
      <c r="N2" s="2" t="s">
        <v>77</v>
      </c>
      <c r="O2" s="2" t="s">
        <v>907</v>
      </c>
      <c r="P2" s="2" t="s">
        <v>80</v>
      </c>
      <c r="Q2" s="2">
        <v>37065097123</v>
      </c>
      <c r="R2" s="2" t="s">
        <v>590</v>
      </c>
      <c r="S2" s="2" t="s">
        <v>590</v>
      </c>
      <c r="T2" s="2" t="s">
        <v>590</v>
      </c>
      <c r="U2" s="2" t="s">
        <v>590</v>
      </c>
      <c r="V2" s="2" t="s">
        <v>590</v>
      </c>
      <c r="W2" s="2" t="s">
        <v>590</v>
      </c>
      <c r="X2" s="2" t="s">
        <v>590</v>
      </c>
      <c r="Y2" s="2" t="s">
        <v>590</v>
      </c>
      <c r="Z2" s="2" t="s">
        <v>590</v>
      </c>
      <c r="AA2" s="2" t="s">
        <v>752</v>
      </c>
      <c r="AB2" s="2" t="s">
        <v>590</v>
      </c>
      <c r="AC2" s="2">
        <v>1</v>
      </c>
      <c r="AD2" s="2" t="s">
        <v>590</v>
      </c>
      <c r="AE2" s="2" t="s">
        <v>590</v>
      </c>
      <c r="AF2" s="2" t="s">
        <v>590</v>
      </c>
      <c r="AG2" s="2" t="s">
        <v>590</v>
      </c>
      <c r="AH2" s="2" t="s">
        <v>590</v>
      </c>
      <c r="AI2" s="2" t="s">
        <v>590</v>
      </c>
      <c r="AJ2" s="2" t="s">
        <v>590</v>
      </c>
      <c r="AK2" s="2" t="s">
        <v>590</v>
      </c>
      <c r="AL2" s="2" t="s">
        <v>590</v>
      </c>
      <c r="AM2" s="2" t="s">
        <v>590</v>
      </c>
      <c r="AN2" s="2" t="s">
        <v>590</v>
      </c>
      <c r="AO2" s="2" t="s">
        <v>590</v>
      </c>
      <c r="AP2" s="2" t="s">
        <v>590</v>
      </c>
      <c r="AQ2" s="2" t="s">
        <v>590</v>
      </c>
      <c r="AR2" s="2" t="s">
        <v>590</v>
      </c>
      <c r="AS2" s="2" t="s">
        <v>590</v>
      </c>
      <c r="AT2" s="2" t="s">
        <v>590</v>
      </c>
      <c r="AU2" s="2" t="s">
        <v>590</v>
      </c>
      <c r="AV2" s="2" t="s">
        <v>590</v>
      </c>
      <c r="AW2" s="2" t="s">
        <v>590</v>
      </c>
      <c r="AX2" s="2" t="s">
        <v>590</v>
      </c>
      <c r="AY2" s="2" t="s">
        <v>590</v>
      </c>
      <c r="AZ2" s="2" t="s">
        <v>590</v>
      </c>
      <c r="BA2" s="2" t="s">
        <v>590</v>
      </c>
      <c r="BB2" s="2" t="s">
        <v>590</v>
      </c>
      <c r="BC2" s="2" t="s">
        <v>80</v>
      </c>
      <c r="BD2" s="2">
        <v>3060</v>
      </c>
      <c r="BE2" s="2">
        <v>4301</v>
      </c>
      <c r="BF2" s="3">
        <v>0.40555555555555556</v>
      </c>
      <c r="BG2" s="2"/>
      <c r="BH2" s="2" t="s">
        <v>590</v>
      </c>
      <c r="BI2" s="2">
        <v>0</v>
      </c>
      <c r="BJ2" s="2" t="s">
        <v>590</v>
      </c>
      <c r="BK2" s="2">
        <v>23740</v>
      </c>
      <c r="BL2" s="2" t="s">
        <v>590</v>
      </c>
      <c r="BM2" s="2">
        <v>60840</v>
      </c>
      <c r="BN2" s="3">
        <v>1.5627632687447346</v>
      </c>
      <c r="BO2" s="2">
        <v>-3087</v>
      </c>
      <c r="BP2" s="2">
        <v>1</v>
      </c>
      <c r="BQ2" s="3">
        <v>1.0003239390994501</v>
      </c>
      <c r="BR2" s="2">
        <v>0</v>
      </c>
      <c r="BS2" s="3">
        <v>-1</v>
      </c>
      <c r="BT2" s="2">
        <v>0</v>
      </c>
      <c r="BU2" s="3">
        <v>0</v>
      </c>
      <c r="BV2" s="2">
        <v>18605</v>
      </c>
      <c r="BW2" s="2" t="s">
        <v>590</v>
      </c>
      <c r="BX2" s="2">
        <v>31289</v>
      </c>
      <c r="BY2" s="3">
        <v>0.68175221714592849</v>
      </c>
      <c r="BZ2" s="2" t="s">
        <v>909</v>
      </c>
      <c r="CA2" s="2" t="s">
        <v>80</v>
      </c>
      <c r="CB2" s="2" t="s">
        <v>80</v>
      </c>
      <c r="CC2" s="2" t="s">
        <v>910</v>
      </c>
      <c r="CD2" s="2" t="s">
        <v>95</v>
      </c>
      <c r="CE2" s="2" t="s">
        <v>911</v>
      </c>
    </row>
    <row r="3" spans="1:83" x14ac:dyDescent="0.2">
      <c r="A3" s="41" t="s">
        <v>279</v>
      </c>
      <c r="B3" s="41" t="s">
        <v>1404</v>
      </c>
      <c r="C3" s="2" t="s">
        <v>1405</v>
      </c>
      <c r="D3" s="2">
        <v>731100</v>
      </c>
      <c r="E3" s="2"/>
      <c r="F3" s="2" t="s">
        <v>280</v>
      </c>
      <c r="G3" s="2"/>
      <c r="H3" s="2"/>
      <c r="I3" s="2"/>
      <c r="J3" s="2">
        <v>110771682</v>
      </c>
      <c r="K3" s="2" t="s">
        <v>281</v>
      </c>
      <c r="L3" s="2" t="s">
        <v>1406</v>
      </c>
      <c r="M3" s="2" t="s">
        <v>283</v>
      </c>
      <c r="N3" s="2" t="s">
        <v>77</v>
      </c>
      <c r="O3" s="2" t="s">
        <v>284</v>
      </c>
      <c r="P3" s="2" t="s">
        <v>285</v>
      </c>
      <c r="Q3" s="2"/>
      <c r="R3" s="2" t="s">
        <v>286</v>
      </c>
      <c r="S3" s="2" t="s">
        <v>130</v>
      </c>
      <c r="T3" s="3">
        <v>2.2222222222222223E-2</v>
      </c>
      <c r="U3" s="2" t="s">
        <v>287</v>
      </c>
      <c r="V3" s="3">
        <v>8.6956521739130432E-2</v>
      </c>
      <c r="W3" s="2" t="s">
        <v>104</v>
      </c>
      <c r="X3" s="3">
        <v>-0.02</v>
      </c>
      <c r="Y3" s="2" t="s">
        <v>104</v>
      </c>
      <c r="Z3" s="3">
        <v>0</v>
      </c>
      <c r="AA3" s="2" t="s">
        <v>286</v>
      </c>
      <c r="AB3" s="3">
        <v>-8.1632653061224483E-2</v>
      </c>
      <c r="AC3" s="2">
        <v>43</v>
      </c>
      <c r="AD3" s="2" t="s">
        <v>288</v>
      </c>
      <c r="AE3" s="2">
        <f>_20250609_reklama_data[[#This Row],[Atlyginimų vidurkis 2019]]*_20250609_reklama_data[[#This Row],[Darbuotojai 2019]]*12</f>
        <v>1462860</v>
      </c>
      <c r="AF3" s="2">
        <f>(_20250609_reklama_data[[#This Row],[Apyvarta 2019]]-_20250609_reklama_data[[#This Row],[Atlyginimų sąnaudos 2019]])/_20250609_reklama_data[[#This Row],[Darbuotojai 2019]]</f>
        <v>129503.11111111111</v>
      </c>
      <c r="AG3" s="2" t="s">
        <v>289</v>
      </c>
      <c r="AH3" s="2">
        <f>_20250609_reklama_data[[#This Row],[Atlyginimų vidurkis 2020]]*_20250609_reklama_data[[#This Row],[Darbuotojai 2020]]*12</f>
        <v>1622880</v>
      </c>
      <c r="AI3" s="2">
        <f>(_20250609_reklama_data[[#This Row],[Apyvarta 2020]]-_20250609_reklama_data[[#This Row],[Atlyginimų sąnaudos 2020]])/_20250609_reklama_data[[#This Row],[Darbuotojai 2020]]</f>
        <v>107200.65217391304</v>
      </c>
      <c r="AJ3" s="3">
        <v>8.5271317829457363E-2</v>
      </c>
      <c r="AK3" s="2" t="s">
        <v>290</v>
      </c>
      <c r="AL3" s="2">
        <f>_20250609_reklama_data[[#This Row],[Atlyginimų vidurkis 2021]]*_20250609_reklama_data[[#This Row],[Darbuotojai 2021]]*12</f>
        <v>1863600</v>
      </c>
      <c r="AM3" s="2">
        <f>(_20250609_reklama_data[[#This Row],[Apyvarta 2021]]-_20250609_reklama_data[[#This Row],[Atlyginimų sąnaudos 2021]])/_20250609_reklama_data[[#This Row],[Darbuotojai 2021]]</f>
        <v>102944.94</v>
      </c>
      <c r="AN3" s="3">
        <v>5.6462585034013607E-2</v>
      </c>
      <c r="AO3" s="2" t="s">
        <v>291</v>
      </c>
      <c r="AP3" s="2">
        <f>_20250609_reklama_data[[#This Row],[Atlyginimų vidurkis 2022]]*_20250609_reklama_data[[#This Row],[Darbuotojai 2022]]*12</f>
        <v>1918644</v>
      </c>
      <c r="AQ3" s="2">
        <f>(_20250609_reklama_data[[#This Row],[Apyvarta 2022]]-_20250609_reklama_data[[#This Row],[Atlyginimų sąnaudos 2022]])/_20250609_reklama_data[[#This Row],[Darbuotojai 2022]]</f>
        <v>133005.24489795917</v>
      </c>
      <c r="AR3" s="3">
        <v>5.054732775273664E-2</v>
      </c>
      <c r="AS3" s="2" t="s">
        <v>292</v>
      </c>
      <c r="AT3" s="2">
        <f>_20250609_reklama_data[[#This Row],[Atlyginimų vidurkis 2023]]*_20250609_reklama_data[[#This Row],[Darbuotojai 2023]]*12</f>
        <v>2376108</v>
      </c>
      <c r="AU3" s="2">
        <f>(_20250609_reklama_data[[#This Row],[Apyvarta 2023]]-_20250609_reklama_data[[#This Row],[Atlyginimų sąnaudos 2023]])/_20250609_reklama_data[[#This Row],[Darbuotojai 2023]]</f>
        <v>107863.48979591837</v>
      </c>
      <c r="AV3" s="3">
        <v>0.238430891817346</v>
      </c>
      <c r="AW3" s="2" t="s">
        <v>293</v>
      </c>
      <c r="AX3" s="2">
        <f>_20250609_reklama_data[[#This Row],[Atlyginimų vidurkis 2024]]*_20250609_reklama_data[[#This Row],[Darbuotojai 2024]]*12</f>
        <v>1953720</v>
      </c>
      <c r="AY3" s="2">
        <f>(_20250609_reklama_data[[#This Row],[Apyvarta 2024]]-_20250609_reklama_data[[#This Row],[Atlyginimų sąnaudos 2024]])/_20250609_reklama_data[[#This Row],[Darbuotojai 2024]]</f>
        <v>122292.42222222222</v>
      </c>
      <c r="AZ3" s="3">
        <v>-0.10467706013363029</v>
      </c>
      <c r="BA3" s="2" t="s">
        <v>294</v>
      </c>
      <c r="BB3" s="2">
        <f>_20250609_reklama_data[[#This Row],[Atlyginimų vidurkis 2025 04]]*_20250609_reklama_data[[#This Row],[Darbuotojai 2025 06 09]]*5</f>
        <v>684553.54999999993</v>
      </c>
      <c r="BC3" s="2" t="s">
        <v>80</v>
      </c>
      <c r="BD3" s="2">
        <v>7290500</v>
      </c>
      <c r="BE3" s="2">
        <v>6554110</v>
      </c>
      <c r="BF3" s="3">
        <v>-0.10100678965777382</v>
      </c>
      <c r="BG3" s="2">
        <v>7010847</v>
      </c>
      <c r="BH3" s="3">
        <v>6.9687112361556336E-2</v>
      </c>
      <c r="BI3" s="2">
        <v>8435901</v>
      </c>
      <c r="BJ3" s="3">
        <v>0.20326417050607437</v>
      </c>
      <c r="BK3" s="2">
        <v>7661419</v>
      </c>
      <c r="BL3" s="3">
        <v>-9.1807857868412626E-2</v>
      </c>
      <c r="BM3" s="2">
        <v>7456879</v>
      </c>
      <c r="BN3" s="3">
        <v>-2.6697404227598046E-2</v>
      </c>
      <c r="BO3" s="2">
        <v>638469</v>
      </c>
      <c r="BP3" s="2">
        <v>637044</v>
      </c>
      <c r="BQ3" s="3">
        <v>-2.2319016271737549E-3</v>
      </c>
      <c r="BR3" s="2">
        <v>689700</v>
      </c>
      <c r="BS3" s="3">
        <v>8.265677096087555E-2</v>
      </c>
      <c r="BT3" s="2">
        <v>1148871</v>
      </c>
      <c r="BU3" s="3">
        <v>0.66575467594606352</v>
      </c>
      <c r="BV3" s="2">
        <v>625927</v>
      </c>
      <c r="BW3" s="3">
        <v>-0.45518078182842114</v>
      </c>
      <c r="BX3" s="2">
        <v>493389</v>
      </c>
      <c r="BY3" s="3">
        <v>-0.21174673723932663</v>
      </c>
      <c r="BZ3" s="2" t="s">
        <v>296</v>
      </c>
      <c r="CA3" s="2" t="s">
        <v>1407</v>
      </c>
      <c r="CB3" s="2" t="s">
        <v>1408</v>
      </c>
      <c r="CC3" s="2" t="s">
        <v>1409</v>
      </c>
      <c r="CD3" s="2" t="s">
        <v>95</v>
      </c>
      <c r="CE3" s="2" t="s">
        <v>297</v>
      </c>
    </row>
    <row r="4" spans="1:83" x14ac:dyDescent="0.2">
      <c r="A4" s="41" t="s">
        <v>795</v>
      </c>
      <c r="B4" s="41" t="s">
        <v>1410</v>
      </c>
      <c r="C4" s="2" t="s">
        <v>796</v>
      </c>
      <c r="D4" s="2">
        <v>731100</v>
      </c>
      <c r="E4" s="2"/>
      <c r="F4" s="2" t="s">
        <v>280</v>
      </c>
      <c r="G4" s="2"/>
      <c r="H4" s="2"/>
      <c r="I4" s="2"/>
      <c r="J4" s="2">
        <v>301734377</v>
      </c>
      <c r="K4" s="2" t="s">
        <v>797</v>
      </c>
      <c r="L4" s="2" t="s">
        <v>795</v>
      </c>
      <c r="M4" s="2" t="s">
        <v>799</v>
      </c>
      <c r="N4" s="2" t="s">
        <v>171</v>
      </c>
      <c r="O4" s="2" t="s">
        <v>800</v>
      </c>
      <c r="P4" s="2" t="s">
        <v>80</v>
      </c>
      <c r="Q4" s="2">
        <v>37060781646</v>
      </c>
      <c r="R4" s="2" t="s">
        <v>588</v>
      </c>
      <c r="S4" s="2" t="s">
        <v>588</v>
      </c>
      <c r="T4" s="3">
        <v>0</v>
      </c>
      <c r="U4" s="2" t="s">
        <v>514</v>
      </c>
      <c r="V4" s="3">
        <v>0.25</v>
      </c>
      <c r="W4" s="2" t="s">
        <v>705</v>
      </c>
      <c r="X4" s="3">
        <v>0.2</v>
      </c>
      <c r="Y4" s="2" t="s">
        <v>534</v>
      </c>
      <c r="Z4" s="3">
        <v>0.5</v>
      </c>
      <c r="AA4" s="2" t="s">
        <v>534</v>
      </c>
      <c r="AB4" s="3">
        <v>0</v>
      </c>
      <c r="AC4" s="2">
        <v>7</v>
      </c>
      <c r="AD4" s="2" t="s">
        <v>801</v>
      </c>
      <c r="AE4" s="2">
        <f>_20250609_reklama_data[[#This Row],[Atlyginimų vidurkis 2019]]*_20250609_reklama_data[[#This Row],[Darbuotojai 2019]]*12</f>
        <v>51120</v>
      </c>
      <c r="AF4" s="2">
        <f>(_20250609_reklama_data[[#This Row],[Apyvarta 2019]]-_20250609_reklama_data[[#This Row],[Atlyginimų sąnaudos 2019]])/_20250609_reklama_data[[#This Row],[Darbuotojai 2019]]</f>
        <v>13124</v>
      </c>
      <c r="AG4" s="2" t="s">
        <v>802</v>
      </c>
      <c r="AH4" s="2">
        <f>_20250609_reklama_data[[#This Row],[Atlyginimų vidurkis 2020]]*_20250609_reklama_data[[#This Row],[Darbuotojai 2020]]*12</f>
        <v>56160</v>
      </c>
      <c r="AI4" s="2">
        <f>(_20250609_reklama_data[[#This Row],[Apyvarta 2020]]-_20250609_reklama_data[[#This Row],[Atlyginimų sąnaudos 2020]])/_20250609_reklama_data[[#This Row],[Darbuotojai 2020]]</f>
        <v>13669.75</v>
      </c>
      <c r="AJ4" s="3">
        <v>9.8591549295774641E-2</v>
      </c>
      <c r="AK4" s="2" t="s">
        <v>803</v>
      </c>
      <c r="AL4" s="2">
        <f>_20250609_reklama_data[[#This Row],[Atlyginimų vidurkis 2021]]*_20250609_reklama_data[[#This Row],[Darbuotojai 2021]]*12</f>
        <v>78480</v>
      </c>
      <c r="AM4" s="2">
        <f>(_20250609_reklama_data[[#This Row],[Apyvarta 2021]]-_20250609_reklama_data[[#This Row],[Atlyginimų sąnaudos 2021]])/_20250609_reklama_data[[#This Row],[Darbuotojai 2021]]</f>
        <v>16834.8</v>
      </c>
      <c r="AN4" s="3">
        <v>0.11794871794871795</v>
      </c>
      <c r="AO4" s="2" t="s">
        <v>804</v>
      </c>
      <c r="AP4" s="2">
        <f>_20250609_reklama_data[[#This Row],[Atlyginimų vidurkis 2022]]*_20250609_reklama_data[[#This Row],[Darbuotojai 2022]]*12</f>
        <v>108000</v>
      </c>
      <c r="AQ4" s="2">
        <f>(_20250609_reklama_data[[#This Row],[Apyvarta 2022]]-_20250609_reklama_data[[#This Row],[Atlyginimų sąnaudos 2022]])/_20250609_reklama_data[[#This Row],[Darbuotojai 2022]]</f>
        <v>11207.5</v>
      </c>
      <c r="AR4" s="3">
        <v>0.14678899082568808</v>
      </c>
      <c r="AS4" s="2" t="s">
        <v>805</v>
      </c>
      <c r="AT4" s="2">
        <f>_20250609_reklama_data[[#This Row],[Atlyginimų vidurkis 2023]]*_20250609_reklama_data[[#This Row],[Darbuotojai 2023]]*12</f>
        <v>165132</v>
      </c>
      <c r="AU4" s="2">
        <f>(_20250609_reklama_data[[#This Row],[Apyvarta 2023]]-_20250609_reklama_data[[#This Row],[Atlyginimų sąnaudos 2023]])/_20250609_reklama_data[[#This Row],[Darbuotojai 2023]]</f>
        <v>7606.8888888888887</v>
      </c>
      <c r="AV4" s="3">
        <v>1.9333333333333334E-2</v>
      </c>
      <c r="AW4" s="2" t="s">
        <v>806</v>
      </c>
      <c r="AX4" s="2">
        <f>_20250609_reklama_data[[#This Row],[Atlyginimų vidurkis 2024]]*_20250609_reklama_data[[#This Row],[Darbuotojai 2024]]*12</f>
        <v>199584</v>
      </c>
      <c r="AY4" s="2">
        <f>(_20250609_reklama_data[[#This Row],[Apyvarta 2024]]-_20250609_reklama_data[[#This Row],[Atlyginimų sąnaudos 2024]])/_20250609_reklama_data[[#This Row],[Darbuotojai 2024]]</f>
        <v>1450.5555555555557</v>
      </c>
      <c r="AZ4" s="3">
        <v>0.20863309352517986</v>
      </c>
      <c r="BA4" s="2" t="s">
        <v>807</v>
      </c>
      <c r="BB4" s="2">
        <f>_20250609_reklama_data[[#This Row],[Atlyginimų vidurkis 2025 04]]*_20250609_reklama_data[[#This Row],[Darbuotojai 2025 06 09]]*5</f>
        <v>67481.75</v>
      </c>
      <c r="BC4" s="2" t="s">
        <v>80</v>
      </c>
      <c r="BD4" s="2">
        <v>103616</v>
      </c>
      <c r="BE4" s="2">
        <v>110839</v>
      </c>
      <c r="BF4" s="3">
        <v>6.9709311303273624E-2</v>
      </c>
      <c r="BG4" s="2">
        <v>162654</v>
      </c>
      <c r="BH4" s="3">
        <v>0.46747985817266485</v>
      </c>
      <c r="BI4" s="2">
        <v>175245</v>
      </c>
      <c r="BJ4" s="3">
        <v>7.7409716330369985E-2</v>
      </c>
      <c r="BK4" s="2">
        <v>233594</v>
      </c>
      <c r="BL4" s="3">
        <v>0.33295671773802393</v>
      </c>
      <c r="BM4" s="2">
        <v>212639</v>
      </c>
      <c r="BN4" s="3">
        <v>-8.970692740395729E-2</v>
      </c>
      <c r="BO4" s="2">
        <v>1139</v>
      </c>
      <c r="BP4" s="2">
        <v>8918</v>
      </c>
      <c r="BQ4" s="3">
        <v>6.8296751536435467</v>
      </c>
      <c r="BR4" s="2">
        <v>37970</v>
      </c>
      <c r="BS4" s="3">
        <v>3.2576810944157883</v>
      </c>
      <c r="BT4" s="2">
        <v>34783</v>
      </c>
      <c r="BU4" s="3">
        <v>-8.3934685277850932E-2</v>
      </c>
      <c r="BV4" s="2">
        <v>19870</v>
      </c>
      <c r="BW4" s="3">
        <v>-0.42874392663082539</v>
      </c>
      <c r="BX4" s="2">
        <v>4687</v>
      </c>
      <c r="BY4" s="3">
        <v>-0.76411675893306497</v>
      </c>
      <c r="BZ4" s="2" t="s">
        <v>809</v>
      </c>
      <c r="CA4" s="2" t="s">
        <v>810</v>
      </c>
      <c r="CB4" s="2" t="s">
        <v>80</v>
      </c>
      <c r="CC4" s="2" t="s">
        <v>811</v>
      </c>
      <c r="CD4" s="2" t="s">
        <v>189</v>
      </c>
      <c r="CE4" s="2" t="s">
        <v>812</v>
      </c>
    </row>
    <row r="5" spans="1:83" x14ac:dyDescent="0.2">
      <c r="A5" s="41" t="s">
        <v>1025</v>
      </c>
      <c r="B5" s="41" t="s">
        <v>1411</v>
      </c>
      <c r="C5" s="2" t="s">
        <v>1026</v>
      </c>
      <c r="D5" s="2">
        <v>702100</v>
      </c>
      <c r="E5" s="2"/>
      <c r="F5" s="2"/>
      <c r="G5" s="2" t="s">
        <v>300</v>
      </c>
      <c r="H5" s="2"/>
      <c r="I5" s="2"/>
      <c r="J5" s="2">
        <v>300003647</v>
      </c>
      <c r="K5" s="2" t="s">
        <v>1027</v>
      </c>
      <c r="L5" s="2" t="s">
        <v>1412</v>
      </c>
      <c r="M5" s="2" t="s">
        <v>1029</v>
      </c>
      <c r="N5" s="2" t="s">
        <v>77</v>
      </c>
      <c r="O5" s="2" t="s">
        <v>1030</v>
      </c>
      <c r="P5" s="2" t="s">
        <v>1031</v>
      </c>
      <c r="Q5" s="2">
        <v>37065500448</v>
      </c>
      <c r="R5" s="2" t="s">
        <v>219</v>
      </c>
      <c r="S5" s="2" t="s">
        <v>220</v>
      </c>
      <c r="T5" s="3">
        <v>9.0909090909090912E-2</v>
      </c>
      <c r="U5" s="2" t="s">
        <v>221</v>
      </c>
      <c r="V5" s="3">
        <v>8.3333333333333329E-2</v>
      </c>
      <c r="W5" s="2" t="s">
        <v>222</v>
      </c>
      <c r="X5" s="3">
        <v>7.6923076923076927E-2</v>
      </c>
      <c r="Y5" s="2" t="s">
        <v>221</v>
      </c>
      <c r="Z5" s="3">
        <v>-7.1428571428571425E-2</v>
      </c>
      <c r="AA5" s="2" t="s">
        <v>220</v>
      </c>
      <c r="AB5" s="3">
        <v>-7.6923076923076927E-2</v>
      </c>
      <c r="AC5" s="2">
        <v>13</v>
      </c>
      <c r="AD5" s="2" t="s">
        <v>1032</v>
      </c>
      <c r="AE5" s="2">
        <f>_20250609_reklama_data[[#This Row],[Atlyginimų vidurkis 2019]]*_20250609_reklama_data[[#This Row],[Darbuotojai 2019]]*12</f>
        <v>245652</v>
      </c>
      <c r="AF5" s="2">
        <f>(_20250609_reklama_data[[#This Row],[Apyvarta 2019]]-_20250609_reklama_data[[#This Row],[Atlyginimų sąnaudos 2019]])/_20250609_reklama_data[[#This Row],[Darbuotojai 2019]]</f>
        <v>38353.090909090912</v>
      </c>
      <c r="AG5" s="2" t="s">
        <v>1033</v>
      </c>
      <c r="AH5" s="2">
        <f>_20250609_reklama_data[[#This Row],[Atlyginimų vidurkis 2020]]*_20250609_reklama_data[[#This Row],[Darbuotojai 2020]]*12</f>
        <v>293040</v>
      </c>
      <c r="AI5" s="2">
        <f>(_20250609_reklama_data[[#This Row],[Apyvarta 2020]]-_20250609_reklama_data[[#This Row],[Atlyginimų sąnaudos 2020]])/_20250609_reklama_data[[#This Row],[Darbuotojai 2020]]</f>
        <v>37628.583333333336</v>
      </c>
      <c r="AJ5" s="3">
        <v>9.3498119290703924E-2</v>
      </c>
      <c r="AK5" s="2" t="s">
        <v>1034</v>
      </c>
      <c r="AL5" s="2">
        <f>_20250609_reklama_data[[#This Row],[Atlyginimų vidurkis 2021]]*_20250609_reklama_data[[#This Row],[Darbuotojai 2021]]*12</f>
        <v>361608</v>
      </c>
      <c r="AM5" s="2">
        <f>(_20250609_reklama_data[[#This Row],[Apyvarta 2021]]-_20250609_reklama_data[[#This Row],[Atlyginimų sąnaudos 2021]])/_20250609_reklama_data[[#This Row],[Darbuotojai 2021]]</f>
        <v>85125.461538461532</v>
      </c>
      <c r="AN5" s="3">
        <v>0.13906633906633906</v>
      </c>
      <c r="AO5" s="2" t="s">
        <v>1035</v>
      </c>
      <c r="AP5" s="2">
        <f>_20250609_reklama_data[[#This Row],[Atlyginimų vidurkis 2022]]*_20250609_reklama_data[[#This Row],[Darbuotojai 2022]]*12</f>
        <v>390264</v>
      </c>
      <c r="AQ5" s="2">
        <f>(_20250609_reklama_data[[#This Row],[Apyvarta 2022]]-_20250609_reklama_data[[#This Row],[Atlyginimų sąnaudos 2022]])/_20250609_reklama_data[[#This Row],[Darbuotojai 2022]]</f>
        <v>61512.571428571428</v>
      </c>
      <c r="AR5" s="3">
        <v>2.1570319240724763E-3</v>
      </c>
      <c r="AS5" s="2" t="s">
        <v>1036</v>
      </c>
      <c r="AT5" s="2">
        <f>_20250609_reklama_data[[#This Row],[Atlyginimų vidurkis 2023]]*_20250609_reklama_data[[#This Row],[Darbuotojai 2023]]*12</f>
        <v>380952</v>
      </c>
      <c r="AU5" s="2">
        <f>(_20250609_reklama_data[[#This Row],[Apyvarta 2023]]-_20250609_reklama_data[[#This Row],[Atlyginimų sąnaudos 2023]])/_20250609_reklama_data[[#This Row],[Darbuotojai 2023]]</f>
        <v>86465.230769230766</v>
      </c>
      <c r="AV5" s="3">
        <v>5.1226861816616447E-2</v>
      </c>
      <c r="AW5" s="2" t="s">
        <v>1037</v>
      </c>
      <c r="AX5" s="2">
        <f>_20250609_reklama_data[[#This Row],[Atlyginimų vidurkis 2024]]*_20250609_reklama_data[[#This Row],[Darbuotojai 2024]]*12</f>
        <v>373968</v>
      </c>
      <c r="AY5" s="2">
        <f>(_20250609_reklama_data[[#This Row],[Apyvarta 2024]]-_20250609_reklama_data[[#This Row],[Atlyginimų sąnaudos 2024]])/_20250609_reklama_data[[#This Row],[Darbuotojai 2024]]</f>
        <v>-31164</v>
      </c>
      <c r="AZ5" s="3">
        <v>6.347256347256347E-2</v>
      </c>
      <c r="BA5" s="2" t="s">
        <v>1038</v>
      </c>
      <c r="BB5" s="2">
        <f>_20250609_reklama_data[[#This Row],[Atlyginimų vidurkis 2025 04]]*_20250609_reklama_data[[#This Row],[Darbuotojai 2025 06 09]]*5</f>
        <v>184271.75</v>
      </c>
      <c r="BC5" s="2" t="s">
        <v>80</v>
      </c>
      <c r="BD5" s="2">
        <v>667536</v>
      </c>
      <c r="BE5" s="2">
        <v>744583</v>
      </c>
      <c r="BF5" s="3">
        <v>0.11541999233000168</v>
      </c>
      <c r="BG5" s="2">
        <v>1468239</v>
      </c>
      <c r="BH5" s="3">
        <v>0.97189433548711157</v>
      </c>
      <c r="BI5" s="2">
        <v>1251440</v>
      </c>
      <c r="BJ5" s="3">
        <v>-0.14765920262300619</v>
      </c>
      <c r="BK5" s="2">
        <v>1505000</v>
      </c>
      <c r="BL5" s="3">
        <v>0.2026145879946302</v>
      </c>
      <c r="BM5" s="2"/>
      <c r="BN5" s="2" t="s">
        <v>590</v>
      </c>
      <c r="BO5" s="2">
        <v>62597</v>
      </c>
      <c r="BP5" s="2">
        <v>46689</v>
      </c>
      <c r="BQ5" s="3">
        <v>-0.25413358467658193</v>
      </c>
      <c r="BR5" s="2">
        <v>259227</v>
      </c>
      <c r="BS5" s="3">
        <v>4.5522071580029557</v>
      </c>
      <c r="BT5" s="2">
        <v>201023</v>
      </c>
      <c r="BU5" s="3">
        <v>-0.22452908068989727</v>
      </c>
      <c r="BV5" s="2">
        <v>318511</v>
      </c>
      <c r="BW5" s="3">
        <v>0.5844505355108619</v>
      </c>
      <c r="BX5" s="2"/>
      <c r="BY5" s="2" t="s">
        <v>590</v>
      </c>
      <c r="BZ5" s="2" t="s">
        <v>1040</v>
      </c>
      <c r="CA5" s="2" t="s">
        <v>1041</v>
      </c>
      <c r="CB5" s="2" t="s">
        <v>1042</v>
      </c>
      <c r="CC5" s="2" t="s">
        <v>1043</v>
      </c>
      <c r="CD5" s="2" t="s">
        <v>95</v>
      </c>
      <c r="CE5" s="2" t="s">
        <v>1044</v>
      </c>
    </row>
    <row r="6" spans="1:83" x14ac:dyDescent="0.2">
      <c r="A6" s="41" t="s">
        <v>982</v>
      </c>
      <c r="B6" s="41" t="s">
        <v>1413</v>
      </c>
      <c r="C6" s="2" t="s">
        <v>983</v>
      </c>
      <c r="D6" s="2">
        <v>731100</v>
      </c>
      <c r="E6" s="2" t="s">
        <v>508</v>
      </c>
      <c r="F6" s="2"/>
      <c r="G6" s="2"/>
      <c r="H6" s="2"/>
      <c r="I6" s="2"/>
      <c r="J6" s="2">
        <v>125763054</v>
      </c>
      <c r="K6" s="2" t="s">
        <v>984</v>
      </c>
      <c r="L6" s="2" t="s">
        <v>982</v>
      </c>
      <c r="M6" s="2" t="s">
        <v>985</v>
      </c>
      <c r="N6" s="2" t="s">
        <v>77</v>
      </c>
      <c r="O6" s="2" t="s">
        <v>986</v>
      </c>
      <c r="P6" s="2" t="s">
        <v>987</v>
      </c>
      <c r="Q6" s="2"/>
      <c r="R6" s="2" t="s">
        <v>988</v>
      </c>
      <c r="S6" s="2" t="s">
        <v>108</v>
      </c>
      <c r="T6" s="3">
        <v>-3.0303030303030304E-2</v>
      </c>
      <c r="U6" s="2" t="s">
        <v>988</v>
      </c>
      <c r="V6" s="3">
        <v>3.125E-2</v>
      </c>
      <c r="W6" s="2" t="s">
        <v>153</v>
      </c>
      <c r="X6" s="3">
        <v>6.0606060606060608E-2</v>
      </c>
      <c r="Y6" s="2" t="s">
        <v>153</v>
      </c>
      <c r="Z6" s="3">
        <v>0</v>
      </c>
      <c r="AA6" s="2" t="s">
        <v>150</v>
      </c>
      <c r="AB6" s="3">
        <v>-2.8571428571428571E-2</v>
      </c>
      <c r="AC6" s="2">
        <v>36</v>
      </c>
      <c r="AD6" s="2" t="s">
        <v>989</v>
      </c>
      <c r="AE6" s="2">
        <f>_20250609_reklama_data[[#This Row],[Atlyginimų vidurkis 2019]]*_20250609_reklama_data[[#This Row],[Darbuotojai 2019]]*12</f>
        <v>602316</v>
      </c>
      <c r="AF6" s="2">
        <f>(_20250609_reklama_data[[#This Row],[Apyvarta 2019]]-_20250609_reklama_data[[#This Row],[Atlyginimų sąnaudos 2019]])/_20250609_reklama_data[[#This Row],[Darbuotojai 2019]]</f>
        <v>24256.757575757576</v>
      </c>
      <c r="AG6" s="2" t="s">
        <v>676</v>
      </c>
      <c r="AH6" s="2">
        <f>_20250609_reklama_data[[#This Row],[Atlyginimų vidurkis 2020]]*_20250609_reklama_data[[#This Row],[Darbuotojai 2020]]*12</f>
        <v>609792</v>
      </c>
      <c r="AI6" s="2">
        <f>(_20250609_reklama_data[[#This Row],[Apyvarta 2020]]-_20250609_reklama_data[[#This Row],[Atlyginimų sąnaudos 2020]])/_20250609_reklama_data[[#This Row],[Darbuotojai 2020]]</f>
        <v>19605.1875</v>
      </c>
      <c r="AJ6" s="3">
        <v>4.4049967126890202E-2</v>
      </c>
      <c r="AK6" s="2" t="s">
        <v>990</v>
      </c>
      <c r="AL6" s="2">
        <f>_20250609_reklama_data[[#This Row],[Atlyginimų vidurkis 2021]]*_20250609_reklama_data[[#This Row],[Darbuotojai 2021]]*12</f>
        <v>751212</v>
      </c>
      <c r="AM6" s="2">
        <f>(_20250609_reklama_data[[#This Row],[Apyvarta 2021]]-_20250609_reklama_data[[#This Row],[Atlyginimų sąnaudos 2021]])/_20250609_reklama_data[[#This Row],[Darbuotojai 2021]]</f>
        <v>25823</v>
      </c>
      <c r="AN6" s="3">
        <v>0.19458438287153654</v>
      </c>
      <c r="AO6" s="2" t="s">
        <v>991</v>
      </c>
      <c r="AP6" s="2">
        <f>_20250609_reklama_data[[#This Row],[Atlyginimų vidurkis 2022]]*_20250609_reklama_data[[#This Row],[Darbuotojai 2022]]*12</f>
        <v>917700</v>
      </c>
      <c r="AQ6" s="2">
        <f>(_20250609_reklama_data[[#This Row],[Apyvarta 2022]]-_20250609_reklama_data[[#This Row],[Atlyginimų sąnaudos 2022]])/_20250609_reklama_data[[#This Row],[Darbuotojai 2022]]</f>
        <v>26935.4</v>
      </c>
      <c r="AR6" s="3">
        <v>0.1518186610437533</v>
      </c>
      <c r="AS6" s="2" t="s">
        <v>992</v>
      </c>
      <c r="AT6" s="2">
        <f>_20250609_reklama_data[[#This Row],[Atlyginimų vidurkis 2023]]*_20250609_reklama_data[[#This Row],[Darbuotojai 2023]]*12</f>
        <v>980280</v>
      </c>
      <c r="AU6" s="2">
        <f>(_20250609_reklama_data[[#This Row],[Apyvarta 2023]]-_20250609_reklama_data[[#This Row],[Atlyginimų sąnaudos 2023]])/_20250609_reklama_data[[#This Row],[Darbuotojai 2023]]</f>
        <v>25396.628571428573</v>
      </c>
      <c r="AV6" s="3">
        <v>6.8192219679633861E-2</v>
      </c>
      <c r="AW6" s="2" t="s">
        <v>993</v>
      </c>
      <c r="AX6" s="2">
        <f>_20250609_reklama_data[[#This Row],[Atlyginimų vidurkis 2024]]*_20250609_reklama_data[[#This Row],[Darbuotojai 2024]]*12</f>
        <v>1030608</v>
      </c>
      <c r="AY6" s="2">
        <f>(_20250609_reklama_data[[#This Row],[Apyvarta 2024]]-_20250609_reklama_data[[#This Row],[Atlyginimų sąnaudos 2024]])/_20250609_reklama_data[[#This Row],[Darbuotojai 2024]]</f>
        <v>-30312</v>
      </c>
      <c r="AZ6" s="3">
        <v>8.2262210796915161E-2</v>
      </c>
      <c r="BA6" s="2" t="s">
        <v>994</v>
      </c>
      <c r="BB6" s="2">
        <f>_20250609_reklama_data[[#This Row],[Atlyginimų vidurkis 2025 04]]*_20250609_reklama_data[[#This Row],[Darbuotojai 2025 06 09]]*5</f>
        <v>468557.99999999994</v>
      </c>
      <c r="BC6" s="2" t="s">
        <v>80</v>
      </c>
      <c r="BD6" s="2">
        <v>1402789</v>
      </c>
      <c r="BE6" s="2">
        <v>1237158</v>
      </c>
      <c r="BF6" s="3">
        <v>-0.11807263957729923</v>
      </c>
      <c r="BG6" s="2">
        <v>1603371</v>
      </c>
      <c r="BH6" s="3">
        <v>0.29601150378528857</v>
      </c>
      <c r="BI6" s="2">
        <v>1860439</v>
      </c>
      <c r="BJ6" s="3">
        <v>0.16032970535203642</v>
      </c>
      <c r="BK6" s="2">
        <v>1869162</v>
      </c>
      <c r="BL6" s="3">
        <v>4.6886783173218797E-3</v>
      </c>
      <c r="BM6" s="2"/>
      <c r="BN6" s="2" t="s">
        <v>590</v>
      </c>
      <c r="BO6" s="2">
        <v>173870</v>
      </c>
      <c r="BP6" s="2">
        <v>152377</v>
      </c>
      <c r="BQ6" s="3">
        <v>-0.12361534479783746</v>
      </c>
      <c r="BR6" s="2">
        <v>3715</v>
      </c>
      <c r="BS6" s="3">
        <v>-0.97561968013545353</v>
      </c>
      <c r="BT6" s="2">
        <v>100807</v>
      </c>
      <c r="BU6" s="3">
        <v>26.13512786002692</v>
      </c>
      <c r="BV6" s="2">
        <v>122873</v>
      </c>
      <c r="BW6" s="3">
        <v>0.21889352921920105</v>
      </c>
      <c r="BX6" s="2"/>
      <c r="BY6" s="2" t="s">
        <v>590</v>
      </c>
      <c r="BZ6" s="2" t="s">
        <v>996</v>
      </c>
      <c r="CA6" s="2" t="s">
        <v>1414</v>
      </c>
      <c r="CB6" s="2" t="s">
        <v>1415</v>
      </c>
      <c r="CC6" s="2" t="s">
        <v>1416</v>
      </c>
      <c r="CD6" s="2" t="s">
        <v>95</v>
      </c>
      <c r="CE6" s="2" t="s">
        <v>997</v>
      </c>
    </row>
    <row r="7" spans="1:83" ht="16" x14ac:dyDescent="0.2">
      <c r="A7" s="42" t="s">
        <v>1417</v>
      </c>
      <c r="B7" s="41" t="s">
        <v>1418</v>
      </c>
      <c r="C7" s="2"/>
      <c r="D7" s="2"/>
      <c r="E7" s="2"/>
      <c r="F7" s="2"/>
      <c r="G7" s="2"/>
      <c r="H7" s="2"/>
      <c r="I7" s="2"/>
      <c r="J7" s="2">
        <v>304844761</v>
      </c>
      <c r="K7" s="2" t="s">
        <v>1345</v>
      </c>
      <c r="L7" s="2" t="s">
        <v>1343</v>
      </c>
      <c r="M7" s="2" t="s">
        <v>1346</v>
      </c>
      <c r="N7" s="2" t="s">
        <v>77</v>
      </c>
      <c r="O7" s="2" t="s">
        <v>1347</v>
      </c>
      <c r="P7" s="2"/>
      <c r="Q7" s="2">
        <v>37061079990</v>
      </c>
      <c r="R7" s="2">
        <v>7</v>
      </c>
      <c r="S7" s="2">
        <v>9</v>
      </c>
      <c r="T7" s="2">
        <v>0.28999999999999998</v>
      </c>
      <c r="U7" s="2">
        <v>20</v>
      </c>
      <c r="V7" s="2">
        <v>1.22</v>
      </c>
      <c r="W7" s="2">
        <v>24</v>
      </c>
      <c r="X7" s="2">
        <v>0.2</v>
      </c>
      <c r="Y7" s="2">
        <v>30</v>
      </c>
      <c r="Z7" s="2">
        <v>0.25</v>
      </c>
      <c r="AA7" s="2">
        <v>30</v>
      </c>
      <c r="AB7" s="2">
        <v>0</v>
      </c>
      <c r="AC7" s="2">
        <v>27</v>
      </c>
      <c r="AD7" s="2">
        <v>1237</v>
      </c>
      <c r="AE7" s="2">
        <v>8659</v>
      </c>
      <c r="AF7" s="2">
        <v>43913.14286</v>
      </c>
      <c r="AG7" s="2">
        <v>1252</v>
      </c>
      <c r="AH7" s="2">
        <v>11268</v>
      </c>
      <c r="AI7" s="2">
        <v>56114.555560000001</v>
      </c>
      <c r="AJ7" s="2">
        <v>0.01</v>
      </c>
      <c r="AK7" s="2">
        <v>1343</v>
      </c>
      <c r="AL7" s="2">
        <v>26860</v>
      </c>
      <c r="AM7" s="2">
        <v>34485.300000000003</v>
      </c>
      <c r="AN7" s="2">
        <v>7.0000000000000007E-2</v>
      </c>
      <c r="AO7" s="2">
        <v>1618</v>
      </c>
      <c r="AP7" s="2">
        <v>38832</v>
      </c>
      <c r="AQ7" s="2">
        <v>42605.375</v>
      </c>
      <c r="AR7" s="2">
        <v>0.2</v>
      </c>
      <c r="AS7" s="2">
        <v>1764</v>
      </c>
      <c r="AT7" s="2">
        <v>52920</v>
      </c>
      <c r="AU7" s="2">
        <v>40841.633329999997</v>
      </c>
      <c r="AV7" s="2">
        <v>0.09</v>
      </c>
      <c r="AW7" s="2">
        <v>2000</v>
      </c>
      <c r="AX7" s="2">
        <v>60000</v>
      </c>
      <c r="AY7" s="2">
        <v>39951.1</v>
      </c>
      <c r="AZ7" s="2">
        <v>0.13</v>
      </c>
      <c r="BA7" s="2">
        <v>2249</v>
      </c>
      <c r="BB7" s="2">
        <v>60723</v>
      </c>
      <c r="BC7" s="2"/>
      <c r="BD7" s="2">
        <v>316051</v>
      </c>
      <c r="BE7" s="2">
        <v>516299</v>
      </c>
      <c r="BF7" s="2">
        <v>0.63</v>
      </c>
      <c r="BG7" s="2">
        <v>716566</v>
      </c>
      <c r="BH7" s="2">
        <v>0.39</v>
      </c>
      <c r="BI7" s="2">
        <v>1061361</v>
      </c>
      <c r="BJ7" s="2">
        <v>0.48</v>
      </c>
      <c r="BK7" s="2">
        <v>1278169</v>
      </c>
      <c r="BL7" s="2">
        <v>0.2</v>
      </c>
      <c r="BM7" s="2">
        <v>1258533</v>
      </c>
      <c r="BN7" s="2">
        <v>-0.02</v>
      </c>
      <c r="BO7" s="2">
        <v>58587</v>
      </c>
      <c r="BP7" s="2">
        <v>144823</v>
      </c>
      <c r="BQ7" s="2">
        <v>1.47</v>
      </c>
      <c r="BR7" s="2">
        <v>74330</v>
      </c>
      <c r="BS7" s="2">
        <v>-0.49</v>
      </c>
      <c r="BT7" s="2">
        <v>203255</v>
      </c>
      <c r="BU7" s="2">
        <v>1.73</v>
      </c>
      <c r="BV7" s="2">
        <v>155781</v>
      </c>
      <c r="BW7" s="2">
        <v>-0.23</v>
      </c>
      <c r="BX7" s="2">
        <v>4983</v>
      </c>
      <c r="BY7" s="2">
        <v>-0.97</v>
      </c>
      <c r="BZ7" s="2" t="s">
        <v>1348</v>
      </c>
      <c r="CA7" s="2" t="s">
        <v>1349</v>
      </c>
      <c r="CB7" s="43" t="s">
        <v>1350</v>
      </c>
      <c r="CC7" s="2" t="s">
        <v>1351</v>
      </c>
      <c r="CD7" s="2" t="s">
        <v>189</v>
      </c>
      <c r="CE7" s="2" t="s">
        <v>1137</v>
      </c>
    </row>
    <row r="8" spans="1:83" x14ac:dyDescent="0.2">
      <c r="A8" s="42" t="s">
        <v>1419</v>
      </c>
      <c r="B8" s="41" t="s">
        <v>1420</v>
      </c>
      <c r="C8" s="2"/>
      <c r="D8" s="2"/>
      <c r="E8" s="2"/>
      <c r="F8" s="2"/>
      <c r="G8" s="2"/>
      <c r="H8" s="2"/>
      <c r="I8" s="2"/>
      <c r="J8" s="2">
        <v>305005890</v>
      </c>
      <c r="K8" s="2" t="s">
        <v>1361</v>
      </c>
      <c r="L8" s="2" t="s">
        <v>1359</v>
      </c>
      <c r="M8" s="2" t="s">
        <v>1362</v>
      </c>
      <c r="N8" s="2" t="s">
        <v>77</v>
      </c>
      <c r="O8" s="2"/>
      <c r="P8" s="2"/>
      <c r="Q8" s="2">
        <v>37065015650</v>
      </c>
      <c r="R8" s="2">
        <v>6</v>
      </c>
      <c r="S8" s="2">
        <v>10</v>
      </c>
      <c r="T8" s="2">
        <v>0.67</v>
      </c>
      <c r="U8" s="2">
        <v>16</v>
      </c>
      <c r="V8" s="2">
        <v>0.6</v>
      </c>
      <c r="W8" s="2">
        <v>17</v>
      </c>
      <c r="X8" s="2">
        <v>0.06</v>
      </c>
      <c r="Y8" s="2">
        <v>15</v>
      </c>
      <c r="Z8" s="2">
        <v>-0.12</v>
      </c>
      <c r="AA8" s="2">
        <v>14</v>
      </c>
      <c r="AB8" s="2">
        <v>-7.0000000000000007E-2</v>
      </c>
      <c r="AC8" s="2">
        <v>12</v>
      </c>
      <c r="AD8" s="2">
        <v>2236</v>
      </c>
      <c r="AE8" s="2">
        <v>13416</v>
      </c>
      <c r="AF8" s="2">
        <v>120315</v>
      </c>
      <c r="AG8" s="2">
        <v>2193</v>
      </c>
      <c r="AH8" s="2">
        <v>21930</v>
      </c>
      <c r="AI8" s="2">
        <v>105858</v>
      </c>
      <c r="AJ8" s="2">
        <v>-0.02</v>
      </c>
      <c r="AK8" s="2">
        <v>2601</v>
      </c>
      <c r="AL8" s="2">
        <v>41616</v>
      </c>
      <c r="AM8" s="2">
        <v>103615.375</v>
      </c>
      <c r="AN8" s="2">
        <v>0.19</v>
      </c>
      <c r="AO8" s="2">
        <v>2876</v>
      </c>
      <c r="AP8" s="2">
        <v>48892</v>
      </c>
      <c r="AQ8" s="2">
        <v>116922.1765</v>
      </c>
      <c r="AR8" s="2">
        <v>0.11</v>
      </c>
      <c r="AS8" s="2">
        <v>3528</v>
      </c>
      <c r="AT8" s="2">
        <v>52920</v>
      </c>
      <c r="AU8" s="2">
        <v>113868.3333</v>
      </c>
      <c r="AV8" s="2">
        <v>0.23</v>
      </c>
      <c r="AW8" s="2">
        <v>3152</v>
      </c>
      <c r="AX8" s="2">
        <v>44128</v>
      </c>
      <c r="AY8" s="2">
        <v>78051.214290000004</v>
      </c>
      <c r="AZ8" s="2">
        <v>-0.11</v>
      </c>
      <c r="BA8" s="2">
        <v>4230</v>
      </c>
      <c r="BB8" s="2">
        <v>50760</v>
      </c>
      <c r="BC8" s="2"/>
      <c r="BD8" s="2">
        <v>735306</v>
      </c>
      <c r="BE8" s="2">
        <v>1080510</v>
      </c>
      <c r="BF8" s="2">
        <v>0.47</v>
      </c>
      <c r="BG8" s="2">
        <v>1699462</v>
      </c>
      <c r="BH8" s="2">
        <v>0.56999999999999995</v>
      </c>
      <c r="BI8" s="2">
        <v>2036569</v>
      </c>
      <c r="BJ8" s="2">
        <v>0.2</v>
      </c>
      <c r="BK8" s="2">
        <v>1760945</v>
      </c>
      <c r="BL8" s="2">
        <v>-0.14000000000000001</v>
      </c>
      <c r="BM8" s="2">
        <v>1136845</v>
      </c>
      <c r="BN8" s="2">
        <v>-0.35</v>
      </c>
      <c r="BO8" s="2">
        <v>10752</v>
      </c>
      <c r="BP8" s="2">
        <v>9194</v>
      </c>
      <c r="BQ8" s="2">
        <v>-0.14000000000000001</v>
      </c>
      <c r="BR8" s="2">
        <v>29804</v>
      </c>
      <c r="BS8" s="2">
        <v>2.2400000000000002</v>
      </c>
      <c r="BT8" s="2">
        <v>50291</v>
      </c>
      <c r="BU8" s="2">
        <v>0.69</v>
      </c>
      <c r="BV8" s="2">
        <v>8415</v>
      </c>
      <c r="BW8" s="2">
        <v>-0.83</v>
      </c>
      <c r="BX8" s="2">
        <v>91430</v>
      </c>
      <c r="BY8" s="2">
        <v>9.8699999999999992</v>
      </c>
      <c r="BZ8" s="2" t="s">
        <v>1363</v>
      </c>
      <c r="CA8" s="2" t="s">
        <v>1364</v>
      </c>
      <c r="CB8" s="2"/>
      <c r="CC8" s="2"/>
      <c r="CD8" s="2" t="s">
        <v>95</v>
      </c>
      <c r="CE8" s="2" t="s">
        <v>1137</v>
      </c>
    </row>
    <row r="9" spans="1:83" x14ac:dyDescent="0.2">
      <c r="A9" s="41" t="s">
        <v>212</v>
      </c>
      <c r="B9" s="41" t="s">
        <v>1421</v>
      </c>
      <c r="C9" s="2" t="s">
        <v>213</v>
      </c>
      <c r="D9" s="2">
        <v>731100</v>
      </c>
      <c r="E9" s="2" t="s">
        <v>73</v>
      </c>
      <c r="F9" s="2"/>
      <c r="G9" s="2"/>
      <c r="H9" s="2"/>
      <c r="I9" s="2"/>
      <c r="J9" s="2">
        <v>300597228</v>
      </c>
      <c r="K9" s="2" t="s">
        <v>214</v>
      </c>
      <c r="L9" s="2" t="s">
        <v>212</v>
      </c>
      <c r="M9" s="2" t="s">
        <v>215</v>
      </c>
      <c r="N9" s="2" t="s">
        <v>77</v>
      </c>
      <c r="O9" s="2" t="s">
        <v>216</v>
      </c>
      <c r="P9" s="2" t="s">
        <v>217</v>
      </c>
      <c r="Q9" s="2"/>
      <c r="R9" s="2" t="s">
        <v>218</v>
      </c>
      <c r="S9" s="2" t="s">
        <v>219</v>
      </c>
      <c r="T9" s="3">
        <v>-0.3125</v>
      </c>
      <c r="U9" s="2" t="s">
        <v>220</v>
      </c>
      <c r="V9" s="3">
        <v>9.0909090909090912E-2</v>
      </c>
      <c r="W9" s="2" t="s">
        <v>221</v>
      </c>
      <c r="X9" s="3">
        <v>8.3333333333333329E-2</v>
      </c>
      <c r="Y9" s="2" t="s">
        <v>222</v>
      </c>
      <c r="Z9" s="3">
        <v>7.6923076923076927E-2</v>
      </c>
      <c r="AA9" s="2" t="s">
        <v>222</v>
      </c>
      <c r="AB9" s="3">
        <v>0</v>
      </c>
      <c r="AC9" s="2">
        <v>13</v>
      </c>
      <c r="AD9" s="2" t="s">
        <v>181</v>
      </c>
      <c r="AE9" s="2">
        <f>_20250609_reklama_data[[#This Row],[Atlyginimų vidurkis 2019]]*_20250609_reklama_data[[#This Row],[Darbuotojai 2019]]*12</f>
        <v>455808</v>
      </c>
      <c r="AF9" s="2">
        <f>(_20250609_reklama_data[[#This Row],[Apyvarta 2019]]-_20250609_reklama_data[[#This Row],[Atlyginimų sąnaudos 2019]])/_20250609_reklama_data[[#This Row],[Darbuotojai 2019]]</f>
        <v>502154.0625</v>
      </c>
      <c r="AG9" s="2" t="s">
        <v>223</v>
      </c>
      <c r="AH9" s="2">
        <f>_20250609_reklama_data[[#This Row],[Atlyginimų vidurkis 2020]]*_20250609_reklama_data[[#This Row],[Darbuotojai 2020]]*12</f>
        <v>343992</v>
      </c>
      <c r="AI9" s="2">
        <f>(_20250609_reklama_data[[#This Row],[Apyvarta 2020]]-_20250609_reklama_data[[#This Row],[Atlyginimų sąnaudos 2020]])/_20250609_reklama_data[[#This Row],[Darbuotojai 2020]]</f>
        <v>710763.81818181823</v>
      </c>
      <c r="AJ9" s="3">
        <v>9.7725358045492844E-2</v>
      </c>
      <c r="AK9" s="2" t="s">
        <v>224</v>
      </c>
      <c r="AL9" s="2">
        <f>_20250609_reklama_data[[#This Row],[Atlyginimų vidurkis 2021]]*_20250609_reklama_data[[#This Row],[Darbuotojai 2021]]*12</f>
        <v>441360</v>
      </c>
      <c r="AM9" s="2">
        <f>(_20250609_reklama_data[[#This Row],[Apyvarta 2021]]-_20250609_reklama_data[[#This Row],[Atlyginimų sąnaudos 2021]])/_20250609_reklama_data[[#This Row],[Darbuotojai 2021]]</f>
        <v>1081272</v>
      </c>
      <c r="AN9" s="3">
        <v>0.17613200306983884</v>
      </c>
      <c r="AO9" s="2" t="s">
        <v>225</v>
      </c>
      <c r="AP9" s="2">
        <f>_20250609_reklama_data[[#This Row],[Atlyginimų vidurkis 2022]]*_20250609_reklama_data[[#This Row],[Darbuotojai 2022]]*12</f>
        <v>515424</v>
      </c>
      <c r="AQ9" s="2">
        <f>(_20250609_reklama_data[[#This Row],[Apyvarta 2022]]-_20250609_reklama_data[[#This Row],[Atlyginimų sąnaudos 2022]])/_20250609_reklama_data[[#This Row],[Darbuotojai 2022]]</f>
        <v>1086291.3846153845</v>
      </c>
      <c r="AR9" s="3">
        <v>7.7977161500815656E-2</v>
      </c>
      <c r="AS9" s="2" t="s">
        <v>226</v>
      </c>
      <c r="AT9" s="2">
        <f>_20250609_reklama_data[[#This Row],[Atlyginimų vidurkis 2023]]*_20250609_reklama_data[[#This Row],[Darbuotojai 2023]]*12</f>
        <v>546336</v>
      </c>
      <c r="AU9" s="2">
        <f>(_20250609_reklama_data[[#This Row],[Apyvarta 2023]]-_20250609_reklama_data[[#This Row],[Atlyginimų sąnaudos 2023]])/_20250609_reklama_data[[#This Row],[Darbuotojai 2023]]</f>
        <v>895026.42857142852</v>
      </c>
      <c r="AV9" s="3">
        <v>-1.5738498789346248E-2</v>
      </c>
      <c r="AW9" s="2" t="s">
        <v>227</v>
      </c>
      <c r="AX9" s="2">
        <f>_20250609_reklama_data[[#This Row],[Atlyginimų vidurkis 2024]]*_20250609_reklama_data[[#This Row],[Darbuotojai 2024]]*12</f>
        <v>556752</v>
      </c>
      <c r="AY9" s="2">
        <f>(_20250609_reklama_data[[#This Row],[Apyvarta 2024]]-_20250609_reklama_data[[#This Row],[Atlyginimų sąnaudos 2024]])/_20250609_reklama_data[[#This Row],[Darbuotojai 2024]]</f>
        <v>729695</v>
      </c>
      <c r="AZ9" s="3">
        <v>1.9065190651906518E-2</v>
      </c>
      <c r="BA9" s="2" t="s">
        <v>228</v>
      </c>
      <c r="BB9" s="2">
        <f>_20250609_reklama_data[[#This Row],[Atlyginimų vidurkis 2025 04]]*_20250609_reklama_data[[#This Row],[Darbuotojai 2025 06 09]]*5</f>
        <v>222513.2</v>
      </c>
      <c r="BC9" s="2" t="s">
        <v>80</v>
      </c>
      <c r="BD9" s="2">
        <v>8490273</v>
      </c>
      <c r="BE9" s="2">
        <v>8162394</v>
      </c>
      <c r="BF9" s="3">
        <v>-3.8618192842562307E-2</v>
      </c>
      <c r="BG9" s="2">
        <v>13416624</v>
      </c>
      <c r="BH9" s="3">
        <v>0.64371188158768122</v>
      </c>
      <c r="BI9" s="2">
        <v>14637212</v>
      </c>
      <c r="BJ9" s="3">
        <v>9.09757924199113E-2</v>
      </c>
      <c r="BK9" s="2">
        <v>13076706</v>
      </c>
      <c r="BL9" s="3">
        <v>-0.10661224282329176</v>
      </c>
      <c r="BM9" s="2">
        <v>10772482</v>
      </c>
      <c r="BN9" s="3">
        <v>-0.17620828976349243</v>
      </c>
      <c r="BO9" s="2">
        <v>385151</v>
      </c>
      <c r="BP9" s="2">
        <v>357029</v>
      </c>
      <c r="BQ9" s="3">
        <v>-7.3015518588813222E-2</v>
      </c>
      <c r="BR9" s="2">
        <v>351536</v>
      </c>
      <c r="BS9" s="3">
        <v>-1.5385304835181456E-2</v>
      </c>
      <c r="BT9" s="2">
        <v>480070</v>
      </c>
      <c r="BU9" s="3">
        <v>0.36563538300487003</v>
      </c>
      <c r="BV9" s="2">
        <v>376803</v>
      </c>
      <c r="BW9" s="3">
        <v>-0.21510821338554795</v>
      </c>
      <c r="BX9" s="2">
        <v>78192</v>
      </c>
      <c r="BY9" s="3">
        <v>-0.79248572861681033</v>
      </c>
      <c r="BZ9" s="2" t="s">
        <v>230</v>
      </c>
      <c r="CA9" s="2" t="s">
        <v>80</v>
      </c>
      <c r="CB9" s="2" t="s">
        <v>80</v>
      </c>
      <c r="CC9" s="2" t="s">
        <v>1422</v>
      </c>
      <c r="CD9" s="2" t="s">
        <v>95</v>
      </c>
      <c r="CE9" s="2" t="s">
        <v>231</v>
      </c>
    </row>
    <row r="10" spans="1:83" x14ac:dyDescent="0.2">
      <c r="A10" s="41" t="s">
        <v>471</v>
      </c>
      <c r="B10" s="41" t="s">
        <v>1423</v>
      </c>
      <c r="C10" s="2" t="s">
        <v>1424</v>
      </c>
      <c r="D10" s="2">
        <v>731100</v>
      </c>
      <c r="E10" s="2"/>
      <c r="F10" s="2" t="s">
        <v>280</v>
      </c>
      <c r="G10" s="2"/>
      <c r="H10" s="2"/>
      <c r="I10" s="2"/>
      <c r="J10" s="2">
        <v>123932858</v>
      </c>
      <c r="K10" s="2" t="s">
        <v>472</v>
      </c>
      <c r="L10" s="2" t="s">
        <v>1425</v>
      </c>
      <c r="M10" s="2" t="s">
        <v>474</v>
      </c>
      <c r="N10" s="2" t="s">
        <v>77</v>
      </c>
      <c r="O10" s="2" t="s">
        <v>475</v>
      </c>
      <c r="P10" s="2" t="s">
        <v>476</v>
      </c>
      <c r="Q10" s="2">
        <v>37061914508</v>
      </c>
      <c r="R10" s="2" t="s">
        <v>109</v>
      </c>
      <c r="S10" s="2" t="s">
        <v>199</v>
      </c>
      <c r="T10" s="3">
        <v>-0.12903225806451613</v>
      </c>
      <c r="U10" s="2" t="s">
        <v>199</v>
      </c>
      <c r="V10" s="3">
        <v>0</v>
      </c>
      <c r="W10" s="2" t="s">
        <v>252</v>
      </c>
      <c r="X10" s="3">
        <v>-3.7037037037037035E-2</v>
      </c>
      <c r="Y10" s="2" t="s">
        <v>201</v>
      </c>
      <c r="Z10" s="3">
        <v>-3.8461538461538464E-2</v>
      </c>
      <c r="AA10" s="2" t="s">
        <v>199</v>
      </c>
      <c r="AB10" s="3">
        <v>0.08</v>
      </c>
      <c r="AC10" s="2">
        <v>25</v>
      </c>
      <c r="AD10" s="2" t="s">
        <v>478</v>
      </c>
      <c r="AE10" s="2">
        <f>_20250609_reklama_data[[#This Row],[Atlyginimų vidurkis 2019]]*_20250609_reklama_data[[#This Row],[Darbuotojai 2019]]*12</f>
        <v>932604</v>
      </c>
      <c r="AF10" s="2">
        <f>(_20250609_reklama_data[[#This Row],[Apyvarta 2019]]-_20250609_reklama_data[[#This Row],[Atlyginimų sąnaudos 2019]])/_20250609_reklama_data[[#This Row],[Darbuotojai 2019]]</f>
        <v>82569.870967741939</v>
      </c>
      <c r="AG10" s="2" t="s">
        <v>397</v>
      </c>
      <c r="AH10" s="2">
        <f>_20250609_reklama_data[[#This Row],[Atlyginimų vidurkis 2020]]*_20250609_reklama_data[[#This Row],[Darbuotojai 2020]]*12</f>
        <v>828468</v>
      </c>
      <c r="AI10" s="2">
        <f>(_20250609_reklama_data[[#This Row],[Apyvarta 2020]]-_20250609_reklama_data[[#This Row],[Atlyginimų sąnaudos 2020]])/_20250609_reklama_data[[#This Row],[Darbuotojai 2020]]</f>
        <v>75463.777777777781</v>
      </c>
      <c r="AJ10" s="3">
        <v>1.994415636218588E-2</v>
      </c>
      <c r="AK10" s="2" t="s">
        <v>479</v>
      </c>
      <c r="AL10" s="2">
        <f>_20250609_reklama_data[[#This Row],[Atlyginimų vidurkis 2021]]*_20250609_reklama_data[[#This Row],[Darbuotojai 2021]]*12</f>
        <v>857952</v>
      </c>
      <c r="AM10" s="2">
        <f>(_20250609_reklama_data[[#This Row],[Apyvarta 2021]]-_20250609_reklama_data[[#This Row],[Atlyginimų sąnaudos 2021]])/_20250609_reklama_data[[#This Row],[Darbuotojai 2021]]</f>
        <v>53779.555555555555</v>
      </c>
      <c r="AN10" s="3">
        <v>3.5588580367618305E-2</v>
      </c>
      <c r="AO10" s="2" t="s">
        <v>480</v>
      </c>
      <c r="AP10" s="2">
        <f>_20250609_reklama_data[[#This Row],[Atlyginimų vidurkis 2022]]*_20250609_reklama_data[[#This Row],[Darbuotojai 2022]]*12</f>
        <v>860808</v>
      </c>
      <c r="AQ10" s="2">
        <f>(_20250609_reklama_data[[#This Row],[Apyvarta 2022]]-_20250609_reklama_data[[#This Row],[Atlyginimų sąnaudos 2022]])/_20250609_reklama_data[[#This Row],[Darbuotojai 2022]]</f>
        <v>57863.653846153844</v>
      </c>
      <c r="AR10" s="3">
        <v>4.1918429003021146E-2</v>
      </c>
      <c r="AS10" s="2" t="s">
        <v>481</v>
      </c>
      <c r="AT10" s="2">
        <f>_20250609_reklama_data[[#This Row],[Atlyginimų vidurkis 2023]]*_20250609_reklama_data[[#This Row],[Darbuotojai 2023]]*12</f>
        <v>900600</v>
      </c>
      <c r="AU10" s="2">
        <f>(_20250609_reklama_data[[#This Row],[Apyvarta 2023]]-_20250609_reklama_data[[#This Row],[Atlyginimų sąnaudos 2023]])/_20250609_reklama_data[[#This Row],[Darbuotojai 2023]]</f>
        <v>105764.16</v>
      </c>
      <c r="AV10" s="3">
        <v>8.8075389633925333E-2</v>
      </c>
      <c r="AW10" s="2" t="s">
        <v>482</v>
      </c>
      <c r="AX10" s="2">
        <f>_20250609_reklama_data[[#This Row],[Atlyginimų vidurkis 2024]]*_20250609_reklama_data[[#This Row],[Darbuotojai 2024]]*12</f>
        <v>1055592</v>
      </c>
      <c r="AY10" s="2">
        <f>(_20250609_reklama_data[[#This Row],[Apyvarta 2024]]-_20250609_reklama_data[[#This Row],[Atlyginimų sąnaudos 2024]])/_20250609_reklama_data[[#This Row],[Darbuotojai 2024]]</f>
        <v>60815.740740740737</v>
      </c>
      <c r="AZ10" s="3">
        <v>8.5276482345103266E-2</v>
      </c>
      <c r="BA10" s="2" t="s">
        <v>483</v>
      </c>
      <c r="BB10" s="2">
        <f>_20250609_reklama_data[[#This Row],[Atlyginimų vidurkis 2025 04]]*_20250609_reklama_data[[#This Row],[Darbuotojai 2025 06 09]]*5</f>
        <v>387530</v>
      </c>
      <c r="BC10" s="2" t="s">
        <v>80</v>
      </c>
      <c r="BD10" s="2">
        <v>3492270</v>
      </c>
      <c r="BE10" s="2">
        <v>2865990</v>
      </c>
      <c r="BF10" s="3">
        <v>-0.17933321306771813</v>
      </c>
      <c r="BG10" s="2">
        <v>2310000</v>
      </c>
      <c r="BH10" s="3">
        <v>-0.19399579202997916</v>
      </c>
      <c r="BI10" s="2">
        <v>2365263</v>
      </c>
      <c r="BJ10" s="3">
        <v>2.3923376623376624E-2</v>
      </c>
      <c r="BK10" s="2">
        <v>3544704</v>
      </c>
      <c r="BL10" s="3">
        <v>0.49865110137857821</v>
      </c>
      <c r="BM10" s="2">
        <v>2697617</v>
      </c>
      <c r="BN10" s="3">
        <v>-0.23897256301231359</v>
      </c>
      <c r="BO10" s="2">
        <v>181900</v>
      </c>
      <c r="BP10" s="2">
        <v>215262</v>
      </c>
      <c r="BQ10" s="3">
        <v>0.18340846619021439</v>
      </c>
      <c r="BR10" s="2">
        <v>44571</v>
      </c>
      <c r="BS10" s="3">
        <v>-0.79294534102628422</v>
      </c>
      <c r="BT10" s="2">
        <v>-8181</v>
      </c>
      <c r="BU10" s="3">
        <v>-1.1835498418254022</v>
      </c>
      <c r="BV10" s="2">
        <v>262086</v>
      </c>
      <c r="BW10" s="3">
        <v>33.035936927026</v>
      </c>
      <c r="BX10" s="2">
        <v>6319</v>
      </c>
      <c r="BY10" s="3">
        <v>-0.97588959349221249</v>
      </c>
      <c r="BZ10" s="2" t="s">
        <v>485</v>
      </c>
      <c r="CA10" s="2" t="s">
        <v>1426</v>
      </c>
      <c r="CB10" s="2" t="s">
        <v>1427</v>
      </c>
      <c r="CC10" s="2" t="s">
        <v>1428</v>
      </c>
      <c r="CD10" s="2" t="s">
        <v>95</v>
      </c>
      <c r="CE10" s="2" t="s">
        <v>486</v>
      </c>
    </row>
    <row r="11" spans="1:83" x14ac:dyDescent="0.2">
      <c r="A11" s="42" t="s">
        <v>1429</v>
      </c>
      <c r="B11" s="41" t="s">
        <v>1430</v>
      </c>
      <c r="C11" s="2"/>
      <c r="D11" s="2"/>
      <c r="E11" s="2"/>
      <c r="F11" s="2"/>
      <c r="G11" s="2"/>
      <c r="H11" s="2"/>
      <c r="I11" s="2"/>
      <c r="J11" s="2">
        <v>304686507</v>
      </c>
      <c r="K11" s="2" t="s">
        <v>895</v>
      </c>
      <c r="L11" s="2" t="s">
        <v>1429</v>
      </c>
      <c r="M11" s="2" t="s">
        <v>897</v>
      </c>
      <c r="N11" s="2" t="s">
        <v>77</v>
      </c>
      <c r="O11" s="2" t="s">
        <v>898</v>
      </c>
      <c r="P11" s="2"/>
      <c r="Q11" s="2">
        <v>37069483826</v>
      </c>
      <c r="R11" s="2" t="s">
        <v>590</v>
      </c>
      <c r="S11" s="2" t="s">
        <v>590</v>
      </c>
      <c r="T11" s="2" t="s">
        <v>590</v>
      </c>
      <c r="U11" s="2" t="s">
        <v>590</v>
      </c>
      <c r="V11" s="2" t="s">
        <v>590</v>
      </c>
      <c r="W11" s="2" t="s">
        <v>590</v>
      </c>
      <c r="X11" s="2" t="s">
        <v>590</v>
      </c>
      <c r="Y11" s="2" t="s">
        <v>590</v>
      </c>
      <c r="Z11" s="2" t="s">
        <v>590</v>
      </c>
      <c r="AA11" s="2" t="s">
        <v>590</v>
      </c>
      <c r="AB11" s="2" t="s">
        <v>590</v>
      </c>
      <c r="AC11" s="2"/>
      <c r="AD11" s="2" t="s">
        <v>590</v>
      </c>
      <c r="AE11" s="2" t="e">
        <v>#VALUE!</v>
      </c>
      <c r="AF11" s="2" t="e">
        <v>#VALUE!</v>
      </c>
      <c r="AG11" s="2" t="s">
        <v>590</v>
      </c>
      <c r="AH11" s="2" t="e">
        <v>#VALUE!</v>
      </c>
      <c r="AI11" s="2" t="e">
        <v>#VALUE!</v>
      </c>
      <c r="AJ11" s="2" t="s">
        <v>590</v>
      </c>
      <c r="AK11" s="2" t="s">
        <v>590</v>
      </c>
      <c r="AL11" s="2" t="e">
        <v>#VALUE!</v>
      </c>
      <c r="AM11" s="2" t="e">
        <v>#VALUE!</v>
      </c>
      <c r="AN11" s="2" t="s">
        <v>590</v>
      </c>
      <c r="AO11" s="2" t="s">
        <v>590</v>
      </c>
      <c r="AP11" s="2" t="e">
        <v>#VALUE!</v>
      </c>
      <c r="AQ11" s="2" t="e">
        <v>#VALUE!</v>
      </c>
      <c r="AR11" s="2" t="s">
        <v>590</v>
      </c>
      <c r="AS11" s="2" t="s">
        <v>590</v>
      </c>
      <c r="AT11" s="2" t="e">
        <v>#VALUE!</v>
      </c>
      <c r="AU11" s="2" t="e">
        <v>#VALUE!</v>
      </c>
      <c r="AV11" s="2" t="s">
        <v>590</v>
      </c>
      <c r="AW11" s="2" t="s">
        <v>590</v>
      </c>
      <c r="AX11" s="2" t="e">
        <v>#VALUE!</v>
      </c>
      <c r="AY11" s="2" t="e">
        <v>#VALUE!</v>
      </c>
      <c r="AZ11" s="2" t="s">
        <v>590</v>
      </c>
      <c r="BA11" s="2" t="s">
        <v>590</v>
      </c>
      <c r="BB11" s="2" t="e">
        <v>#VALUE!</v>
      </c>
      <c r="BC11" s="2">
        <v>217.05</v>
      </c>
      <c r="BD11" s="2">
        <v>38589</v>
      </c>
      <c r="BE11" s="2">
        <v>23608</v>
      </c>
      <c r="BF11" s="2">
        <v>-0.39</v>
      </c>
      <c r="BG11" s="2">
        <v>42347</v>
      </c>
      <c r="BH11" s="2">
        <v>0.79</v>
      </c>
      <c r="BI11" s="2">
        <v>56054</v>
      </c>
      <c r="BJ11" s="2">
        <v>0.32</v>
      </c>
      <c r="BK11" s="2">
        <v>77893</v>
      </c>
      <c r="BL11" s="2">
        <v>0.39</v>
      </c>
      <c r="BM11" s="2">
        <v>86746</v>
      </c>
      <c r="BN11" s="2">
        <v>0.11</v>
      </c>
      <c r="BO11" s="2">
        <v>2266</v>
      </c>
      <c r="BP11" s="2">
        <v>-31</v>
      </c>
      <c r="BQ11" s="2">
        <v>-1.01</v>
      </c>
      <c r="BR11" s="2">
        <v>1180</v>
      </c>
      <c r="BS11" s="2">
        <v>39.06</v>
      </c>
      <c r="BT11" s="2">
        <v>2003</v>
      </c>
      <c r="BU11" s="2">
        <v>0.7</v>
      </c>
      <c r="BV11" s="2">
        <v>-812</v>
      </c>
      <c r="BW11" s="2">
        <v>-1.41</v>
      </c>
      <c r="BX11" s="2">
        <v>7310</v>
      </c>
      <c r="BY11" s="2">
        <v>10</v>
      </c>
      <c r="BZ11" s="2" t="s">
        <v>900</v>
      </c>
      <c r="CA11" s="2" t="s">
        <v>901</v>
      </c>
      <c r="CB11" s="2"/>
      <c r="CC11" s="2"/>
      <c r="CD11" s="2" t="s">
        <v>189</v>
      </c>
      <c r="CE11" s="2" t="s">
        <v>1137</v>
      </c>
    </row>
    <row r="12" spans="1:83" x14ac:dyDescent="0.2">
      <c r="A12" s="41" t="s">
        <v>630</v>
      </c>
      <c r="B12" s="41" t="s">
        <v>1431</v>
      </c>
      <c r="C12" s="2" t="s">
        <v>631</v>
      </c>
      <c r="D12" s="2">
        <v>731100</v>
      </c>
      <c r="E12" s="2" t="s">
        <v>508</v>
      </c>
      <c r="F12" s="2"/>
      <c r="G12" s="2"/>
      <c r="H12" s="2"/>
      <c r="I12" s="2"/>
      <c r="J12" s="2">
        <v>304933014</v>
      </c>
      <c r="K12" s="2" t="s">
        <v>632</v>
      </c>
      <c r="L12" s="2" t="s">
        <v>1432</v>
      </c>
      <c r="M12" s="2" t="s">
        <v>634</v>
      </c>
      <c r="N12" s="2" t="s">
        <v>77</v>
      </c>
      <c r="O12" s="2" t="s">
        <v>635</v>
      </c>
      <c r="P12" s="2" t="s">
        <v>80</v>
      </c>
      <c r="Q12" s="2">
        <v>37062177711</v>
      </c>
      <c r="R12" s="2" t="s">
        <v>636</v>
      </c>
      <c r="S12" s="2" t="s">
        <v>636</v>
      </c>
      <c r="T12" s="3">
        <v>0</v>
      </c>
      <c r="U12" s="2" t="s">
        <v>515</v>
      </c>
      <c r="V12" s="3">
        <v>3</v>
      </c>
      <c r="W12" s="2" t="s">
        <v>535</v>
      </c>
      <c r="X12" s="3">
        <v>0.875</v>
      </c>
      <c r="Y12" s="2" t="s">
        <v>535</v>
      </c>
      <c r="Z12" s="3">
        <v>0</v>
      </c>
      <c r="AA12" s="2" t="s">
        <v>81</v>
      </c>
      <c r="AB12" s="3">
        <v>0.2</v>
      </c>
      <c r="AC12" s="2">
        <v>17</v>
      </c>
      <c r="AD12" s="2" t="s">
        <v>590</v>
      </c>
      <c r="AE12" s="2" t="s">
        <v>590</v>
      </c>
      <c r="AF12" s="2" t="s">
        <v>590</v>
      </c>
      <c r="AG12" s="2" t="s">
        <v>590</v>
      </c>
      <c r="AH12" s="2" t="s">
        <v>590</v>
      </c>
      <c r="AI12" s="2" t="s">
        <v>590</v>
      </c>
      <c r="AJ12" s="2" t="s">
        <v>590</v>
      </c>
      <c r="AK12" s="2" t="s">
        <v>637</v>
      </c>
      <c r="AL12" s="2">
        <f>_20250609_reklama_data[[#This Row],[Atlyginimų vidurkis 2021]]*_20250609_reklama_data[[#This Row],[Darbuotojai 2021]]*12</f>
        <v>115296</v>
      </c>
      <c r="AM12" s="2">
        <f>(_20250609_reklama_data[[#This Row],[Apyvarta 2021]]-_20250609_reklama_data[[#This Row],[Atlyginimų sąnaudos 2021]])/_20250609_reklama_data[[#This Row],[Darbuotojai 2021]]</f>
        <v>44375.5</v>
      </c>
      <c r="AN12" s="2" t="s">
        <v>590</v>
      </c>
      <c r="AO12" s="2" t="s">
        <v>638</v>
      </c>
      <c r="AP12" s="2">
        <f>_20250609_reklama_data[[#This Row],[Atlyginimų vidurkis 2022]]*_20250609_reklama_data[[#This Row],[Darbuotojai 2022]]*12</f>
        <v>243540</v>
      </c>
      <c r="AQ12" s="2">
        <f>(_20250609_reklama_data[[#This Row],[Apyvarta 2022]]-_20250609_reklama_data[[#This Row],[Atlyginimų sąnaudos 2022]])/_20250609_reklama_data[[#This Row],[Darbuotojai 2022]]</f>
        <v>32674.2</v>
      </c>
      <c r="AR12" s="3">
        <v>0.12656119900083265</v>
      </c>
      <c r="AS12" s="2" t="s">
        <v>639</v>
      </c>
      <c r="AT12" s="2">
        <f>_20250609_reklama_data[[#This Row],[Atlyginimų vidurkis 2023]]*_20250609_reklama_data[[#This Row],[Darbuotojai 2023]]*12</f>
        <v>352260</v>
      </c>
      <c r="AU12" s="2">
        <f>(_20250609_reklama_data[[#This Row],[Apyvarta 2023]]-_20250609_reklama_data[[#This Row],[Atlyginimų sąnaudos 2023]])/_20250609_reklama_data[[#This Row],[Darbuotojai 2023]]</f>
        <v>43150.26666666667</v>
      </c>
      <c r="AV12" s="3">
        <v>0.44641537324464153</v>
      </c>
      <c r="AW12" s="2" t="s">
        <v>640</v>
      </c>
      <c r="AX12" s="2">
        <f>_20250609_reklama_data[[#This Row],[Atlyginimų vidurkis 2024]]*_20250609_reklama_data[[#This Row],[Darbuotojai 2024]]*12</f>
        <v>448200</v>
      </c>
      <c r="AY12" s="2">
        <f>(_20250609_reklama_data[[#This Row],[Apyvarta 2024]]-_20250609_reklama_data[[#This Row],[Atlyginimų sąnaudos 2024]])/_20250609_reklama_data[[#This Row],[Darbuotojai 2024]]</f>
        <v>22534.555555555555</v>
      </c>
      <c r="AZ12" s="3">
        <v>6.0296371997956053E-2</v>
      </c>
      <c r="BA12" s="2" t="s">
        <v>641</v>
      </c>
      <c r="BB12" s="2">
        <f>_20250609_reklama_data[[#This Row],[Atlyginimų vidurkis 2025 04]]*_20250609_reklama_data[[#This Row],[Darbuotojai 2025 06 09]]*5</f>
        <v>197783.95</v>
      </c>
      <c r="BC12" s="2" t="s">
        <v>80</v>
      </c>
      <c r="BD12" s="2">
        <v>52181</v>
      </c>
      <c r="BE12" s="2">
        <v>120421</v>
      </c>
      <c r="BF12" s="3">
        <v>1.3077556965178896</v>
      </c>
      <c r="BG12" s="2">
        <v>470300</v>
      </c>
      <c r="BH12" s="3">
        <v>2.9054649936472874</v>
      </c>
      <c r="BI12" s="2">
        <v>733653</v>
      </c>
      <c r="BJ12" s="3">
        <v>0.55996810546459708</v>
      </c>
      <c r="BK12" s="2">
        <v>999514</v>
      </c>
      <c r="BL12" s="3">
        <v>0.36237976263983107</v>
      </c>
      <c r="BM12" s="2">
        <v>853822</v>
      </c>
      <c r="BN12" s="3">
        <v>-0.14576284074059992</v>
      </c>
      <c r="BO12" s="2">
        <v>-6006</v>
      </c>
      <c r="BP12" s="2">
        <v>44975</v>
      </c>
      <c r="BQ12" s="3">
        <v>8.4883449883449895</v>
      </c>
      <c r="BR12" s="2">
        <v>47893</v>
      </c>
      <c r="BS12" s="3">
        <v>6.4880489160644803E-2</v>
      </c>
      <c r="BT12" s="2">
        <v>27646</v>
      </c>
      <c r="BU12" s="3">
        <v>-0.42275489111143588</v>
      </c>
      <c r="BV12" s="2">
        <v>-18442</v>
      </c>
      <c r="BW12" s="3">
        <v>-1.6670766114446935</v>
      </c>
      <c r="BX12" s="2">
        <v>-94467</v>
      </c>
      <c r="BY12" s="3">
        <v>-4.1223836894046197</v>
      </c>
      <c r="BZ12" s="2" t="s">
        <v>643</v>
      </c>
      <c r="CA12" s="2" t="s">
        <v>644</v>
      </c>
      <c r="CB12" s="2" t="s">
        <v>645</v>
      </c>
      <c r="CC12" s="2" t="s">
        <v>646</v>
      </c>
      <c r="CD12" s="2" t="s">
        <v>647</v>
      </c>
      <c r="CE12" s="2" t="s">
        <v>648</v>
      </c>
    </row>
    <row r="13" spans="1:83" x14ac:dyDescent="0.2">
      <c r="A13" s="41" t="s">
        <v>1433</v>
      </c>
      <c r="B13" s="41" t="s">
        <v>1434</v>
      </c>
      <c r="C13" s="2" t="s">
        <v>1093</v>
      </c>
      <c r="D13" s="2">
        <v>631100</v>
      </c>
      <c r="E13" s="2" t="s">
        <v>1094</v>
      </c>
      <c r="F13" s="2"/>
      <c r="G13" s="2"/>
      <c r="H13" s="2"/>
      <c r="I13" s="2"/>
      <c r="J13" s="2">
        <v>303139606</v>
      </c>
      <c r="K13" s="2" t="s">
        <v>1095</v>
      </c>
      <c r="L13" s="2" t="s">
        <v>1433</v>
      </c>
      <c r="M13" s="2" t="s">
        <v>1097</v>
      </c>
      <c r="N13" s="2" t="s">
        <v>171</v>
      </c>
      <c r="O13" s="2" t="s">
        <v>1098</v>
      </c>
      <c r="P13" s="2" t="s">
        <v>1099</v>
      </c>
      <c r="Q13" s="2"/>
      <c r="R13" s="2" t="s">
        <v>705</v>
      </c>
      <c r="S13" s="2" t="s">
        <v>513</v>
      </c>
      <c r="T13" s="3">
        <v>-0.5</v>
      </c>
      <c r="U13" s="2" t="s">
        <v>752</v>
      </c>
      <c r="V13" s="3">
        <v>-0.66666666666666663</v>
      </c>
      <c r="W13" s="2" t="s">
        <v>752</v>
      </c>
      <c r="X13" s="3">
        <v>0</v>
      </c>
      <c r="Y13" s="2" t="s">
        <v>752</v>
      </c>
      <c r="Z13" s="3">
        <v>0</v>
      </c>
      <c r="AA13" s="2" t="s">
        <v>752</v>
      </c>
      <c r="AB13" s="3">
        <v>0</v>
      </c>
      <c r="AC13" s="2">
        <v>1</v>
      </c>
      <c r="AD13" s="2" t="s">
        <v>1100</v>
      </c>
      <c r="AE13" s="2">
        <f>_20250609_reklama_data[[#This Row],[Atlyginimų vidurkis 2019]]*_20250609_reklama_data[[#This Row],[Darbuotojai 2019]]*12</f>
        <v>74808</v>
      </c>
      <c r="AF13" s="2">
        <f>(_20250609_reklama_data[[#This Row],[Apyvarta 2019]]-_20250609_reklama_data[[#This Row],[Atlyginimų sąnaudos 2019]])/_20250609_reklama_data[[#This Row],[Darbuotojai 2019]]</f>
        <v>9914.1666666666661</v>
      </c>
      <c r="AG13" s="2" t="s">
        <v>1101</v>
      </c>
      <c r="AH13" s="2">
        <f>_20250609_reklama_data[[#This Row],[Atlyginimų vidurkis 2020]]*_20250609_reklama_data[[#This Row],[Darbuotojai 2020]]*12</f>
        <v>45468</v>
      </c>
      <c r="AI13" s="2">
        <f>(_20250609_reklama_data[[#This Row],[Apyvarta 2020]]-_20250609_reklama_data[[#This Row],[Atlyginimų sąnaudos 2020]])/_20250609_reklama_data[[#This Row],[Darbuotojai 2020]]</f>
        <v>83859</v>
      </c>
      <c r="AJ13" s="3">
        <v>0.21559191530317612</v>
      </c>
      <c r="AK13" s="2" t="s">
        <v>590</v>
      </c>
      <c r="AL13" s="2" t="s">
        <v>590</v>
      </c>
      <c r="AM13" s="2" t="s">
        <v>590</v>
      </c>
      <c r="AN13" s="2" t="s">
        <v>590</v>
      </c>
      <c r="AO13" s="2" t="s">
        <v>590</v>
      </c>
      <c r="AP13" s="2" t="s">
        <v>590</v>
      </c>
      <c r="AQ13" s="2" t="s">
        <v>590</v>
      </c>
      <c r="AR13" s="2" t="s">
        <v>590</v>
      </c>
      <c r="AS13" s="2" t="s">
        <v>590</v>
      </c>
      <c r="AT13" s="2" t="s">
        <v>590</v>
      </c>
      <c r="AU13" s="2" t="s">
        <v>590</v>
      </c>
      <c r="AV13" s="2" t="s">
        <v>590</v>
      </c>
      <c r="AW13" s="2" t="s">
        <v>590</v>
      </c>
      <c r="AX13" s="2" t="s">
        <v>590</v>
      </c>
      <c r="AY13" s="2" t="s">
        <v>590</v>
      </c>
      <c r="AZ13" s="2" t="s">
        <v>590</v>
      </c>
      <c r="BA13" s="2" t="s">
        <v>590</v>
      </c>
      <c r="BB13" s="2" t="s">
        <v>590</v>
      </c>
      <c r="BC13" s="2">
        <v>0.41</v>
      </c>
      <c r="BD13" s="2">
        <v>134293</v>
      </c>
      <c r="BE13" s="2">
        <v>297045</v>
      </c>
      <c r="BF13" s="3">
        <v>1.2119172257675381</v>
      </c>
      <c r="BG13" s="2">
        <v>924135</v>
      </c>
      <c r="BH13" s="3">
        <v>2.1110942786446496</v>
      </c>
      <c r="BI13" s="2">
        <v>702426</v>
      </c>
      <c r="BJ13" s="3">
        <v>-0.23990975344511353</v>
      </c>
      <c r="BK13" s="2">
        <v>682575</v>
      </c>
      <c r="BL13" s="3">
        <v>-2.8260628165813907E-2</v>
      </c>
      <c r="BM13" s="2"/>
      <c r="BN13" s="2" t="s">
        <v>590</v>
      </c>
      <c r="BO13" s="2">
        <v>-15104</v>
      </c>
      <c r="BP13" s="2">
        <v>23971</v>
      </c>
      <c r="BQ13" s="3">
        <v>2.58706302966102</v>
      </c>
      <c r="BR13" s="2">
        <v>176024</v>
      </c>
      <c r="BS13" s="3">
        <v>6.3432063743690295</v>
      </c>
      <c r="BT13" s="2">
        <v>75777</v>
      </c>
      <c r="BU13" s="3">
        <v>-0.56950756714993411</v>
      </c>
      <c r="BV13" s="2">
        <v>66010</v>
      </c>
      <c r="BW13" s="3">
        <v>-0.12889135225728124</v>
      </c>
      <c r="BX13" s="2"/>
      <c r="BY13" s="2" t="s">
        <v>590</v>
      </c>
      <c r="BZ13" s="2" t="s">
        <v>1103</v>
      </c>
      <c r="CA13" s="2" t="s">
        <v>1104</v>
      </c>
      <c r="CB13" s="2" t="s">
        <v>1435</v>
      </c>
      <c r="CC13" s="2" t="s">
        <v>1436</v>
      </c>
      <c r="CD13" s="2" t="s">
        <v>189</v>
      </c>
      <c r="CE13" s="2" t="s">
        <v>1105</v>
      </c>
    </row>
    <row r="14" spans="1:83" ht="32" x14ac:dyDescent="0.2">
      <c r="A14" s="42" t="s">
        <v>1437</v>
      </c>
      <c r="B14" s="41" t="s">
        <v>1438</v>
      </c>
      <c r="C14" s="2"/>
      <c r="D14" s="2"/>
      <c r="E14" s="2"/>
      <c r="F14" s="2"/>
      <c r="G14" s="2"/>
      <c r="H14" s="2"/>
      <c r="I14" s="2"/>
      <c r="J14" s="2">
        <v>300613091</v>
      </c>
      <c r="K14" s="2" t="s">
        <v>1156</v>
      </c>
      <c r="L14" s="2" t="s">
        <v>1154</v>
      </c>
      <c r="M14" s="2" t="s">
        <v>1157</v>
      </c>
      <c r="N14" s="2" t="s">
        <v>77</v>
      </c>
      <c r="O14" s="2" t="s">
        <v>1158</v>
      </c>
      <c r="P14" s="43" t="s">
        <v>1159</v>
      </c>
      <c r="Q14" s="2"/>
      <c r="R14" s="2">
        <v>33</v>
      </c>
      <c r="S14" s="2">
        <v>21</v>
      </c>
      <c r="T14" s="2">
        <v>-0.36</v>
      </c>
      <c r="U14" s="2">
        <v>22</v>
      </c>
      <c r="V14" s="2">
        <v>0.05</v>
      </c>
      <c r="W14" s="2">
        <v>23</v>
      </c>
      <c r="X14" s="2">
        <v>0.05</v>
      </c>
      <c r="Y14" s="2">
        <v>18</v>
      </c>
      <c r="Z14" s="2">
        <v>-0.22</v>
      </c>
      <c r="AA14" s="2">
        <v>19</v>
      </c>
      <c r="AB14" s="2">
        <v>0.06</v>
      </c>
      <c r="AC14" s="2">
        <v>15</v>
      </c>
      <c r="AD14" s="2">
        <v>1914</v>
      </c>
      <c r="AE14" s="2">
        <v>63162</v>
      </c>
      <c r="AF14" s="2">
        <v>91553.696970000005</v>
      </c>
      <c r="AG14" s="2">
        <v>2264</v>
      </c>
      <c r="AH14" s="2">
        <v>47544</v>
      </c>
      <c r="AI14" s="2">
        <v>57214.571430000004</v>
      </c>
      <c r="AJ14" s="2">
        <v>0.18</v>
      </c>
      <c r="AK14" s="2">
        <v>2355</v>
      </c>
      <c r="AL14" s="2">
        <v>51810</v>
      </c>
      <c r="AM14" s="2">
        <v>60126.045449999998</v>
      </c>
      <c r="AN14" s="2">
        <v>0.04</v>
      </c>
      <c r="AO14" s="2">
        <v>2689</v>
      </c>
      <c r="AP14" s="2">
        <v>61847</v>
      </c>
      <c r="AQ14" s="2">
        <v>61127.521739999996</v>
      </c>
      <c r="AR14" s="2">
        <v>0.14000000000000001</v>
      </c>
      <c r="AS14" s="2">
        <v>2843</v>
      </c>
      <c r="AT14" s="2">
        <v>51174</v>
      </c>
      <c r="AU14" s="2">
        <v>89286.722219999996</v>
      </c>
      <c r="AV14" s="2">
        <v>0.06</v>
      </c>
      <c r="AW14" s="2">
        <v>2886</v>
      </c>
      <c r="AX14" s="2">
        <v>54834</v>
      </c>
      <c r="AY14" s="2">
        <v>77470.263160000002</v>
      </c>
      <c r="AZ14" s="2">
        <v>0.02</v>
      </c>
      <c r="BA14" s="2">
        <v>2732</v>
      </c>
      <c r="BB14" s="2">
        <v>40980</v>
      </c>
      <c r="BC14" s="2"/>
      <c r="BD14" s="2">
        <v>3084434</v>
      </c>
      <c r="BE14" s="2">
        <v>1249050</v>
      </c>
      <c r="BF14" s="2">
        <v>-0.6</v>
      </c>
      <c r="BG14" s="2">
        <v>1374583</v>
      </c>
      <c r="BH14" s="2">
        <v>0.1</v>
      </c>
      <c r="BI14" s="2">
        <v>1467780</v>
      </c>
      <c r="BJ14" s="2">
        <v>7.0000000000000007E-2</v>
      </c>
      <c r="BK14" s="2">
        <v>1658335</v>
      </c>
      <c r="BL14" s="2">
        <v>0.13</v>
      </c>
      <c r="BM14" s="2">
        <v>1526769</v>
      </c>
      <c r="BN14" s="2">
        <v>-0.08</v>
      </c>
      <c r="BO14" s="2">
        <v>49896</v>
      </c>
      <c r="BP14" s="2">
        <v>-69262</v>
      </c>
      <c r="BQ14" s="2">
        <v>-2.39</v>
      </c>
      <c r="BR14" s="2">
        <v>3424</v>
      </c>
      <c r="BS14" s="2">
        <v>1.05</v>
      </c>
      <c r="BT14" s="2">
        <v>423</v>
      </c>
      <c r="BU14" s="2">
        <v>-0.88</v>
      </c>
      <c r="BV14" s="2">
        <v>1489</v>
      </c>
      <c r="BW14" s="2">
        <v>2.52</v>
      </c>
      <c r="BX14" s="2">
        <v>-47780</v>
      </c>
      <c r="BY14" s="2">
        <v>-33.090000000000003</v>
      </c>
      <c r="BZ14" s="2" t="s">
        <v>1160</v>
      </c>
      <c r="CA14" s="2" t="s">
        <v>1161</v>
      </c>
      <c r="CB14" s="43" t="s">
        <v>1162</v>
      </c>
      <c r="CC14" s="2" t="s">
        <v>1163</v>
      </c>
      <c r="CD14" s="2" t="s">
        <v>95</v>
      </c>
      <c r="CE14" s="2" t="s">
        <v>1137</v>
      </c>
    </row>
    <row r="15" spans="1:83" x14ac:dyDescent="0.2">
      <c r="A15" s="42" t="s">
        <v>1439</v>
      </c>
      <c r="B15" s="41" t="s">
        <v>1440</v>
      </c>
      <c r="C15" s="2"/>
      <c r="D15" s="2"/>
      <c r="E15" s="2"/>
      <c r="F15" s="2"/>
      <c r="G15" s="2"/>
      <c r="H15" s="2"/>
      <c r="I15" s="2"/>
      <c r="J15" s="2">
        <v>302448012</v>
      </c>
      <c r="K15" s="2" t="s">
        <v>1207</v>
      </c>
      <c r="L15" s="2" t="s">
        <v>1205</v>
      </c>
      <c r="M15" s="2" t="s">
        <v>1208</v>
      </c>
      <c r="N15" s="2" t="s">
        <v>77</v>
      </c>
      <c r="O15" s="2" t="s">
        <v>1209</v>
      </c>
      <c r="P15" s="2"/>
      <c r="Q15" s="2">
        <v>37065532204</v>
      </c>
      <c r="R15" s="2">
        <v>7</v>
      </c>
      <c r="S15" s="2">
        <v>6</v>
      </c>
      <c r="T15" s="2">
        <v>-0.14000000000000001</v>
      </c>
      <c r="U15" s="2">
        <v>8</v>
      </c>
      <c r="V15" s="2">
        <v>0.33</v>
      </c>
      <c r="W15" s="2">
        <v>9</v>
      </c>
      <c r="X15" s="2">
        <v>0.13</v>
      </c>
      <c r="Y15" s="2">
        <v>11</v>
      </c>
      <c r="Z15" s="2">
        <v>0.22</v>
      </c>
      <c r="AA15" s="2">
        <v>11</v>
      </c>
      <c r="AB15" s="2">
        <v>0</v>
      </c>
      <c r="AC15" s="2">
        <v>11</v>
      </c>
      <c r="AD15" s="2">
        <v>1744</v>
      </c>
      <c r="AE15" s="2">
        <v>12208</v>
      </c>
      <c r="AF15" s="2">
        <v>31342.57143</v>
      </c>
      <c r="AG15" s="2">
        <v>1741</v>
      </c>
      <c r="AH15" s="2">
        <v>10446</v>
      </c>
      <c r="AI15" s="2">
        <v>69915.5</v>
      </c>
      <c r="AJ15" s="2">
        <v>0</v>
      </c>
      <c r="AK15" s="2">
        <v>2459</v>
      </c>
      <c r="AL15" s="2">
        <v>19672</v>
      </c>
      <c r="AM15" s="2">
        <v>75142.625</v>
      </c>
      <c r="AN15" s="2">
        <v>0.41</v>
      </c>
      <c r="AO15" s="2">
        <v>2996</v>
      </c>
      <c r="AP15" s="2">
        <v>26964</v>
      </c>
      <c r="AQ15" s="2">
        <v>99531.888890000002</v>
      </c>
      <c r="AR15" s="2">
        <v>0.22</v>
      </c>
      <c r="AS15" s="2">
        <v>3036</v>
      </c>
      <c r="AT15" s="2">
        <v>33396</v>
      </c>
      <c r="AU15" s="2">
        <v>89534.545450000005</v>
      </c>
      <c r="AV15" s="2">
        <v>0.01</v>
      </c>
      <c r="AW15" s="2">
        <v>3512</v>
      </c>
      <c r="AX15" s="2">
        <v>38632</v>
      </c>
      <c r="AY15" s="2">
        <v>138897.7273</v>
      </c>
      <c r="AZ15" s="2">
        <v>0.16</v>
      </c>
      <c r="BA15" s="2">
        <v>3778</v>
      </c>
      <c r="BB15" s="2">
        <v>41558</v>
      </c>
      <c r="BC15" s="2"/>
      <c r="BD15" s="2">
        <v>231606</v>
      </c>
      <c r="BE15" s="2">
        <v>429939</v>
      </c>
      <c r="BF15" s="2">
        <v>0.86</v>
      </c>
      <c r="BG15" s="2">
        <v>620813</v>
      </c>
      <c r="BH15" s="2">
        <v>0.44</v>
      </c>
      <c r="BI15" s="2">
        <v>922751</v>
      </c>
      <c r="BJ15" s="2">
        <v>0.49</v>
      </c>
      <c r="BK15" s="2">
        <v>1018276</v>
      </c>
      <c r="BL15" s="2">
        <v>0.1</v>
      </c>
      <c r="BM15" s="2">
        <v>1566507</v>
      </c>
      <c r="BN15" s="2">
        <v>0.54</v>
      </c>
      <c r="BO15" s="2">
        <v>-57134</v>
      </c>
      <c r="BP15" s="2">
        <v>104436</v>
      </c>
      <c r="BQ15" s="2">
        <v>2.83</v>
      </c>
      <c r="BR15" s="2">
        <v>97262</v>
      </c>
      <c r="BS15" s="2">
        <v>-7.0000000000000007E-2</v>
      </c>
      <c r="BT15" s="2">
        <v>-22601</v>
      </c>
      <c r="BU15" s="2">
        <v>-1.23</v>
      </c>
      <c r="BV15" s="2">
        <v>63393</v>
      </c>
      <c r="BW15" s="2">
        <v>3.8</v>
      </c>
      <c r="BX15" s="2">
        <v>103845</v>
      </c>
      <c r="BY15" s="2">
        <v>0.64</v>
      </c>
      <c r="BZ15" s="2" t="s">
        <v>1210</v>
      </c>
      <c r="CA15" s="2" t="s">
        <v>1211</v>
      </c>
      <c r="CB15" s="2"/>
      <c r="CC15" s="2"/>
      <c r="CD15" s="2" t="s">
        <v>95</v>
      </c>
      <c r="CE15" s="2" t="s">
        <v>1137</v>
      </c>
    </row>
    <row r="16" spans="1:83" x14ac:dyDescent="0.2">
      <c r="A16" s="41" t="s">
        <v>1106</v>
      </c>
      <c r="B16" s="41" t="s">
        <v>1441</v>
      </c>
      <c r="C16" s="2" t="s">
        <v>1107</v>
      </c>
      <c r="D16" s="2">
        <v>731100</v>
      </c>
      <c r="E16" s="2" t="s">
        <v>73</v>
      </c>
      <c r="F16" s="2"/>
      <c r="G16" s="2"/>
      <c r="H16" s="2"/>
      <c r="I16" s="2"/>
      <c r="J16" s="2">
        <v>304067387</v>
      </c>
      <c r="K16" s="2" t="s">
        <v>1108</v>
      </c>
      <c r="L16" s="2" t="s">
        <v>1106</v>
      </c>
      <c r="M16" s="2" t="s">
        <v>1110</v>
      </c>
      <c r="N16" s="2" t="s">
        <v>77</v>
      </c>
      <c r="O16" s="2" t="s">
        <v>1111</v>
      </c>
      <c r="P16" s="2" t="s">
        <v>80</v>
      </c>
      <c r="Q16" s="2">
        <v>37063153386</v>
      </c>
      <c r="R16" s="2" t="s">
        <v>251</v>
      </c>
      <c r="S16" s="2" t="s">
        <v>199</v>
      </c>
      <c r="T16" s="3">
        <v>-3.5714285714285712E-2</v>
      </c>
      <c r="U16" s="2" t="s">
        <v>108</v>
      </c>
      <c r="V16" s="3">
        <v>0.18518518518518517</v>
      </c>
      <c r="W16" s="2" t="s">
        <v>306</v>
      </c>
      <c r="X16" s="3">
        <v>0.15625</v>
      </c>
      <c r="Y16" s="2" t="s">
        <v>1112</v>
      </c>
      <c r="Z16" s="3">
        <v>2.7027027027027029E-2</v>
      </c>
      <c r="AA16" s="2" t="s">
        <v>130</v>
      </c>
      <c r="AB16" s="3">
        <v>0.21052631578947367</v>
      </c>
      <c r="AC16" s="2">
        <v>40</v>
      </c>
      <c r="AD16" s="2" t="s">
        <v>1113</v>
      </c>
      <c r="AE16" s="2">
        <f>_20250609_reklama_data[[#This Row],[Atlyginimų vidurkis 2019]]*_20250609_reklama_data[[#This Row],[Darbuotojai 2019]]*12</f>
        <v>729792</v>
      </c>
      <c r="AF16" s="2">
        <f>(_20250609_reklama_data[[#This Row],[Apyvarta 2019]]-_20250609_reklama_data[[#This Row],[Atlyginimų sąnaudos 2019]])/_20250609_reklama_data[[#This Row],[Darbuotojai 2019]]</f>
        <v>414071.57142857142</v>
      </c>
      <c r="AG16" s="2" t="s">
        <v>1114</v>
      </c>
      <c r="AH16" s="2">
        <f>_20250609_reklama_data[[#This Row],[Atlyginimų vidurkis 2020]]*_20250609_reklama_data[[#This Row],[Darbuotojai 2020]]*12</f>
        <v>775008</v>
      </c>
      <c r="AI16" s="2">
        <f>(_20250609_reklama_data[[#This Row],[Apyvarta 2020]]-_20250609_reklama_data[[#This Row],[Atlyginimų sąnaudos 2020]])/_20250609_reklama_data[[#This Row],[Darbuotojai 2020]]</f>
        <v>431920.37037037039</v>
      </c>
      <c r="AJ16" s="3">
        <v>0.10128913443830571</v>
      </c>
      <c r="AK16" s="2" t="s">
        <v>1115</v>
      </c>
      <c r="AL16" s="2">
        <f>_20250609_reklama_data[[#This Row],[Atlyginimų vidurkis 2021]]*_20250609_reklama_data[[#This Row],[Darbuotojai 2021]]*12</f>
        <v>975360</v>
      </c>
      <c r="AM16" s="2">
        <f>(_20250609_reklama_data[[#This Row],[Apyvarta 2021]]-_20250609_reklama_data[[#This Row],[Atlyginimų sąnaudos 2021]])/_20250609_reklama_data[[#This Row],[Darbuotojai 2021]]</f>
        <v>493778.15625</v>
      </c>
      <c r="AN16" s="3">
        <v>6.1872909698996656E-2</v>
      </c>
      <c r="AO16" s="2" t="s">
        <v>1116</v>
      </c>
      <c r="AP16" s="2">
        <f>_20250609_reklama_data[[#This Row],[Atlyginimų vidurkis 2022]]*_20250609_reklama_data[[#This Row],[Darbuotojai 2022]]*12</f>
        <v>1331556</v>
      </c>
      <c r="AQ16" s="2">
        <f>(_20250609_reklama_data[[#This Row],[Apyvarta 2022]]-_20250609_reklama_data[[#This Row],[Atlyginimų sąnaudos 2022]])/_20250609_reklama_data[[#This Row],[Darbuotojai 2022]]</f>
        <v>537656.13513513515</v>
      </c>
      <c r="AR16" s="3">
        <v>0.18070866141732284</v>
      </c>
      <c r="AS16" s="2" t="s">
        <v>1117</v>
      </c>
      <c r="AT16" s="2">
        <f>_20250609_reklama_data[[#This Row],[Atlyginimų vidurkis 2023]]*_20250609_reklama_data[[#This Row],[Darbuotojai 2023]]*12</f>
        <v>1466496</v>
      </c>
      <c r="AU16" s="2">
        <f>(_20250609_reklama_data[[#This Row],[Apyvarta 2023]]-_20250609_reklama_data[[#This Row],[Atlyginimų sąnaudos 2023]])/_20250609_reklama_data[[#This Row],[Darbuotojai 2023]]</f>
        <v>640666.92105263157</v>
      </c>
      <c r="AV16" s="3">
        <v>7.235745248416138E-2</v>
      </c>
      <c r="AW16" s="2" t="s">
        <v>1118</v>
      </c>
      <c r="AX16" s="2">
        <f>_20250609_reklama_data[[#This Row],[Atlyginimų vidurkis 2024]]*_20250609_reklama_data[[#This Row],[Darbuotojai 2024]]*12</f>
        <v>1875696</v>
      </c>
      <c r="AY16" s="2">
        <f>(_20250609_reklama_data[[#This Row],[Apyvarta 2024]]-_20250609_reklama_data[[#This Row],[Atlyginimų sąnaudos 2024]])/_20250609_reklama_data[[#This Row],[Darbuotojai 2024]]</f>
        <v>-40776</v>
      </c>
      <c r="AZ16" s="3">
        <v>5.6592039800995024E-2</v>
      </c>
      <c r="BA16" s="2" t="s">
        <v>1119</v>
      </c>
      <c r="BB16" s="2">
        <f>_20250609_reklama_data[[#This Row],[Atlyginimų vidurkis 2025 04]]*_20250609_reklama_data[[#This Row],[Darbuotojai 2025 06 09]]*5</f>
        <v>690410</v>
      </c>
      <c r="BC16" s="2" t="s">
        <v>80</v>
      </c>
      <c r="BD16" s="2">
        <v>12323796</v>
      </c>
      <c r="BE16" s="2">
        <v>12436858</v>
      </c>
      <c r="BF16" s="3">
        <v>9.1742836379310397E-3</v>
      </c>
      <c r="BG16" s="2">
        <v>16776261</v>
      </c>
      <c r="BH16" s="3">
        <v>0.34891473393038658</v>
      </c>
      <c r="BI16" s="2">
        <v>21224833</v>
      </c>
      <c r="BJ16" s="3">
        <v>0.26517064797692408</v>
      </c>
      <c r="BK16" s="2">
        <v>25811839</v>
      </c>
      <c r="BL16" s="3">
        <v>0.21611505730103978</v>
      </c>
      <c r="BM16" s="2"/>
      <c r="BN16" s="2" t="s">
        <v>590</v>
      </c>
      <c r="BO16" s="2">
        <v>271504</v>
      </c>
      <c r="BP16" s="2">
        <v>250157</v>
      </c>
      <c r="BQ16" s="3">
        <v>-7.8624992633626017E-2</v>
      </c>
      <c r="BR16" s="2">
        <v>416821</v>
      </c>
      <c r="BS16" s="3">
        <v>0.66623760278545074</v>
      </c>
      <c r="BT16" s="2">
        <v>425795</v>
      </c>
      <c r="BU16" s="3">
        <v>2.1529625426741934E-2</v>
      </c>
      <c r="BV16" s="2">
        <v>405824</v>
      </c>
      <c r="BW16" s="3">
        <v>-4.6902852311558378E-2</v>
      </c>
      <c r="BX16" s="2"/>
      <c r="BY16" s="2" t="s">
        <v>590</v>
      </c>
      <c r="BZ16" s="2" t="s">
        <v>1121</v>
      </c>
      <c r="CA16" s="2" t="s">
        <v>80</v>
      </c>
      <c r="CB16" s="2" t="s">
        <v>80</v>
      </c>
      <c r="CC16" s="2" t="s">
        <v>1442</v>
      </c>
      <c r="CD16" s="2" t="s">
        <v>95</v>
      </c>
      <c r="CE16" s="2" t="s">
        <v>1122</v>
      </c>
    </row>
    <row r="17" spans="1:83" ht="16" x14ac:dyDescent="0.2">
      <c r="A17" s="42" t="s">
        <v>1443</v>
      </c>
      <c r="B17" s="41" t="s">
        <v>1444</v>
      </c>
      <c r="C17" s="2"/>
      <c r="D17" s="2"/>
      <c r="E17" s="2"/>
      <c r="F17" s="2"/>
      <c r="G17" s="2"/>
      <c r="H17" s="2"/>
      <c r="I17" s="2"/>
      <c r="J17" s="2">
        <v>300013463</v>
      </c>
      <c r="K17" s="2" t="s">
        <v>1150</v>
      </c>
      <c r="L17" s="2" t="s">
        <v>1148</v>
      </c>
      <c r="M17" s="43" t="s">
        <v>1151</v>
      </c>
      <c r="N17" s="2" t="s">
        <v>77</v>
      </c>
      <c r="O17" s="2" t="s">
        <v>1152</v>
      </c>
      <c r="P17" s="2"/>
      <c r="Q17" s="2">
        <v>37068604218</v>
      </c>
      <c r="R17" s="2">
        <v>6</v>
      </c>
      <c r="S17" s="2">
        <v>6</v>
      </c>
      <c r="T17" s="2">
        <v>0</v>
      </c>
      <c r="U17" s="2">
        <v>7</v>
      </c>
      <c r="V17" s="2">
        <v>0.17</v>
      </c>
      <c r="W17" s="2">
        <v>7</v>
      </c>
      <c r="X17" s="2">
        <v>0</v>
      </c>
      <c r="Y17" s="2">
        <v>7</v>
      </c>
      <c r="Z17" s="2">
        <v>0</v>
      </c>
      <c r="AA17" s="2">
        <v>7</v>
      </c>
      <c r="AB17" s="2">
        <v>0</v>
      </c>
      <c r="AC17" s="2">
        <v>9</v>
      </c>
      <c r="AD17" s="2">
        <v>1347</v>
      </c>
      <c r="AE17" s="2">
        <v>8082</v>
      </c>
      <c r="AF17" s="2">
        <v>151933.1667</v>
      </c>
      <c r="AG17" s="2">
        <v>1849</v>
      </c>
      <c r="AH17" s="2">
        <v>11094</v>
      </c>
      <c r="AI17" s="2">
        <v>157688.6667</v>
      </c>
      <c r="AJ17" s="2">
        <v>0.37</v>
      </c>
      <c r="AK17" s="2">
        <v>1704</v>
      </c>
      <c r="AL17" s="2">
        <v>11928</v>
      </c>
      <c r="AM17" s="2">
        <v>218292.57139999999</v>
      </c>
      <c r="AN17" s="2">
        <v>-0.08</v>
      </c>
      <c r="AO17" s="2">
        <v>1886</v>
      </c>
      <c r="AP17" s="2">
        <v>13202</v>
      </c>
      <c r="AQ17" s="2">
        <v>167679.28570000001</v>
      </c>
      <c r="AR17" s="2">
        <v>0.11</v>
      </c>
      <c r="AS17" s="2">
        <v>2051</v>
      </c>
      <c r="AT17" s="2">
        <v>14357</v>
      </c>
      <c r="AU17" s="2">
        <v>150733.71429999999</v>
      </c>
      <c r="AV17" s="2">
        <v>0.09</v>
      </c>
      <c r="AW17" s="2">
        <v>2167</v>
      </c>
      <c r="AX17" s="2">
        <v>15169</v>
      </c>
      <c r="AY17" s="2">
        <v>119055.4286</v>
      </c>
      <c r="AZ17" s="2">
        <v>0.06</v>
      </c>
      <c r="BA17" s="2">
        <v>2561</v>
      </c>
      <c r="BB17" s="2">
        <v>23049</v>
      </c>
      <c r="BC17" s="2"/>
      <c r="BD17" s="2">
        <v>919681</v>
      </c>
      <c r="BE17" s="2">
        <v>957226</v>
      </c>
      <c r="BF17" s="2">
        <v>0.04</v>
      </c>
      <c r="BG17" s="2">
        <v>1539976</v>
      </c>
      <c r="BH17" s="2">
        <v>0.61</v>
      </c>
      <c r="BI17" s="2">
        <v>1186957</v>
      </c>
      <c r="BJ17" s="2">
        <v>-0.23</v>
      </c>
      <c r="BK17" s="2">
        <v>1069493</v>
      </c>
      <c r="BL17" s="2">
        <v>-0.1</v>
      </c>
      <c r="BM17" s="2">
        <v>848557</v>
      </c>
      <c r="BN17" s="2">
        <v>-0.21</v>
      </c>
      <c r="BO17" s="2">
        <v>34825</v>
      </c>
      <c r="BP17" s="2">
        <v>37773</v>
      </c>
      <c r="BQ17" s="2">
        <v>0.08</v>
      </c>
      <c r="BR17" s="2">
        <v>46408</v>
      </c>
      <c r="BS17" s="2">
        <v>0.23</v>
      </c>
      <c r="BT17" s="2">
        <v>48406</v>
      </c>
      <c r="BU17" s="2">
        <v>0.04</v>
      </c>
      <c r="BV17" s="2">
        <v>60954</v>
      </c>
      <c r="BW17" s="2">
        <v>0.26</v>
      </c>
      <c r="BX17" s="2">
        <v>40206</v>
      </c>
      <c r="BY17" s="2">
        <v>-0.34</v>
      </c>
      <c r="BZ17" s="2" t="s">
        <v>1153</v>
      </c>
      <c r="CA17" s="2"/>
      <c r="CB17" s="2"/>
      <c r="CC17" s="2"/>
      <c r="CD17" s="2" t="s">
        <v>95</v>
      </c>
      <c r="CE17" s="2" t="s">
        <v>1137</v>
      </c>
    </row>
    <row r="18" spans="1:83" x14ac:dyDescent="0.2">
      <c r="A18" s="41" t="s">
        <v>387</v>
      </c>
      <c r="B18" s="41" t="s">
        <v>1445</v>
      </c>
      <c r="C18" s="2" t="s">
        <v>388</v>
      </c>
      <c r="D18" s="2">
        <v>702200</v>
      </c>
      <c r="E18" s="2"/>
      <c r="F18" s="2"/>
      <c r="G18" s="2" t="s">
        <v>300</v>
      </c>
      <c r="H18" s="2"/>
      <c r="I18" s="2"/>
      <c r="J18" s="2">
        <v>300078393</v>
      </c>
      <c r="K18" s="2" t="s">
        <v>389</v>
      </c>
      <c r="L18" s="2" t="s">
        <v>1446</v>
      </c>
      <c r="M18" s="2" t="s">
        <v>391</v>
      </c>
      <c r="N18" s="2" t="s">
        <v>77</v>
      </c>
      <c r="O18" s="2" t="s">
        <v>392</v>
      </c>
      <c r="P18" s="2" t="s">
        <v>80</v>
      </c>
      <c r="Q18" s="2">
        <v>37065559478</v>
      </c>
      <c r="R18" s="2" t="s">
        <v>176</v>
      </c>
      <c r="S18" s="2" t="s">
        <v>176</v>
      </c>
      <c r="T18" s="3">
        <v>0</v>
      </c>
      <c r="U18" s="2" t="s">
        <v>252</v>
      </c>
      <c r="V18" s="3">
        <v>0.23809523809523808</v>
      </c>
      <c r="W18" s="2" t="s">
        <v>199</v>
      </c>
      <c r="X18" s="3">
        <v>3.8461538461538464E-2</v>
      </c>
      <c r="Y18" s="2" t="s">
        <v>252</v>
      </c>
      <c r="Z18" s="3">
        <v>-3.7037037037037035E-2</v>
      </c>
      <c r="AA18" s="2" t="s">
        <v>238</v>
      </c>
      <c r="AB18" s="3">
        <v>-7.6923076923076927E-2</v>
      </c>
      <c r="AC18" s="2">
        <v>33</v>
      </c>
      <c r="AD18" s="2" t="s">
        <v>393</v>
      </c>
      <c r="AE18" s="2">
        <f>_20250609_reklama_data[[#This Row],[Atlyginimų vidurkis 2019]]*_20250609_reklama_data[[#This Row],[Darbuotojai 2019]]*12</f>
        <v>497700</v>
      </c>
      <c r="AF18" s="2">
        <f>(_20250609_reklama_data[[#This Row],[Apyvarta 2019]]-_20250609_reklama_data[[#This Row],[Atlyginimų sąnaudos 2019]])/_20250609_reklama_data[[#This Row],[Darbuotojai 2019]]</f>
        <v>113601.52380952382</v>
      </c>
      <c r="AG18" s="2" t="s">
        <v>394</v>
      </c>
      <c r="AH18" s="2">
        <f>_20250609_reklama_data[[#This Row],[Atlyginimų vidurkis 2020]]*_20250609_reklama_data[[#This Row],[Darbuotojai 2020]]*12</f>
        <v>481824</v>
      </c>
      <c r="AI18" s="2">
        <f>(_20250609_reklama_data[[#This Row],[Apyvarta 2020]]-_20250609_reklama_data[[#This Row],[Atlyginimų sąnaudos 2020]])/_20250609_reklama_data[[#This Row],[Darbuotojai 2020]]</f>
        <v>104891.14285714286</v>
      </c>
      <c r="AJ18" s="3">
        <v>-3.1898734177215192E-2</v>
      </c>
      <c r="AK18" s="2" t="s">
        <v>395</v>
      </c>
      <c r="AL18" s="2">
        <f>_20250609_reklama_data[[#This Row],[Atlyginimų vidurkis 2021]]*_20250609_reklama_data[[#This Row],[Darbuotojai 2021]]*12</f>
        <v>639600</v>
      </c>
      <c r="AM18" s="2">
        <f>(_20250609_reklama_data[[#This Row],[Apyvarta 2021]]-_20250609_reklama_data[[#This Row],[Atlyginimų sąnaudos 2021]])/_20250609_reklama_data[[#This Row],[Darbuotojai 2021]]</f>
        <v>102087.5</v>
      </c>
      <c r="AN18" s="3">
        <v>7.2175732217573216E-2</v>
      </c>
      <c r="AO18" s="2" t="s">
        <v>396</v>
      </c>
      <c r="AP18" s="2">
        <f>_20250609_reklama_data[[#This Row],[Atlyginimų vidurkis 2022]]*_20250609_reklama_data[[#This Row],[Darbuotojai 2022]]*12</f>
        <v>747144</v>
      </c>
      <c r="AQ18" s="2">
        <f>(_20250609_reklama_data[[#This Row],[Apyvarta 2022]]-_20250609_reklama_data[[#This Row],[Atlyginimų sąnaudos 2022]])/_20250609_reklama_data[[#This Row],[Darbuotojai 2022]]</f>
        <v>103042.48148148147</v>
      </c>
      <c r="AR18" s="3">
        <v>0.1248780487804878</v>
      </c>
      <c r="AS18" s="2" t="s">
        <v>397</v>
      </c>
      <c r="AT18" s="2">
        <f>_20250609_reklama_data[[#This Row],[Atlyginimų vidurkis 2023]]*_20250609_reklama_data[[#This Row],[Darbuotojai 2023]]*12</f>
        <v>797784</v>
      </c>
      <c r="AU18" s="2">
        <f>(_20250609_reklama_data[[#This Row],[Apyvarta 2023]]-_20250609_reklama_data[[#This Row],[Atlyginimų sąnaudos 2023]])/_20250609_reklama_data[[#This Row],[Darbuotojai 2023]]</f>
        <v>128891.88461538461</v>
      </c>
      <c r="AV18" s="3">
        <v>0.10884648742411102</v>
      </c>
      <c r="AW18" s="2" t="s">
        <v>398</v>
      </c>
      <c r="AX18" s="2">
        <f>_20250609_reklama_data[[#This Row],[Atlyginimų vidurkis 2024]]*_20250609_reklama_data[[#This Row],[Darbuotojai 2024]]*12</f>
        <v>790560</v>
      </c>
      <c r="AY18" s="2">
        <f>(_20250609_reklama_data[[#This Row],[Apyvarta 2024]]-_20250609_reklama_data[[#This Row],[Atlyginimų sąnaudos 2024]])/_20250609_reklama_data[[#This Row],[Darbuotojai 2024]]</f>
        <v>107678</v>
      </c>
      <c r="AZ18" s="3">
        <v>7.352366053969496E-2</v>
      </c>
      <c r="BA18" s="2" t="s">
        <v>399</v>
      </c>
      <c r="BB18" s="2">
        <f>_20250609_reklama_data[[#This Row],[Atlyginimų vidurkis 2025 04]]*_20250609_reklama_data[[#This Row],[Darbuotojai 2025 06 09]]*5</f>
        <v>492426</v>
      </c>
      <c r="BC18" s="2" t="s">
        <v>80</v>
      </c>
      <c r="BD18" s="2">
        <v>2883332</v>
      </c>
      <c r="BE18" s="2">
        <v>2684538</v>
      </c>
      <c r="BF18" s="3">
        <v>-6.8945927836267212E-2</v>
      </c>
      <c r="BG18" s="2">
        <v>3293875</v>
      </c>
      <c r="BH18" s="3">
        <v>0.22698021037511856</v>
      </c>
      <c r="BI18" s="2">
        <v>3529291</v>
      </c>
      <c r="BJ18" s="3">
        <v>7.1470836021403361E-2</v>
      </c>
      <c r="BK18" s="2">
        <v>4148973</v>
      </c>
      <c r="BL18" s="3">
        <v>0.17558257451709139</v>
      </c>
      <c r="BM18" s="2">
        <v>3374832</v>
      </c>
      <c r="BN18" s="3">
        <v>-0.18658617445811287</v>
      </c>
      <c r="BO18" s="2">
        <v>94625</v>
      </c>
      <c r="BP18" s="2">
        <v>205039</v>
      </c>
      <c r="BQ18" s="3">
        <v>1.1668586525759577</v>
      </c>
      <c r="BR18" s="2">
        <v>219463</v>
      </c>
      <c r="BS18" s="3">
        <v>7.0347592409248969E-2</v>
      </c>
      <c r="BT18" s="2">
        <v>281973</v>
      </c>
      <c r="BU18" s="3">
        <v>0.28483161170675697</v>
      </c>
      <c r="BV18" s="2">
        <v>220705</v>
      </c>
      <c r="BW18" s="3">
        <v>-0.21728321505959791</v>
      </c>
      <c r="BX18" s="2">
        <v>281779</v>
      </c>
      <c r="BY18" s="3">
        <v>0.27672232165107269</v>
      </c>
      <c r="BZ18" s="2" t="s">
        <v>401</v>
      </c>
      <c r="CA18" s="2" t="s">
        <v>1447</v>
      </c>
      <c r="CB18" s="2" t="s">
        <v>80</v>
      </c>
      <c r="CC18" s="2" t="s">
        <v>1448</v>
      </c>
      <c r="CD18" s="2" t="s">
        <v>95</v>
      </c>
      <c r="CE18" s="2" t="s">
        <v>402</v>
      </c>
    </row>
    <row r="19" spans="1:83" x14ac:dyDescent="0.2">
      <c r="A19" s="41" t="s">
        <v>715</v>
      </c>
      <c r="B19" s="41" t="s">
        <v>1449</v>
      </c>
      <c r="C19" s="2" t="s">
        <v>716</v>
      </c>
      <c r="D19" s="2">
        <v>731100</v>
      </c>
      <c r="E19" s="2" t="s">
        <v>508</v>
      </c>
      <c r="F19" s="2"/>
      <c r="G19" s="2"/>
      <c r="H19" s="2"/>
      <c r="I19" s="2"/>
      <c r="J19" s="2">
        <v>304754709</v>
      </c>
      <c r="K19" s="2" t="s">
        <v>717</v>
      </c>
      <c r="L19" s="2" t="s">
        <v>1450</v>
      </c>
      <c r="M19" s="2" t="s">
        <v>719</v>
      </c>
      <c r="N19" s="2" t="s">
        <v>171</v>
      </c>
      <c r="O19" s="2" t="s">
        <v>720</v>
      </c>
      <c r="P19" s="2" t="s">
        <v>721</v>
      </c>
      <c r="Q19" s="2"/>
      <c r="R19" s="2" t="s">
        <v>588</v>
      </c>
      <c r="S19" s="2" t="s">
        <v>705</v>
      </c>
      <c r="T19" s="3">
        <v>0.5</v>
      </c>
      <c r="U19" s="2" t="s">
        <v>515</v>
      </c>
      <c r="V19" s="3">
        <v>0.33333333333333331</v>
      </c>
      <c r="W19" s="2" t="s">
        <v>605</v>
      </c>
      <c r="X19" s="3">
        <v>0.25</v>
      </c>
      <c r="Y19" s="2" t="s">
        <v>220</v>
      </c>
      <c r="Z19" s="3">
        <v>0.2</v>
      </c>
      <c r="AA19" s="2" t="s">
        <v>220</v>
      </c>
      <c r="AB19" s="3">
        <v>0</v>
      </c>
      <c r="AC19" s="2">
        <v>13</v>
      </c>
      <c r="AD19" s="2" t="s">
        <v>722</v>
      </c>
      <c r="AE19" s="2">
        <f>_20250609_reklama_data[[#This Row],[Atlyginimų vidurkis 2019]]*_20250609_reklama_data[[#This Row],[Darbuotojai 2019]]*12</f>
        <v>39600</v>
      </c>
      <c r="AF19" s="2">
        <f>(_20250609_reklama_data[[#This Row],[Apyvarta 2019]]-_20250609_reklama_data[[#This Row],[Atlyginimų sąnaudos 2019]])/_20250609_reklama_data[[#This Row],[Darbuotojai 2019]]</f>
        <v>9227</v>
      </c>
      <c r="AG19" s="2" t="s">
        <v>723</v>
      </c>
      <c r="AH19" s="2">
        <f>_20250609_reklama_data[[#This Row],[Atlyginimų vidurkis 2020]]*_20250609_reklama_data[[#This Row],[Darbuotojai 2020]]*12</f>
        <v>65880</v>
      </c>
      <c r="AI19" s="2">
        <f>(_20250609_reklama_data[[#This Row],[Apyvarta 2020]]-_20250609_reklama_data[[#This Row],[Atlyginimų sąnaudos 2020]])/_20250609_reklama_data[[#This Row],[Darbuotojai 2020]]</f>
        <v>7561.5</v>
      </c>
      <c r="AJ19" s="3">
        <v>0.10909090909090909</v>
      </c>
      <c r="AK19" s="2" t="s">
        <v>724</v>
      </c>
      <c r="AL19" s="2">
        <f>_20250609_reklama_data[[#This Row],[Atlyginimų vidurkis 2021]]*_20250609_reklama_data[[#This Row],[Darbuotojai 2021]]*12</f>
        <v>109824</v>
      </c>
      <c r="AM19" s="2">
        <f>(_20250609_reklama_data[[#This Row],[Apyvarta 2021]]-_20250609_reklama_data[[#This Row],[Atlyginimų sąnaudos 2021]])/_20250609_reklama_data[[#This Row],[Darbuotojai 2021]]</f>
        <v>11992.75</v>
      </c>
      <c r="AN19" s="3">
        <v>0.25027322404371583</v>
      </c>
      <c r="AO19" s="2" t="s">
        <v>725</v>
      </c>
      <c r="AP19" s="2">
        <f>_20250609_reklama_data[[#This Row],[Atlyginimų vidurkis 2022]]*_20250609_reklama_data[[#This Row],[Darbuotojai 2022]]*12</f>
        <v>169800</v>
      </c>
      <c r="AQ19" s="2">
        <f>(_20250609_reklama_data[[#This Row],[Apyvarta 2022]]-_20250609_reklama_data[[#This Row],[Atlyginimų sąnaudos 2022]])/_20250609_reklama_data[[#This Row],[Darbuotojai 2022]]</f>
        <v>20047.599999999999</v>
      </c>
      <c r="AR19" s="3">
        <v>0.2368881118881119</v>
      </c>
      <c r="AS19" s="2" t="s">
        <v>726</v>
      </c>
      <c r="AT19" s="2">
        <f>_20250609_reklama_data[[#This Row],[Atlyginimų vidurkis 2023]]*_20250609_reklama_data[[#This Row],[Darbuotojai 2023]]*12</f>
        <v>278352</v>
      </c>
      <c r="AU19" s="2">
        <f>(_20250609_reklama_data[[#This Row],[Apyvarta 2023]]-_20250609_reklama_data[[#This Row],[Atlyginimų sąnaudos 2023]])/_20250609_reklama_data[[#This Row],[Darbuotojai 2023]]</f>
        <v>21365.333333333332</v>
      </c>
      <c r="AV19" s="3">
        <v>0.36607773851590109</v>
      </c>
      <c r="AW19" s="2" t="s">
        <v>727</v>
      </c>
      <c r="AX19" s="2">
        <f>_20250609_reklama_data[[#This Row],[Atlyginimų vidurkis 2024]]*_20250609_reklama_data[[#This Row],[Darbuotojai 2024]]*12</f>
        <v>292032</v>
      </c>
      <c r="AY19" s="2">
        <f>(_20250609_reklama_data[[#This Row],[Apyvarta 2024]]-_20250609_reklama_data[[#This Row],[Atlyginimų sąnaudos 2024]])/_20250609_reklama_data[[#This Row],[Darbuotojai 2024]]</f>
        <v>18500.666666666668</v>
      </c>
      <c r="AZ19" s="3">
        <v>4.914640455250905E-2</v>
      </c>
      <c r="BA19" s="2" t="s">
        <v>728</v>
      </c>
      <c r="BB19" s="2">
        <f>_20250609_reklama_data[[#This Row],[Atlyginimų vidurkis 2025 04]]*_20250609_reklama_data[[#This Row],[Darbuotojai 2025 06 09]]*5</f>
        <v>131612.65</v>
      </c>
      <c r="BC19" s="2" t="s">
        <v>80</v>
      </c>
      <c r="BD19" s="2">
        <v>76508</v>
      </c>
      <c r="BE19" s="2">
        <v>111249</v>
      </c>
      <c r="BF19" s="3">
        <v>0.45408323312594762</v>
      </c>
      <c r="BG19" s="2">
        <v>205766</v>
      </c>
      <c r="BH19" s="3">
        <v>0.84959864807773555</v>
      </c>
      <c r="BI19" s="2">
        <v>370276</v>
      </c>
      <c r="BJ19" s="3">
        <v>0.79950040337081929</v>
      </c>
      <c r="BK19" s="2">
        <v>534736</v>
      </c>
      <c r="BL19" s="3">
        <v>0.44415517073750393</v>
      </c>
      <c r="BM19" s="2">
        <v>514040</v>
      </c>
      <c r="BN19" s="3">
        <v>-3.87032105562371E-2</v>
      </c>
      <c r="BO19" s="2">
        <v>-2709</v>
      </c>
      <c r="BP19" s="2">
        <v>0</v>
      </c>
      <c r="BQ19" s="3">
        <v>1</v>
      </c>
      <c r="BR19" s="2">
        <v>2662</v>
      </c>
      <c r="BS19" s="2" t="s">
        <v>590</v>
      </c>
      <c r="BT19" s="2">
        <v>13356</v>
      </c>
      <c r="BU19" s="3">
        <v>4.0172802404207362</v>
      </c>
      <c r="BV19" s="2">
        <v>51317</v>
      </c>
      <c r="BW19" s="3">
        <v>2.8422431865828091</v>
      </c>
      <c r="BX19" s="2">
        <v>17322</v>
      </c>
      <c r="BY19" s="3">
        <v>-0.66245103961650131</v>
      </c>
      <c r="BZ19" s="2" t="s">
        <v>730</v>
      </c>
      <c r="CA19" s="2" t="s">
        <v>731</v>
      </c>
      <c r="CB19" s="2" t="s">
        <v>1451</v>
      </c>
      <c r="CC19" s="2" t="s">
        <v>732</v>
      </c>
      <c r="CD19" s="2" t="s">
        <v>95</v>
      </c>
      <c r="CE19" s="2" t="s">
        <v>733</v>
      </c>
    </row>
    <row r="20" spans="1:83" x14ac:dyDescent="0.2">
      <c r="A20" s="42" t="s">
        <v>1452</v>
      </c>
      <c r="B20" s="41" t="s">
        <v>1453</v>
      </c>
      <c r="C20" s="2"/>
      <c r="D20" s="2"/>
      <c r="E20" s="2"/>
      <c r="F20" s="2"/>
      <c r="G20" s="2"/>
      <c r="H20" s="2"/>
      <c r="I20" s="2"/>
      <c r="J20" s="2">
        <v>301732159</v>
      </c>
      <c r="K20" s="2" t="s">
        <v>1180</v>
      </c>
      <c r="L20" s="2" t="s">
        <v>1178</v>
      </c>
      <c r="M20" s="2" t="s">
        <v>1181</v>
      </c>
      <c r="N20" s="2" t="s">
        <v>77</v>
      </c>
      <c r="O20" s="2" t="s">
        <v>1182</v>
      </c>
      <c r="P20" s="2"/>
      <c r="Q20" s="2">
        <v>37069910586</v>
      </c>
      <c r="R20" s="2">
        <v>6</v>
      </c>
      <c r="S20" s="2">
        <v>5</v>
      </c>
      <c r="T20" s="2">
        <v>-0.17</v>
      </c>
      <c r="U20" s="2">
        <v>5</v>
      </c>
      <c r="V20" s="2">
        <v>0</v>
      </c>
      <c r="W20" s="2">
        <v>5</v>
      </c>
      <c r="X20" s="2">
        <v>0</v>
      </c>
      <c r="Y20" s="2">
        <v>5</v>
      </c>
      <c r="Z20" s="2">
        <v>0</v>
      </c>
      <c r="AA20" s="2">
        <v>5</v>
      </c>
      <c r="AB20" s="2">
        <v>0</v>
      </c>
      <c r="AC20" s="2">
        <v>5</v>
      </c>
      <c r="AD20" s="2">
        <v>1883</v>
      </c>
      <c r="AE20" s="2">
        <v>11298</v>
      </c>
      <c r="AF20" s="2">
        <v>805337</v>
      </c>
      <c r="AG20" s="2">
        <v>1962</v>
      </c>
      <c r="AH20" s="2">
        <v>9810</v>
      </c>
      <c r="AI20" s="2">
        <v>985873</v>
      </c>
      <c r="AJ20" s="2">
        <v>0.04</v>
      </c>
      <c r="AK20" s="2">
        <v>1999</v>
      </c>
      <c r="AL20" s="2">
        <v>9995</v>
      </c>
      <c r="AM20" s="2">
        <v>817920.2</v>
      </c>
      <c r="AN20" s="2">
        <v>0.02</v>
      </c>
      <c r="AO20" s="2">
        <v>2050</v>
      </c>
      <c r="AP20" s="2">
        <v>10250</v>
      </c>
      <c r="AQ20" s="2">
        <v>666922.80000000005</v>
      </c>
      <c r="AR20" s="2">
        <v>0.03</v>
      </c>
      <c r="AS20" s="2">
        <v>2129</v>
      </c>
      <c r="AT20" s="2">
        <v>10645</v>
      </c>
      <c r="AU20" s="2">
        <v>205342.2</v>
      </c>
      <c r="AV20" s="2">
        <v>0.04</v>
      </c>
      <c r="AW20" s="2">
        <v>2183</v>
      </c>
      <c r="AX20" s="2">
        <v>10915</v>
      </c>
      <c r="AY20" s="2">
        <v>1311084.3999999999</v>
      </c>
      <c r="AZ20" s="2">
        <v>0.03</v>
      </c>
      <c r="BA20" s="2">
        <v>2462</v>
      </c>
      <c r="BB20" s="2">
        <v>12310</v>
      </c>
      <c r="BC20" s="2"/>
      <c r="BD20" s="2">
        <v>4843320</v>
      </c>
      <c r="BE20" s="2">
        <v>4939175</v>
      </c>
      <c r="BF20" s="2">
        <v>0.02</v>
      </c>
      <c r="BG20" s="2">
        <v>4099596</v>
      </c>
      <c r="BH20" s="2">
        <v>-0.17</v>
      </c>
      <c r="BI20" s="2">
        <v>3344864</v>
      </c>
      <c r="BJ20" s="2">
        <v>-0.18</v>
      </c>
      <c r="BK20" s="2">
        <v>1037356</v>
      </c>
      <c r="BL20" s="2">
        <v>-0.69</v>
      </c>
      <c r="BM20" s="2">
        <v>6566337</v>
      </c>
      <c r="BN20" s="2">
        <v>5.33</v>
      </c>
      <c r="BO20" s="2">
        <v>451672</v>
      </c>
      <c r="BP20" s="2">
        <v>212424</v>
      </c>
      <c r="BQ20" s="2">
        <v>-0.53</v>
      </c>
      <c r="BR20" s="2">
        <v>179729</v>
      </c>
      <c r="BS20" s="2">
        <v>-0.15</v>
      </c>
      <c r="BT20" s="2">
        <v>45750</v>
      </c>
      <c r="BU20" s="2">
        <v>-0.75</v>
      </c>
      <c r="BV20" s="2">
        <v>-167494</v>
      </c>
      <c r="BW20" s="2">
        <v>-4.66</v>
      </c>
      <c r="BX20" s="2">
        <v>364854</v>
      </c>
      <c r="BY20" s="2">
        <v>3.18</v>
      </c>
      <c r="BZ20" s="2" t="s">
        <v>1183</v>
      </c>
      <c r="CA20" s="2"/>
      <c r="CB20" s="2"/>
      <c r="CC20" s="2"/>
      <c r="CD20" s="2" t="s">
        <v>95</v>
      </c>
      <c r="CE20" s="2" t="s">
        <v>1137</v>
      </c>
    </row>
    <row r="21" spans="1:83" ht="32" x14ac:dyDescent="0.2">
      <c r="A21" s="42" t="s">
        <v>1233</v>
      </c>
      <c r="B21" s="41" t="s">
        <v>1454</v>
      </c>
      <c r="C21" s="2"/>
      <c r="D21" s="2"/>
      <c r="E21" s="2"/>
      <c r="F21" s="2"/>
      <c r="G21" s="2"/>
      <c r="H21" s="2"/>
      <c r="I21" s="2"/>
      <c r="J21" s="2">
        <v>302651984</v>
      </c>
      <c r="K21" s="2" t="s">
        <v>1235</v>
      </c>
      <c r="L21" s="2" t="s">
        <v>1233</v>
      </c>
      <c r="M21" s="2" t="s">
        <v>1236</v>
      </c>
      <c r="N21" s="2" t="s">
        <v>77</v>
      </c>
      <c r="O21" s="2" t="s">
        <v>1237</v>
      </c>
      <c r="P21" s="2"/>
      <c r="Q21" s="2">
        <v>37065233352</v>
      </c>
      <c r="R21" s="2">
        <v>8</v>
      </c>
      <c r="S21" s="2">
        <v>10</v>
      </c>
      <c r="T21" s="2">
        <v>0.25</v>
      </c>
      <c r="U21" s="2">
        <v>10</v>
      </c>
      <c r="V21" s="2">
        <v>0</v>
      </c>
      <c r="W21" s="2">
        <v>10</v>
      </c>
      <c r="X21" s="2">
        <v>0</v>
      </c>
      <c r="Y21" s="2">
        <v>9</v>
      </c>
      <c r="Z21" s="2">
        <v>-0.1</v>
      </c>
      <c r="AA21" s="2">
        <v>9</v>
      </c>
      <c r="AB21" s="2">
        <v>0</v>
      </c>
      <c r="AC21" s="2">
        <v>8</v>
      </c>
      <c r="AD21" s="2">
        <v>1232</v>
      </c>
      <c r="AE21" s="2">
        <v>9856</v>
      </c>
      <c r="AF21" s="2">
        <v>34902.25</v>
      </c>
      <c r="AG21" s="2">
        <v>1483</v>
      </c>
      <c r="AH21" s="2">
        <v>14830</v>
      </c>
      <c r="AI21" s="2">
        <v>31209.200000000001</v>
      </c>
      <c r="AJ21" s="2">
        <v>0.2</v>
      </c>
      <c r="AK21" s="2">
        <v>1725</v>
      </c>
      <c r="AL21" s="2">
        <v>17250</v>
      </c>
      <c r="AM21" s="2">
        <v>40519.9</v>
      </c>
      <c r="AN21" s="2">
        <v>0.16</v>
      </c>
      <c r="AO21" s="2">
        <v>1968</v>
      </c>
      <c r="AP21" s="2">
        <v>19680</v>
      </c>
      <c r="AQ21" s="2">
        <v>54960.800000000003</v>
      </c>
      <c r="AR21" s="2">
        <v>0.14000000000000001</v>
      </c>
      <c r="AS21" s="2">
        <v>2187</v>
      </c>
      <c r="AT21" s="2">
        <v>19683</v>
      </c>
      <c r="AU21" s="2">
        <v>58498.444439999999</v>
      </c>
      <c r="AV21" s="2">
        <v>0.11</v>
      </c>
      <c r="AW21" s="2">
        <v>2149</v>
      </c>
      <c r="AX21" s="2">
        <v>19341</v>
      </c>
      <c r="AY21" s="2">
        <v>57020.333330000001</v>
      </c>
      <c r="AZ21" s="2">
        <v>-0.02</v>
      </c>
      <c r="BA21" s="2">
        <v>2192</v>
      </c>
      <c r="BB21" s="2">
        <v>17536</v>
      </c>
      <c r="BC21" s="2"/>
      <c r="BD21" s="2">
        <v>289074</v>
      </c>
      <c r="BE21" s="2">
        <v>326922</v>
      </c>
      <c r="BF21" s="2">
        <v>0.13</v>
      </c>
      <c r="BG21" s="2">
        <v>422449</v>
      </c>
      <c r="BH21" s="2">
        <v>0.28999999999999998</v>
      </c>
      <c r="BI21" s="2">
        <v>569288</v>
      </c>
      <c r="BJ21" s="2">
        <v>0.35</v>
      </c>
      <c r="BK21" s="2">
        <v>546169</v>
      </c>
      <c r="BL21" s="2">
        <v>-0.04</v>
      </c>
      <c r="BM21" s="2">
        <v>532524</v>
      </c>
      <c r="BN21" s="2">
        <v>-0.02</v>
      </c>
      <c r="BO21" s="2">
        <v>48872</v>
      </c>
      <c r="BP21" s="2">
        <v>50256</v>
      </c>
      <c r="BQ21" s="2">
        <v>0.03</v>
      </c>
      <c r="BR21" s="2">
        <v>66118</v>
      </c>
      <c r="BS21" s="2">
        <v>0.32</v>
      </c>
      <c r="BT21" s="2">
        <v>4081</v>
      </c>
      <c r="BU21" s="2">
        <v>-0.94</v>
      </c>
      <c r="BV21" s="2">
        <v>30482</v>
      </c>
      <c r="BW21" s="2">
        <v>6.47</v>
      </c>
      <c r="BX21" s="2">
        <v>19852</v>
      </c>
      <c r="BY21" s="2">
        <v>-0.35</v>
      </c>
      <c r="BZ21" s="2" t="s">
        <v>1238</v>
      </c>
      <c r="CA21" s="2" t="s">
        <v>1239</v>
      </c>
      <c r="CB21" s="43" t="s">
        <v>1240</v>
      </c>
      <c r="CC21" s="2" t="s">
        <v>1241</v>
      </c>
      <c r="CD21" s="2" t="s">
        <v>95</v>
      </c>
      <c r="CE21" s="2" t="s">
        <v>1137</v>
      </c>
    </row>
    <row r="22" spans="1:83" x14ac:dyDescent="0.2">
      <c r="A22" s="41" t="s">
        <v>71</v>
      </c>
      <c r="B22" s="41" t="s">
        <v>1455</v>
      </c>
      <c r="C22" s="2" t="s">
        <v>72</v>
      </c>
      <c r="D22" s="2">
        <v>731100</v>
      </c>
      <c r="E22" s="2" t="s">
        <v>73</v>
      </c>
      <c r="F22" s="2"/>
      <c r="G22" s="2"/>
      <c r="H22" s="2"/>
      <c r="I22" s="2"/>
      <c r="J22" s="2">
        <v>124216438</v>
      </c>
      <c r="K22" s="2" t="s">
        <v>74</v>
      </c>
      <c r="L22" s="2" t="s">
        <v>71</v>
      </c>
      <c r="M22" s="2" t="s">
        <v>76</v>
      </c>
      <c r="N22" s="2" t="s">
        <v>77</v>
      </c>
      <c r="O22" s="2" t="s">
        <v>78</v>
      </c>
      <c r="P22" s="2" t="s">
        <v>79</v>
      </c>
      <c r="Q22" s="2"/>
      <c r="R22" s="2" t="s">
        <v>81</v>
      </c>
      <c r="S22" s="2" t="s">
        <v>81</v>
      </c>
      <c r="T22" s="3">
        <v>0</v>
      </c>
      <c r="U22" s="2" t="s">
        <v>82</v>
      </c>
      <c r="V22" s="3">
        <v>5.5555555555555552E-2</v>
      </c>
      <c r="W22" s="2" t="s">
        <v>83</v>
      </c>
      <c r="X22" s="3">
        <v>2.3157894736842106</v>
      </c>
      <c r="Y22" s="2" t="s">
        <v>84</v>
      </c>
      <c r="Z22" s="3">
        <v>7.9365079365079361E-2</v>
      </c>
      <c r="AA22" s="2" t="s">
        <v>83</v>
      </c>
      <c r="AB22" s="3">
        <v>-7.3529411764705885E-2</v>
      </c>
      <c r="AC22" s="2">
        <v>53</v>
      </c>
      <c r="AD22" s="2" t="s">
        <v>85</v>
      </c>
      <c r="AE22" s="2">
        <f>_20250609_reklama_data[[#This Row],[Atlyginimų vidurkis 2019]]*_20250609_reklama_data[[#This Row],[Darbuotojai 2019]]*12</f>
        <v>695520</v>
      </c>
      <c r="AF22" s="2">
        <f>(_20250609_reklama_data[[#This Row],[Apyvarta 2019]]-_20250609_reklama_data[[#This Row],[Atlyginimų sąnaudos 2019]])/_20250609_reklama_data[[#This Row],[Darbuotojai 2019]]</f>
        <v>455654.55555555556</v>
      </c>
      <c r="AG22" s="2" t="s">
        <v>86</v>
      </c>
      <c r="AH22" s="2">
        <f>_20250609_reklama_data[[#This Row],[Atlyginimų vidurkis 2020]]*_20250609_reklama_data[[#This Row],[Darbuotojai 2020]]*12</f>
        <v>723168</v>
      </c>
      <c r="AI22" s="2">
        <f>(_20250609_reklama_data[[#This Row],[Apyvarta 2020]]-_20250609_reklama_data[[#This Row],[Atlyginimų sąnaudos 2020]])/_20250609_reklama_data[[#This Row],[Darbuotojai 2020]]</f>
        <v>451348.11111111112</v>
      </c>
      <c r="AJ22" s="3">
        <v>3.9751552795031057E-2</v>
      </c>
      <c r="AK22" s="2" t="s">
        <v>87</v>
      </c>
      <c r="AL22" s="2">
        <f>_20250609_reklama_data[[#This Row],[Atlyginimų vidurkis 2021]]*_20250609_reklama_data[[#This Row],[Darbuotojai 2021]]*12</f>
        <v>765396</v>
      </c>
      <c r="AM22" s="2">
        <f>(_20250609_reklama_data[[#This Row],[Apyvarta 2021]]-_20250609_reklama_data[[#This Row],[Atlyginimų sąnaudos 2021]])/_20250609_reklama_data[[#This Row],[Darbuotojai 2021]]</f>
        <v>419226</v>
      </c>
      <c r="AN22" s="3">
        <v>2.6881720430107529E-3</v>
      </c>
      <c r="AO22" s="2" t="s">
        <v>88</v>
      </c>
      <c r="AP22" s="2">
        <f>_20250609_reklama_data[[#This Row],[Atlyginimų vidurkis 2022]]*_20250609_reklama_data[[#This Row],[Darbuotojai 2022]]*12</f>
        <v>2352672</v>
      </c>
      <c r="AQ22" s="2">
        <f>(_20250609_reklama_data[[#This Row],[Apyvarta 2022]]-_20250609_reklama_data[[#This Row],[Atlyginimų sąnaudos 2022]])/_20250609_reklama_data[[#This Row],[Darbuotojai 2022]]</f>
        <v>425815.92063492065</v>
      </c>
      <c r="AR22" s="3">
        <v>-7.298182901400059E-2</v>
      </c>
      <c r="AS22" s="2" t="s">
        <v>89</v>
      </c>
      <c r="AT22" s="2">
        <f>_20250609_reklama_data[[#This Row],[Atlyginimų vidurkis 2023]]*_20250609_reklama_data[[#This Row],[Darbuotojai 2023]]*12</f>
        <v>2771952</v>
      </c>
      <c r="AU22" s="2">
        <f>(_20250609_reklama_data[[#This Row],[Apyvarta 2023]]-_20250609_reklama_data[[#This Row],[Atlyginimų sąnaudos 2023]])/_20250609_reklama_data[[#This Row],[Darbuotojai 2023]]</f>
        <v>422259.0294117647</v>
      </c>
      <c r="AV22" s="3">
        <v>9.1580976863753216E-2</v>
      </c>
      <c r="AW22" s="2" t="s">
        <v>90</v>
      </c>
      <c r="AX22" s="2">
        <f>_20250609_reklama_data[[#This Row],[Atlyginimų vidurkis 2024]]*_20250609_reklama_data[[#This Row],[Darbuotojai 2024]]*12</f>
        <v>2805516</v>
      </c>
      <c r="AY22" s="2">
        <f>(_20250609_reklama_data[[#This Row],[Apyvarta 2024]]-_20250609_reklama_data[[#This Row],[Atlyginimų sąnaudos 2024]])/_20250609_reklama_data[[#This Row],[Darbuotojai 2024]]</f>
        <v>537036.42857142852</v>
      </c>
      <c r="AZ22" s="3">
        <v>9.2434501030320873E-2</v>
      </c>
      <c r="BA22" s="2" t="s">
        <v>91</v>
      </c>
      <c r="BB22" s="2">
        <f>_20250609_reklama_data[[#This Row],[Atlyginimų vidurkis 2025 04]]*_20250609_reklama_data[[#This Row],[Darbuotojai 2025 06 09]]*5</f>
        <v>986701</v>
      </c>
      <c r="BC22" s="2" t="s">
        <v>80</v>
      </c>
      <c r="BD22" s="2">
        <v>8897302</v>
      </c>
      <c r="BE22" s="2">
        <v>8847434</v>
      </c>
      <c r="BF22" s="3">
        <v>-5.604845154182695E-3</v>
      </c>
      <c r="BG22" s="2">
        <v>8730690</v>
      </c>
      <c r="BH22" s="3">
        <v>-1.3195238302992709E-2</v>
      </c>
      <c r="BI22" s="2">
        <v>29179075</v>
      </c>
      <c r="BJ22" s="3">
        <v>2.3421270254699227</v>
      </c>
      <c r="BK22" s="2">
        <v>31485566</v>
      </c>
      <c r="BL22" s="3">
        <v>7.9046062974922948E-2</v>
      </c>
      <c r="BM22" s="2">
        <v>36638811</v>
      </c>
      <c r="BN22" s="3">
        <v>0.16367007663130465</v>
      </c>
      <c r="BO22" s="2">
        <v>160646</v>
      </c>
      <c r="BP22" s="2">
        <v>246272</v>
      </c>
      <c r="BQ22" s="3">
        <v>0.53301047022646064</v>
      </c>
      <c r="BR22" s="2">
        <v>111387</v>
      </c>
      <c r="BS22" s="3">
        <v>-0.54770741294178793</v>
      </c>
      <c r="BT22" s="2">
        <v>395590</v>
      </c>
      <c r="BU22" s="3">
        <v>2.55149164624238</v>
      </c>
      <c r="BV22" s="2">
        <v>504281</v>
      </c>
      <c r="BW22" s="3">
        <v>0.27475669253520058</v>
      </c>
      <c r="BX22" s="2">
        <v>1889619</v>
      </c>
      <c r="BY22" s="3">
        <v>2.7471548600879272</v>
      </c>
      <c r="BZ22" s="2" t="s">
        <v>93</v>
      </c>
      <c r="CA22" s="4" t="s">
        <v>94</v>
      </c>
      <c r="CB22" s="2" t="s">
        <v>80</v>
      </c>
      <c r="CC22" s="4" t="s">
        <v>1456</v>
      </c>
      <c r="CD22" s="2" t="s">
        <v>95</v>
      </c>
      <c r="CE22" s="2" t="s">
        <v>96</v>
      </c>
    </row>
    <row r="23" spans="1:83" ht="32" x14ac:dyDescent="0.2">
      <c r="A23" s="42" t="s">
        <v>1457</v>
      </c>
      <c r="B23" s="41" t="s">
        <v>1458</v>
      </c>
      <c r="C23" s="2"/>
      <c r="D23" s="2"/>
      <c r="E23" s="2"/>
      <c r="F23" s="2"/>
      <c r="G23" s="2"/>
      <c r="H23" s="2"/>
      <c r="I23" s="2"/>
      <c r="J23" s="2">
        <v>302653711</v>
      </c>
      <c r="K23" s="2" t="s">
        <v>1254</v>
      </c>
      <c r="L23" s="2" t="s">
        <v>1252</v>
      </c>
      <c r="M23" s="2" t="s">
        <v>1255</v>
      </c>
      <c r="N23" s="2" t="s">
        <v>77</v>
      </c>
      <c r="O23" s="2" t="s">
        <v>1256</v>
      </c>
      <c r="P23" s="2"/>
      <c r="Q23" s="2">
        <v>37061830773</v>
      </c>
      <c r="R23" s="2">
        <v>14</v>
      </c>
      <c r="S23" s="2">
        <v>14</v>
      </c>
      <c r="T23" s="2">
        <v>0</v>
      </c>
      <c r="U23" s="2">
        <v>15</v>
      </c>
      <c r="V23" s="2">
        <v>7.0000000000000007E-2</v>
      </c>
      <c r="W23" s="2">
        <v>21</v>
      </c>
      <c r="X23" s="2">
        <v>0.4</v>
      </c>
      <c r="Y23" s="2">
        <v>25</v>
      </c>
      <c r="Z23" s="2">
        <v>0.19</v>
      </c>
      <c r="AA23" s="2">
        <v>23</v>
      </c>
      <c r="AB23" s="2">
        <v>-0.08</v>
      </c>
      <c r="AC23" s="2">
        <v>21</v>
      </c>
      <c r="AD23" s="2">
        <v>1748</v>
      </c>
      <c r="AE23" s="2">
        <v>24472</v>
      </c>
      <c r="AF23" s="2">
        <v>292985.71429999999</v>
      </c>
      <c r="AG23" s="2">
        <v>2064</v>
      </c>
      <c r="AH23" s="2">
        <v>28896</v>
      </c>
      <c r="AI23" s="2">
        <v>311684.92859999998</v>
      </c>
      <c r="AJ23" s="2">
        <v>0.18</v>
      </c>
      <c r="AK23" s="2">
        <v>2302</v>
      </c>
      <c r="AL23" s="2">
        <v>34530</v>
      </c>
      <c r="AM23" s="2">
        <v>325384.3333</v>
      </c>
      <c r="AN23" s="2">
        <v>0.12</v>
      </c>
      <c r="AO23" s="2">
        <v>2523</v>
      </c>
      <c r="AP23" s="2">
        <v>52983</v>
      </c>
      <c r="AQ23" s="2">
        <v>360254.6667</v>
      </c>
      <c r="AR23" s="2">
        <v>0.1</v>
      </c>
      <c r="AS23" s="2">
        <v>2684</v>
      </c>
      <c r="AT23" s="2">
        <v>67100</v>
      </c>
      <c r="AU23" s="2">
        <v>197485.76</v>
      </c>
      <c r="AV23" s="2">
        <v>0.06</v>
      </c>
      <c r="AW23" s="2">
        <v>3002</v>
      </c>
      <c r="AX23" s="2">
        <v>69046</v>
      </c>
      <c r="AY23" s="2">
        <v>166278.52170000001</v>
      </c>
      <c r="AZ23" s="2">
        <v>0.12</v>
      </c>
      <c r="BA23" s="2">
        <v>3300</v>
      </c>
      <c r="BB23" s="2">
        <v>69300</v>
      </c>
      <c r="BC23" s="2"/>
      <c r="BD23" s="2">
        <v>4126272</v>
      </c>
      <c r="BE23" s="2">
        <v>4392485</v>
      </c>
      <c r="BF23" s="2">
        <v>0.06</v>
      </c>
      <c r="BG23" s="2">
        <v>4915295</v>
      </c>
      <c r="BH23" s="2">
        <v>0.12</v>
      </c>
      <c r="BI23" s="2">
        <v>7618331</v>
      </c>
      <c r="BJ23" s="2">
        <v>0.55000000000000004</v>
      </c>
      <c r="BK23" s="2">
        <v>5004244</v>
      </c>
      <c r="BL23" s="2">
        <v>-0.34</v>
      </c>
      <c r="BM23" s="2">
        <v>3893452</v>
      </c>
      <c r="BN23" s="2">
        <v>-0.22</v>
      </c>
      <c r="BO23" s="2">
        <v>227290</v>
      </c>
      <c r="BP23" s="2">
        <v>139097</v>
      </c>
      <c r="BQ23" s="2">
        <v>-0.39</v>
      </c>
      <c r="BR23" s="2">
        <v>173096</v>
      </c>
      <c r="BS23" s="2">
        <v>0.24</v>
      </c>
      <c r="BT23" s="2">
        <v>257944</v>
      </c>
      <c r="BU23" s="2">
        <v>0.49</v>
      </c>
      <c r="BV23" s="2">
        <v>73670</v>
      </c>
      <c r="BW23" s="2">
        <v>-0.71</v>
      </c>
      <c r="BX23" s="2">
        <v>-215562</v>
      </c>
      <c r="BY23" s="2">
        <v>-3.93</v>
      </c>
      <c r="BZ23" s="2" t="s">
        <v>1257</v>
      </c>
      <c r="CA23" s="2" t="s">
        <v>1258</v>
      </c>
      <c r="CB23" s="43" t="s">
        <v>1259</v>
      </c>
      <c r="CC23" s="2" t="s">
        <v>1260</v>
      </c>
      <c r="CD23" s="2" t="s">
        <v>647</v>
      </c>
      <c r="CE23" s="2" t="s">
        <v>1137</v>
      </c>
    </row>
    <row r="24" spans="1:83" x14ac:dyDescent="0.2">
      <c r="A24" s="41" t="s">
        <v>941</v>
      </c>
      <c r="B24" s="41" t="s">
        <v>1459</v>
      </c>
      <c r="C24" s="2" t="s">
        <v>942</v>
      </c>
      <c r="D24" s="2">
        <v>731100</v>
      </c>
      <c r="E24" s="2" t="s">
        <v>508</v>
      </c>
      <c r="F24" s="2"/>
      <c r="G24" s="2"/>
      <c r="H24" s="2"/>
      <c r="I24" s="2"/>
      <c r="J24" s="2">
        <v>306279691</v>
      </c>
      <c r="K24" s="2" t="s">
        <v>80</v>
      </c>
      <c r="L24" s="2" t="s">
        <v>1460</v>
      </c>
      <c r="M24" s="2" t="s">
        <v>944</v>
      </c>
      <c r="N24" s="2" t="s">
        <v>77</v>
      </c>
      <c r="O24" s="2" t="s">
        <v>945</v>
      </c>
      <c r="P24" s="2" t="s">
        <v>80</v>
      </c>
      <c r="Q24" s="2">
        <v>37063372962</v>
      </c>
      <c r="R24" s="2" t="s">
        <v>590</v>
      </c>
      <c r="S24" s="2" t="s">
        <v>590</v>
      </c>
      <c r="T24" s="2" t="s">
        <v>590</v>
      </c>
      <c r="U24" s="2" t="s">
        <v>590</v>
      </c>
      <c r="V24" s="2" t="s">
        <v>590</v>
      </c>
      <c r="W24" s="2" t="s">
        <v>590</v>
      </c>
      <c r="X24" s="2" t="s">
        <v>590</v>
      </c>
      <c r="Y24" s="2" t="s">
        <v>590</v>
      </c>
      <c r="Z24" s="2" t="s">
        <v>590</v>
      </c>
      <c r="AA24" s="2" t="s">
        <v>590</v>
      </c>
      <c r="AB24" s="2" t="s">
        <v>590</v>
      </c>
      <c r="AC24" s="2"/>
      <c r="AD24" s="2" t="s">
        <v>590</v>
      </c>
      <c r="AE24" s="2" t="s">
        <v>590</v>
      </c>
      <c r="AF24" s="2" t="s">
        <v>590</v>
      </c>
      <c r="AG24" s="2" t="s">
        <v>590</v>
      </c>
      <c r="AH24" s="2" t="s">
        <v>590</v>
      </c>
      <c r="AI24" s="2" t="s">
        <v>590</v>
      </c>
      <c r="AJ24" s="2" t="s">
        <v>590</v>
      </c>
      <c r="AK24" s="2" t="s">
        <v>590</v>
      </c>
      <c r="AL24" s="2" t="s">
        <v>590</v>
      </c>
      <c r="AM24" s="2" t="s">
        <v>590</v>
      </c>
      <c r="AN24" s="2" t="s">
        <v>590</v>
      </c>
      <c r="AO24" s="2" t="s">
        <v>590</v>
      </c>
      <c r="AP24" s="2" t="s">
        <v>590</v>
      </c>
      <c r="AQ24" s="2" t="s">
        <v>590</v>
      </c>
      <c r="AR24" s="2" t="s">
        <v>590</v>
      </c>
      <c r="AS24" s="2" t="s">
        <v>590</v>
      </c>
      <c r="AT24" s="2" t="s">
        <v>590</v>
      </c>
      <c r="AU24" s="2" t="s">
        <v>590</v>
      </c>
      <c r="AV24" s="2" t="s">
        <v>590</v>
      </c>
      <c r="AW24" s="2" t="s">
        <v>590</v>
      </c>
      <c r="AX24" s="2" t="s">
        <v>590</v>
      </c>
      <c r="AY24" s="2" t="s">
        <v>590</v>
      </c>
      <c r="AZ24" s="2" t="s">
        <v>590</v>
      </c>
      <c r="BA24" s="2" t="s">
        <v>590</v>
      </c>
      <c r="BB24" s="2" t="s">
        <v>590</v>
      </c>
      <c r="BC24" s="2" t="s">
        <v>80</v>
      </c>
      <c r="BD24" s="2"/>
      <c r="BE24" s="2"/>
      <c r="BF24" s="2" t="s">
        <v>590</v>
      </c>
      <c r="BG24" s="2"/>
      <c r="BH24" s="2" t="s">
        <v>590</v>
      </c>
      <c r="BI24" s="2"/>
      <c r="BJ24" s="2" t="s">
        <v>590</v>
      </c>
      <c r="BK24" s="2">
        <v>9309</v>
      </c>
      <c r="BL24" s="2" t="s">
        <v>590</v>
      </c>
      <c r="BM24" s="2">
        <v>10169</v>
      </c>
      <c r="BN24" s="3">
        <v>9.2383714684713722E-2</v>
      </c>
      <c r="BO24" s="2"/>
      <c r="BP24" s="2"/>
      <c r="BQ24" s="2" t="s">
        <v>590</v>
      </c>
      <c r="BR24" s="2"/>
      <c r="BS24" s="2" t="s">
        <v>590</v>
      </c>
      <c r="BT24" s="2"/>
      <c r="BU24" s="2" t="s">
        <v>590</v>
      </c>
      <c r="BV24" s="2">
        <v>2289</v>
      </c>
      <c r="BW24" s="2" t="s">
        <v>590</v>
      </c>
      <c r="BX24" s="2">
        <v>-14089</v>
      </c>
      <c r="BY24" s="3">
        <v>-7.1550895587592835</v>
      </c>
      <c r="BZ24" s="2" t="s">
        <v>947</v>
      </c>
      <c r="CA24" s="2" t="s">
        <v>80</v>
      </c>
      <c r="CB24" s="2" t="s">
        <v>1461</v>
      </c>
      <c r="CC24" s="2" t="s">
        <v>1462</v>
      </c>
      <c r="CD24" s="2" t="s">
        <v>891</v>
      </c>
      <c r="CE24" s="2" t="s">
        <v>948</v>
      </c>
    </row>
    <row r="25" spans="1:83" x14ac:dyDescent="0.2">
      <c r="A25" s="41" t="s">
        <v>614</v>
      </c>
      <c r="B25" s="41" t="s">
        <v>1463</v>
      </c>
      <c r="C25" s="2" t="s">
        <v>1464</v>
      </c>
      <c r="D25" s="2">
        <v>731100</v>
      </c>
      <c r="E25" s="2"/>
      <c r="F25" s="2" t="s">
        <v>280</v>
      </c>
      <c r="G25" s="2"/>
      <c r="H25" s="2"/>
      <c r="I25" s="2"/>
      <c r="J25" s="2">
        <v>302535912</v>
      </c>
      <c r="K25" s="2" t="s">
        <v>615</v>
      </c>
      <c r="L25" s="2" t="s">
        <v>614</v>
      </c>
      <c r="M25" s="2" t="s">
        <v>617</v>
      </c>
      <c r="N25" s="2" t="s">
        <v>77</v>
      </c>
      <c r="O25" s="2" t="s">
        <v>618</v>
      </c>
      <c r="P25" s="2" t="s">
        <v>619</v>
      </c>
      <c r="Q25" s="2">
        <v>37069872889</v>
      </c>
      <c r="R25" s="2" t="s">
        <v>175</v>
      </c>
      <c r="S25" s="2" t="s">
        <v>81</v>
      </c>
      <c r="T25" s="3">
        <v>-0.1</v>
      </c>
      <c r="U25" s="2" t="s">
        <v>82</v>
      </c>
      <c r="V25" s="3">
        <v>5.5555555555555552E-2</v>
      </c>
      <c r="W25" s="2" t="s">
        <v>237</v>
      </c>
      <c r="X25" s="3">
        <v>0.15789473684210525</v>
      </c>
      <c r="Y25" s="2" t="s">
        <v>535</v>
      </c>
      <c r="Z25" s="3">
        <v>-0.31818181818181818</v>
      </c>
      <c r="AA25" s="2" t="s">
        <v>605</v>
      </c>
      <c r="AB25" s="3">
        <v>-0.33333333333333331</v>
      </c>
      <c r="AC25" s="2">
        <v>9</v>
      </c>
      <c r="AD25" s="2" t="s">
        <v>620</v>
      </c>
      <c r="AE25" s="2">
        <f>_20250609_reklama_data[[#This Row],[Atlyginimų vidurkis 2019]]*_20250609_reklama_data[[#This Row],[Darbuotojai 2019]]*12</f>
        <v>636960</v>
      </c>
      <c r="AF25" s="2">
        <f>(_20250609_reklama_data[[#This Row],[Apyvarta 2019]]-_20250609_reklama_data[[#This Row],[Atlyginimų sąnaudos 2019]])/_20250609_reklama_data[[#This Row],[Darbuotojai 2019]]</f>
        <v>56056.45</v>
      </c>
      <c r="AG25" s="2" t="s">
        <v>239</v>
      </c>
      <c r="AH25" s="2">
        <f>_20250609_reklama_data[[#This Row],[Atlyginimų vidurkis 2020]]*_20250609_reklama_data[[#This Row],[Darbuotojai 2020]]*12</f>
        <v>473904</v>
      </c>
      <c r="AI25" s="2">
        <f>(_20250609_reklama_data[[#This Row],[Apyvarta 2020]]-_20250609_reklama_data[[#This Row],[Atlyginimų sąnaudos 2020]])/_20250609_reklama_data[[#This Row],[Darbuotojai 2020]]</f>
        <v>28200.611111111109</v>
      </c>
      <c r="AJ25" s="3">
        <v>-0.17332328560663149</v>
      </c>
      <c r="AK25" s="2" t="s">
        <v>621</v>
      </c>
      <c r="AL25" s="2">
        <f>_20250609_reklama_data[[#This Row],[Atlyginimų vidurkis 2021]]*_20250609_reklama_data[[#This Row],[Darbuotojai 2021]]*12</f>
        <v>658464</v>
      </c>
      <c r="AM25" s="2">
        <f>(_20250609_reklama_data[[#This Row],[Apyvarta 2021]]-_20250609_reklama_data[[#This Row],[Atlyginimų sąnaudos 2021]])/_20250609_reklama_data[[#This Row],[Darbuotojai 2021]]</f>
        <v>48175.42105263158</v>
      </c>
      <c r="AN25" s="3">
        <v>0.31631722880583407</v>
      </c>
      <c r="AO25" s="2" t="s">
        <v>622</v>
      </c>
      <c r="AP25" s="2">
        <f>_20250609_reklama_data[[#This Row],[Atlyginimų vidurkis 2022]]*_20250609_reklama_data[[#This Row],[Darbuotojai 2022]]*12</f>
        <v>756624</v>
      </c>
      <c r="AQ25" s="2">
        <f>(_20250609_reklama_data[[#This Row],[Apyvarta 2022]]-_20250609_reklama_data[[#This Row],[Atlyginimų sąnaudos 2022]])/_20250609_reklama_data[[#This Row],[Darbuotojai 2022]]</f>
        <v>29300.727272727272</v>
      </c>
      <c r="AR25" s="3">
        <v>-7.6177285318559558E-3</v>
      </c>
      <c r="AS25" s="2" t="s">
        <v>623</v>
      </c>
      <c r="AT25" s="2">
        <f>_20250609_reklama_data[[#This Row],[Atlyginimų vidurkis 2023]]*_20250609_reklama_data[[#This Row],[Darbuotojai 2023]]*12</f>
        <v>585180</v>
      </c>
      <c r="AU25" s="2">
        <f>(_20250609_reklama_data[[#This Row],[Apyvarta 2023]]-_20250609_reklama_data[[#This Row],[Atlyginimų sąnaudos 2023]])/_20250609_reklama_data[[#This Row],[Darbuotojai 2023]]</f>
        <v>29253.599999999999</v>
      </c>
      <c r="AV25" s="3">
        <v>0.13433356594556875</v>
      </c>
      <c r="AW25" s="2" t="s">
        <v>624</v>
      </c>
      <c r="AX25" s="2">
        <f>_20250609_reklama_data[[#This Row],[Atlyginimų vidurkis 2024]]*_20250609_reklama_data[[#This Row],[Darbuotojai 2024]]*12</f>
        <v>417000</v>
      </c>
      <c r="AY25" s="2">
        <f>(_20250609_reklama_data[[#This Row],[Apyvarta 2024]]-_20250609_reklama_data[[#This Row],[Atlyginimų sąnaudos 2024]])/_20250609_reklama_data[[#This Row],[Darbuotojai 2024]]</f>
        <v>55380.9</v>
      </c>
      <c r="AZ25" s="3">
        <v>6.8901876345739771E-2</v>
      </c>
      <c r="BA25" s="2" t="s">
        <v>625</v>
      </c>
      <c r="BB25" s="2">
        <f>_20250609_reklama_data[[#This Row],[Atlyginimų vidurkis 2025 04]]*_20250609_reklama_data[[#This Row],[Darbuotojai 2025 06 09]]*5</f>
        <v>170158.50000000003</v>
      </c>
      <c r="BC25" s="2" t="s">
        <v>80</v>
      </c>
      <c r="BD25" s="2">
        <v>1758089</v>
      </c>
      <c r="BE25" s="2">
        <v>981515</v>
      </c>
      <c r="BF25" s="3">
        <v>-0.44171483923737648</v>
      </c>
      <c r="BG25" s="2">
        <v>1573797</v>
      </c>
      <c r="BH25" s="3">
        <v>0.60343652414889226</v>
      </c>
      <c r="BI25" s="2">
        <v>1401240</v>
      </c>
      <c r="BJ25" s="3">
        <v>-0.10964374693813751</v>
      </c>
      <c r="BK25" s="2">
        <v>1023984</v>
      </c>
      <c r="BL25" s="3">
        <v>-0.26923011047358053</v>
      </c>
      <c r="BM25" s="2">
        <v>970809</v>
      </c>
      <c r="BN25" s="3">
        <v>-5.1929522336286504E-2</v>
      </c>
      <c r="BO25" s="2">
        <v>2568</v>
      </c>
      <c r="BP25" s="2">
        <v>-60714</v>
      </c>
      <c r="BQ25" s="3">
        <v>-24.642523364485982</v>
      </c>
      <c r="BR25" s="2">
        <v>89068</v>
      </c>
      <c r="BS25" s="3">
        <v>2.4670092565141499</v>
      </c>
      <c r="BT25" s="2">
        <v>44835</v>
      </c>
      <c r="BU25" s="3">
        <v>-0.49662055957246148</v>
      </c>
      <c r="BV25" s="2">
        <v>-237451</v>
      </c>
      <c r="BW25" s="3">
        <v>-6.2961079513772722</v>
      </c>
      <c r="BX25" s="2">
        <v>45410</v>
      </c>
      <c r="BY25" s="3">
        <v>1.19123945571929</v>
      </c>
      <c r="BZ25" s="2" t="s">
        <v>627</v>
      </c>
      <c r="CA25" s="2" t="s">
        <v>1465</v>
      </c>
      <c r="CB25" s="2" t="s">
        <v>1466</v>
      </c>
      <c r="CC25" s="2" t="s">
        <v>80</v>
      </c>
      <c r="CD25" s="2" t="s">
        <v>628</v>
      </c>
      <c r="CE25" s="2" t="s">
        <v>629</v>
      </c>
    </row>
    <row r="26" spans="1:83" x14ac:dyDescent="0.2">
      <c r="A26" s="41" t="s">
        <v>933</v>
      </c>
      <c r="B26" s="41" t="s">
        <v>1467</v>
      </c>
      <c r="C26" s="2" t="s">
        <v>1468</v>
      </c>
      <c r="D26" s="2">
        <v>702100</v>
      </c>
      <c r="E26" s="2" t="s">
        <v>763</v>
      </c>
      <c r="F26" s="2"/>
      <c r="G26" s="2"/>
      <c r="H26" s="2"/>
      <c r="I26" s="2"/>
      <c r="J26" s="2">
        <v>300132599</v>
      </c>
      <c r="K26" s="2" t="s">
        <v>934</v>
      </c>
      <c r="L26" s="2" t="s">
        <v>1469</v>
      </c>
      <c r="M26" s="2" t="s">
        <v>936</v>
      </c>
      <c r="N26" s="2" t="s">
        <v>171</v>
      </c>
      <c r="O26" s="2" t="s">
        <v>937</v>
      </c>
      <c r="P26" s="2" t="s">
        <v>80</v>
      </c>
      <c r="Q26" s="2">
        <v>37065630386</v>
      </c>
      <c r="R26" s="2" t="s">
        <v>752</v>
      </c>
      <c r="S26" s="2" t="s">
        <v>636</v>
      </c>
      <c r="T26" s="3">
        <v>1</v>
      </c>
      <c r="U26" s="2" t="s">
        <v>752</v>
      </c>
      <c r="V26" s="3">
        <v>-0.5</v>
      </c>
      <c r="W26" s="2" t="s">
        <v>752</v>
      </c>
      <c r="X26" s="3">
        <v>0</v>
      </c>
      <c r="Y26" s="2" t="s">
        <v>752</v>
      </c>
      <c r="Z26" s="3">
        <v>0</v>
      </c>
      <c r="AA26" s="2" t="s">
        <v>752</v>
      </c>
      <c r="AB26" s="3">
        <v>0</v>
      </c>
      <c r="AC26" s="2">
        <v>1</v>
      </c>
      <c r="AD26" s="2" t="s">
        <v>590</v>
      </c>
      <c r="AE26" s="2" t="s">
        <v>590</v>
      </c>
      <c r="AF26" s="2" t="s">
        <v>590</v>
      </c>
      <c r="AG26" s="2" t="s">
        <v>590</v>
      </c>
      <c r="AH26" s="2" t="s">
        <v>590</v>
      </c>
      <c r="AI26" s="2" t="s">
        <v>590</v>
      </c>
      <c r="AJ26" s="2" t="s">
        <v>590</v>
      </c>
      <c r="AK26" s="2" t="s">
        <v>590</v>
      </c>
      <c r="AL26" s="2" t="s">
        <v>590</v>
      </c>
      <c r="AM26" s="2" t="s">
        <v>590</v>
      </c>
      <c r="AN26" s="2" t="s">
        <v>590</v>
      </c>
      <c r="AO26" s="2" t="s">
        <v>590</v>
      </c>
      <c r="AP26" s="2" t="s">
        <v>590</v>
      </c>
      <c r="AQ26" s="2" t="s">
        <v>590</v>
      </c>
      <c r="AR26" s="2" t="s">
        <v>590</v>
      </c>
      <c r="AS26" s="2" t="s">
        <v>590</v>
      </c>
      <c r="AT26" s="2" t="s">
        <v>590</v>
      </c>
      <c r="AU26" s="2" t="s">
        <v>590</v>
      </c>
      <c r="AV26" s="2" t="s">
        <v>590</v>
      </c>
      <c r="AW26" s="2" t="s">
        <v>590</v>
      </c>
      <c r="AX26" s="2" t="s">
        <v>590</v>
      </c>
      <c r="AY26" s="2" t="s">
        <v>590</v>
      </c>
      <c r="AZ26" s="2" t="s">
        <v>590</v>
      </c>
      <c r="BA26" s="2" t="s">
        <v>590</v>
      </c>
      <c r="BB26" s="2" t="s">
        <v>590</v>
      </c>
      <c r="BC26" s="2" t="s">
        <v>80</v>
      </c>
      <c r="BD26" s="2">
        <v>64811</v>
      </c>
      <c r="BE26" s="2">
        <v>17787</v>
      </c>
      <c r="BF26" s="3">
        <v>-0.72555584700128062</v>
      </c>
      <c r="BG26" s="2">
        <v>31519</v>
      </c>
      <c r="BH26" s="3">
        <v>0.77202451228425251</v>
      </c>
      <c r="BI26" s="2">
        <v>36262</v>
      </c>
      <c r="BJ26" s="3">
        <v>0.15048066245756528</v>
      </c>
      <c r="BK26" s="2">
        <v>25807</v>
      </c>
      <c r="BL26" s="3">
        <v>-0.28831834978765652</v>
      </c>
      <c r="BM26" s="2">
        <v>16127</v>
      </c>
      <c r="BN26" s="3">
        <v>-0.37509202929437752</v>
      </c>
      <c r="BO26" s="2">
        <v>5224</v>
      </c>
      <c r="BP26" s="2">
        <v>-4123</v>
      </c>
      <c r="BQ26" s="3">
        <v>-1.7892419601837672</v>
      </c>
      <c r="BR26" s="2">
        <v>11349</v>
      </c>
      <c r="BS26" s="3">
        <v>3.7526073247635199</v>
      </c>
      <c r="BT26" s="2">
        <v>-1098</v>
      </c>
      <c r="BU26" s="3">
        <v>-1.0967486122125298</v>
      </c>
      <c r="BV26" s="2">
        <v>1644</v>
      </c>
      <c r="BW26" s="3">
        <v>2.4972677595628401</v>
      </c>
      <c r="BX26" s="2">
        <v>-1197</v>
      </c>
      <c r="BY26" s="3">
        <v>-1.7281021897810218</v>
      </c>
      <c r="BZ26" s="2" t="s">
        <v>939</v>
      </c>
      <c r="CA26" s="2" t="s">
        <v>80</v>
      </c>
      <c r="CB26" s="2" t="s">
        <v>80</v>
      </c>
      <c r="CC26" s="2" t="s">
        <v>1470</v>
      </c>
      <c r="CD26" s="2" t="s">
        <v>95</v>
      </c>
      <c r="CE26" s="2" t="s">
        <v>940</v>
      </c>
    </row>
    <row r="27" spans="1:83" x14ac:dyDescent="0.2">
      <c r="A27" s="41" t="s">
        <v>912</v>
      </c>
      <c r="B27" s="41" t="s">
        <v>1471</v>
      </c>
      <c r="C27" s="2" t="s">
        <v>913</v>
      </c>
      <c r="D27" s="2">
        <v>731100</v>
      </c>
      <c r="E27" s="2" t="s">
        <v>508</v>
      </c>
      <c r="F27" s="2"/>
      <c r="G27" s="2"/>
      <c r="H27" s="2"/>
      <c r="I27" s="2"/>
      <c r="J27" s="2">
        <v>304719793</v>
      </c>
      <c r="K27" s="2" t="s">
        <v>914</v>
      </c>
      <c r="L27" s="2" t="s">
        <v>912</v>
      </c>
      <c r="M27" s="2" t="s">
        <v>916</v>
      </c>
      <c r="N27" s="2" t="s">
        <v>77</v>
      </c>
      <c r="O27" s="2" t="s">
        <v>917</v>
      </c>
      <c r="P27" s="2" t="s">
        <v>80</v>
      </c>
      <c r="Q27" s="2">
        <v>37068725465</v>
      </c>
      <c r="R27" s="2" t="s">
        <v>514</v>
      </c>
      <c r="S27" s="2" t="s">
        <v>514</v>
      </c>
      <c r="T27" s="3">
        <v>0</v>
      </c>
      <c r="U27" s="2" t="s">
        <v>589</v>
      </c>
      <c r="V27" s="3">
        <v>0.4</v>
      </c>
      <c r="W27" s="2" t="s">
        <v>705</v>
      </c>
      <c r="X27" s="3">
        <v>-0.14285714285714285</v>
      </c>
      <c r="Y27" s="2" t="s">
        <v>588</v>
      </c>
      <c r="Z27" s="3">
        <v>-0.33333333333333331</v>
      </c>
      <c r="AA27" s="2" t="s">
        <v>636</v>
      </c>
      <c r="AB27" s="3">
        <v>-0.5</v>
      </c>
      <c r="AC27" s="2">
        <v>1</v>
      </c>
      <c r="AD27" s="2" t="s">
        <v>725</v>
      </c>
      <c r="AE27" s="2">
        <f>_20250609_reklama_data[[#This Row],[Atlyginimų vidurkis 2019]]*_20250609_reklama_data[[#This Row],[Darbuotojai 2019]]*12</f>
        <v>84900</v>
      </c>
      <c r="AF27" s="2">
        <f>(_20250609_reklama_data[[#This Row],[Apyvarta 2019]]-_20250609_reklama_data[[#This Row],[Atlyginimų sąnaudos 2019]])/_20250609_reklama_data[[#This Row],[Darbuotojai 2019]]</f>
        <v>22265.200000000001</v>
      </c>
      <c r="AG27" s="2" t="s">
        <v>918</v>
      </c>
      <c r="AH27" s="2">
        <f>_20250609_reklama_data[[#This Row],[Atlyginimų vidurkis 2020]]*_20250609_reklama_data[[#This Row],[Darbuotojai 2020]]*12</f>
        <v>65760</v>
      </c>
      <c r="AI27" s="2">
        <f>(_20250609_reklama_data[[#This Row],[Apyvarta 2020]]-_20250609_reklama_data[[#This Row],[Atlyginimų sąnaudos 2020]])/_20250609_reklama_data[[#This Row],[Darbuotojai 2020]]</f>
        <v>6790.6</v>
      </c>
      <c r="AJ27" s="3">
        <v>-0.22544169611307421</v>
      </c>
      <c r="AK27" s="2" t="s">
        <v>919</v>
      </c>
      <c r="AL27" s="2">
        <f>_20250609_reklama_data[[#This Row],[Atlyginimų vidurkis 2021]]*_20250609_reklama_data[[#This Row],[Darbuotojai 2021]]*12</f>
        <v>111972</v>
      </c>
      <c r="AM27" s="2">
        <f>(_20250609_reklama_data[[#This Row],[Apyvarta 2021]]-_20250609_reklama_data[[#This Row],[Atlyginimų sąnaudos 2021]])/_20250609_reklama_data[[#This Row],[Darbuotojai 2021]]</f>
        <v>43481</v>
      </c>
      <c r="AN27" s="3">
        <v>0.21624087591240876</v>
      </c>
      <c r="AO27" s="2" t="s">
        <v>179</v>
      </c>
      <c r="AP27" s="2">
        <f>_20250609_reklama_data[[#This Row],[Atlyginimų vidurkis 2022]]*_20250609_reklama_data[[#This Row],[Darbuotojai 2022]]*12</f>
        <v>110520</v>
      </c>
      <c r="AQ27" s="2">
        <f>(_20250609_reklama_data[[#This Row],[Apyvarta 2022]]-_20250609_reklama_data[[#This Row],[Atlyginimų sąnaudos 2022]])/_20250609_reklama_data[[#This Row],[Darbuotojai 2022]]</f>
        <v>25827.166666666668</v>
      </c>
      <c r="AR27" s="3">
        <v>0.15153788447111777</v>
      </c>
      <c r="AS27" s="2" t="s">
        <v>920</v>
      </c>
      <c r="AT27" s="2">
        <f>_20250609_reklama_data[[#This Row],[Atlyginimų vidurkis 2023]]*_20250609_reklama_data[[#This Row],[Darbuotojai 2023]]*12</f>
        <v>83280</v>
      </c>
      <c r="AU27" s="2">
        <f>(_20250609_reklama_data[[#This Row],[Apyvarta 2023]]-_20250609_reklama_data[[#This Row],[Atlyginimų sąnaudos 2023]])/_20250609_reklama_data[[#This Row],[Darbuotojai 2023]]</f>
        <v>28439.5</v>
      </c>
      <c r="AV27" s="3">
        <v>0.13029315960912052</v>
      </c>
      <c r="AW27" s="2" t="s">
        <v>590</v>
      </c>
      <c r="AX27" s="2" t="s">
        <v>590</v>
      </c>
      <c r="AY27" s="2" t="s">
        <v>590</v>
      </c>
      <c r="AZ27" s="2" t="s">
        <v>590</v>
      </c>
      <c r="BA27" s="2" t="s">
        <v>590</v>
      </c>
      <c r="BB27" s="2" t="s">
        <v>590</v>
      </c>
      <c r="BC27" s="2" t="s">
        <v>80</v>
      </c>
      <c r="BD27" s="2">
        <v>196226</v>
      </c>
      <c r="BE27" s="2">
        <v>99713</v>
      </c>
      <c r="BF27" s="3">
        <v>-0.49184613659759663</v>
      </c>
      <c r="BG27" s="2">
        <v>416339</v>
      </c>
      <c r="BH27" s="3">
        <v>3.1753733214325113</v>
      </c>
      <c r="BI27" s="2">
        <v>265483</v>
      </c>
      <c r="BJ27" s="3">
        <v>-0.3623393436598541</v>
      </c>
      <c r="BK27" s="2">
        <v>197038</v>
      </c>
      <c r="BL27" s="3">
        <v>-0.25781311797742229</v>
      </c>
      <c r="BM27" s="2">
        <v>46405</v>
      </c>
      <c r="BN27" s="3">
        <v>-0.76448705325876232</v>
      </c>
      <c r="BO27" s="2">
        <v>536</v>
      </c>
      <c r="BP27" s="2">
        <v>-21167</v>
      </c>
      <c r="BQ27" s="3">
        <v>-40.490671641791046</v>
      </c>
      <c r="BR27" s="2">
        <v>8338</v>
      </c>
      <c r="BS27" s="3">
        <v>1.3939150564558001</v>
      </c>
      <c r="BT27" s="2">
        <v>1474</v>
      </c>
      <c r="BU27" s="3">
        <v>-0.82321899736147752</v>
      </c>
      <c r="BV27" s="2">
        <v>1478</v>
      </c>
      <c r="BW27" s="3">
        <v>2.7137042062415195E-3</v>
      </c>
      <c r="BX27" s="2">
        <v>-48434</v>
      </c>
      <c r="BY27" s="3">
        <v>-33.769959404600812</v>
      </c>
      <c r="BZ27" s="2" t="s">
        <v>922</v>
      </c>
      <c r="CA27" s="2" t="s">
        <v>1472</v>
      </c>
      <c r="CB27" s="2" t="s">
        <v>1473</v>
      </c>
      <c r="CC27" s="2" t="s">
        <v>80</v>
      </c>
      <c r="CD27" s="2" t="s">
        <v>891</v>
      </c>
      <c r="CE27" s="2" t="s">
        <v>923</v>
      </c>
    </row>
    <row r="28" spans="1:83" x14ac:dyDescent="0.2">
      <c r="A28" s="42" t="s">
        <v>1474</v>
      </c>
      <c r="B28" s="41" t="s">
        <v>1475</v>
      </c>
      <c r="C28" s="2"/>
      <c r="D28" s="2"/>
      <c r="E28" s="2"/>
      <c r="F28" s="2"/>
      <c r="G28" s="2"/>
      <c r="H28" s="2"/>
      <c r="I28" s="2"/>
      <c r="J28" s="2">
        <v>302686095</v>
      </c>
      <c r="K28" s="2" t="s">
        <v>1263</v>
      </c>
      <c r="L28" s="2" t="s">
        <v>1261</v>
      </c>
      <c r="M28" s="2" t="s">
        <v>1264</v>
      </c>
      <c r="N28" s="2" t="s">
        <v>77</v>
      </c>
      <c r="O28" s="2" t="s">
        <v>1265</v>
      </c>
      <c r="P28" s="2"/>
      <c r="Q28" s="2">
        <v>37069003000</v>
      </c>
      <c r="R28" s="2">
        <v>16</v>
      </c>
      <c r="S28" s="2">
        <v>18</v>
      </c>
      <c r="T28" s="2">
        <v>0.13</v>
      </c>
      <c r="U28" s="2">
        <v>20</v>
      </c>
      <c r="V28" s="2">
        <v>0.11</v>
      </c>
      <c r="W28" s="2">
        <v>19</v>
      </c>
      <c r="X28" s="2">
        <v>-0.05</v>
      </c>
      <c r="Y28" s="2">
        <v>20</v>
      </c>
      <c r="Z28" s="2">
        <v>0.05</v>
      </c>
      <c r="AA28" s="2">
        <v>20</v>
      </c>
      <c r="AB28" s="2">
        <v>0</v>
      </c>
      <c r="AC28" s="2">
        <v>21</v>
      </c>
      <c r="AD28" s="2">
        <v>2280</v>
      </c>
      <c r="AE28" s="2">
        <v>36480</v>
      </c>
      <c r="AF28" s="2">
        <v>30926.5625</v>
      </c>
      <c r="AG28" s="2">
        <v>2496</v>
      </c>
      <c r="AH28" s="2">
        <v>44928</v>
      </c>
      <c r="AI28" s="2">
        <v>33498.111109999998</v>
      </c>
      <c r="AJ28" s="2">
        <v>0.09</v>
      </c>
      <c r="AK28" s="2">
        <v>2709</v>
      </c>
      <c r="AL28" s="2">
        <v>54180</v>
      </c>
      <c r="AM28" s="2">
        <v>36521</v>
      </c>
      <c r="AN28" s="2">
        <v>0.09</v>
      </c>
      <c r="AO28" s="2">
        <v>2958</v>
      </c>
      <c r="AP28" s="2">
        <v>56202</v>
      </c>
      <c r="AQ28" s="2">
        <v>40810.578950000003</v>
      </c>
      <c r="AR28" s="2">
        <v>0.09</v>
      </c>
      <c r="AS28" s="2">
        <v>3278</v>
      </c>
      <c r="AT28" s="2">
        <v>65560</v>
      </c>
      <c r="AU28" s="2">
        <v>45304.05</v>
      </c>
      <c r="AV28" s="2">
        <v>0.11</v>
      </c>
      <c r="AW28" s="2">
        <v>3596</v>
      </c>
      <c r="AX28" s="2">
        <v>71920</v>
      </c>
      <c r="AY28" s="2">
        <v>51415.75</v>
      </c>
      <c r="AZ28" s="2">
        <v>0.1</v>
      </c>
      <c r="BA28" s="2">
        <v>3733</v>
      </c>
      <c r="BB28" s="2">
        <v>78393</v>
      </c>
      <c r="BC28" s="2"/>
      <c r="BD28" s="2">
        <v>531305</v>
      </c>
      <c r="BE28" s="2">
        <v>647894</v>
      </c>
      <c r="BF28" s="2">
        <v>0.22</v>
      </c>
      <c r="BG28" s="2">
        <v>784600</v>
      </c>
      <c r="BH28" s="2">
        <v>0.21</v>
      </c>
      <c r="BI28" s="2">
        <v>831603</v>
      </c>
      <c r="BJ28" s="2">
        <v>0.06</v>
      </c>
      <c r="BK28" s="2">
        <v>971641</v>
      </c>
      <c r="BL28" s="2">
        <v>0.17</v>
      </c>
      <c r="BM28" s="2">
        <v>1100235</v>
      </c>
      <c r="BN28" s="2">
        <v>0.13</v>
      </c>
      <c r="BO28" s="2">
        <v>23883</v>
      </c>
      <c r="BP28" s="2">
        <v>10392</v>
      </c>
      <c r="BQ28" s="2">
        <v>-0.56000000000000005</v>
      </c>
      <c r="BR28" s="2">
        <v>9400</v>
      </c>
      <c r="BS28" s="2">
        <v>-0.1</v>
      </c>
      <c r="BT28" s="2">
        <v>5052</v>
      </c>
      <c r="BU28" s="2">
        <v>-0.46</v>
      </c>
      <c r="BV28" s="2">
        <v>7010</v>
      </c>
      <c r="BW28" s="2">
        <v>0.39</v>
      </c>
      <c r="BX28" s="2">
        <v>7093</v>
      </c>
      <c r="BY28" s="2">
        <v>0.01</v>
      </c>
      <c r="BZ28" s="2" t="s">
        <v>1266</v>
      </c>
      <c r="CA28" s="2"/>
      <c r="CB28" s="2"/>
      <c r="CC28" s="2"/>
      <c r="CD28" s="2" t="s">
        <v>95</v>
      </c>
      <c r="CE28" s="2" t="s">
        <v>1137</v>
      </c>
    </row>
    <row r="29" spans="1:83" x14ac:dyDescent="0.2">
      <c r="A29" s="42" t="s">
        <v>1476</v>
      </c>
      <c r="B29" s="41" t="s">
        <v>1477</v>
      </c>
      <c r="C29" s="2"/>
      <c r="D29" s="2"/>
      <c r="E29" s="2"/>
      <c r="F29" s="2"/>
      <c r="G29" s="2"/>
      <c r="H29" s="2"/>
      <c r="I29" s="2"/>
      <c r="J29" s="2">
        <v>302478991</v>
      </c>
      <c r="K29" s="2" t="s">
        <v>1214</v>
      </c>
      <c r="L29" s="2" t="s">
        <v>1212</v>
      </c>
      <c r="M29" s="2" t="s">
        <v>1215</v>
      </c>
      <c r="N29" s="2" t="s">
        <v>77</v>
      </c>
      <c r="O29" s="2" t="s">
        <v>1216</v>
      </c>
      <c r="P29" s="2"/>
      <c r="Q29" s="2">
        <v>37067777012</v>
      </c>
      <c r="R29" s="2">
        <v>6</v>
      </c>
      <c r="S29" s="2">
        <v>6</v>
      </c>
      <c r="T29" s="2">
        <v>0</v>
      </c>
      <c r="U29" s="2">
        <v>8</v>
      </c>
      <c r="V29" s="2">
        <v>0.33</v>
      </c>
      <c r="W29" s="2">
        <v>9</v>
      </c>
      <c r="X29" s="2">
        <v>0.13</v>
      </c>
      <c r="Y29" s="2">
        <v>10</v>
      </c>
      <c r="Z29" s="2">
        <v>0.11</v>
      </c>
      <c r="AA29" s="2">
        <v>11</v>
      </c>
      <c r="AB29" s="2">
        <v>0.1</v>
      </c>
      <c r="AC29" s="2">
        <v>15</v>
      </c>
      <c r="AD29" s="2">
        <v>1432</v>
      </c>
      <c r="AE29" s="2">
        <v>8592</v>
      </c>
      <c r="AF29" s="2">
        <v>37827.833330000001</v>
      </c>
      <c r="AG29" s="2">
        <v>1559</v>
      </c>
      <c r="AH29" s="2">
        <v>9354</v>
      </c>
      <c r="AI29" s="2">
        <v>54801.833330000001</v>
      </c>
      <c r="AJ29" s="2">
        <v>0.09</v>
      </c>
      <c r="AK29" s="2">
        <v>1534</v>
      </c>
      <c r="AL29" s="2">
        <v>12272</v>
      </c>
      <c r="AM29" s="2">
        <v>46260.875</v>
      </c>
      <c r="AN29" s="2">
        <v>-0.02</v>
      </c>
      <c r="AO29" s="2">
        <v>1663</v>
      </c>
      <c r="AP29" s="2">
        <v>14967</v>
      </c>
      <c r="AQ29" s="2">
        <v>36360.555560000001</v>
      </c>
      <c r="AR29" s="2">
        <v>0.08</v>
      </c>
      <c r="AS29" s="2">
        <v>2037</v>
      </c>
      <c r="AT29" s="2">
        <v>20370</v>
      </c>
      <c r="AU29" s="2">
        <v>61391.9</v>
      </c>
      <c r="AV29" s="2">
        <v>0.22</v>
      </c>
      <c r="AW29" s="2">
        <v>2380</v>
      </c>
      <c r="AX29" s="2">
        <v>26180</v>
      </c>
      <c r="AY29" s="2">
        <v>62404.727270000003</v>
      </c>
      <c r="AZ29" s="2">
        <v>0.17</v>
      </c>
      <c r="BA29" s="2">
        <v>2725</v>
      </c>
      <c r="BB29" s="2">
        <v>40875</v>
      </c>
      <c r="BC29" s="2"/>
      <c r="BD29" s="2">
        <v>235559</v>
      </c>
      <c r="BE29" s="2">
        <v>338165</v>
      </c>
      <c r="BF29" s="2">
        <v>0.44</v>
      </c>
      <c r="BG29" s="2">
        <v>382359</v>
      </c>
      <c r="BH29" s="2">
        <v>0.13</v>
      </c>
      <c r="BI29" s="2">
        <v>342212</v>
      </c>
      <c r="BJ29" s="2">
        <v>-0.1</v>
      </c>
      <c r="BK29" s="2">
        <v>634289</v>
      </c>
      <c r="BL29" s="2">
        <v>0.85</v>
      </c>
      <c r="BM29" s="2">
        <v>712632</v>
      </c>
      <c r="BN29" s="2">
        <v>0.12</v>
      </c>
      <c r="BO29" s="2">
        <v>731</v>
      </c>
      <c r="BP29" s="2">
        <v>43465</v>
      </c>
      <c r="BQ29" s="2">
        <v>58.46</v>
      </c>
      <c r="BR29" s="2">
        <v>29979</v>
      </c>
      <c r="BS29" s="2">
        <v>-0.31</v>
      </c>
      <c r="BT29" s="2">
        <v>777</v>
      </c>
      <c r="BU29" s="2">
        <v>-0.97</v>
      </c>
      <c r="BV29" s="2">
        <v>52882</v>
      </c>
      <c r="BW29" s="2">
        <v>67.06</v>
      </c>
      <c r="BX29" s="2">
        <v>139519</v>
      </c>
      <c r="BY29" s="2">
        <v>1.64</v>
      </c>
      <c r="BZ29" s="2" t="s">
        <v>1217</v>
      </c>
      <c r="CA29" s="2"/>
      <c r="CB29" s="2"/>
      <c r="CC29" s="2"/>
      <c r="CD29" s="2" t="s">
        <v>95</v>
      </c>
      <c r="CE29" s="2" t="s">
        <v>1137</v>
      </c>
    </row>
    <row r="30" spans="1:83" x14ac:dyDescent="0.2">
      <c r="A30" s="41" t="s">
        <v>1059</v>
      </c>
      <c r="B30" s="41" t="s">
        <v>1478</v>
      </c>
      <c r="C30" s="2" t="s">
        <v>1060</v>
      </c>
      <c r="D30" s="2">
        <v>731100</v>
      </c>
      <c r="E30" s="2" t="s">
        <v>508</v>
      </c>
      <c r="F30" s="2"/>
      <c r="G30" s="2"/>
      <c r="H30" s="2"/>
      <c r="I30" s="2"/>
      <c r="J30" s="2">
        <v>302542497</v>
      </c>
      <c r="K30" s="2" t="s">
        <v>1061</v>
      </c>
      <c r="L30" s="2" t="s">
        <v>1059</v>
      </c>
      <c r="M30" s="2" t="s">
        <v>1063</v>
      </c>
      <c r="N30" s="2" t="s">
        <v>77</v>
      </c>
      <c r="O30" s="2" t="s">
        <v>1064</v>
      </c>
      <c r="P30" s="2" t="s">
        <v>80</v>
      </c>
      <c r="Q30" s="2">
        <v>37060999069</v>
      </c>
      <c r="R30" s="2" t="s">
        <v>200</v>
      </c>
      <c r="S30" s="2" t="s">
        <v>201</v>
      </c>
      <c r="T30" s="3">
        <v>-0.13793103448275862</v>
      </c>
      <c r="U30" s="2" t="s">
        <v>201</v>
      </c>
      <c r="V30" s="3">
        <v>0</v>
      </c>
      <c r="W30" s="2" t="s">
        <v>238</v>
      </c>
      <c r="X30" s="3">
        <v>-0.04</v>
      </c>
      <c r="Y30" s="2" t="s">
        <v>82</v>
      </c>
      <c r="Z30" s="3">
        <v>-0.20833333333333334</v>
      </c>
      <c r="AA30" s="2" t="s">
        <v>82</v>
      </c>
      <c r="AB30" s="3">
        <v>0</v>
      </c>
      <c r="AC30" s="2">
        <v>22</v>
      </c>
      <c r="AD30" s="2" t="s">
        <v>1065</v>
      </c>
      <c r="AE30" s="2">
        <f>_20250609_reklama_data[[#This Row],[Atlyginimų vidurkis 2019]]*_20250609_reklama_data[[#This Row],[Darbuotojai 2019]]*12</f>
        <v>637188</v>
      </c>
      <c r="AF30" s="2">
        <f>(_20250609_reklama_data[[#This Row],[Apyvarta 2019]]-_20250609_reklama_data[[#This Row],[Atlyginimų sąnaudos 2019]])/_20250609_reklama_data[[#This Row],[Darbuotojai 2019]]</f>
        <v>21945.96551724138</v>
      </c>
      <c r="AG30" s="2" t="s">
        <v>1066</v>
      </c>
      <c r="AH30" s="2">
        <f>_20250609_reklama_data[[#This Row],[Atlyginimų vidurkis 2020]]*_20250609_reklama_data[[#This Row],[Darbuotojai 2020]]*12</f>
        <v>604200</v>
      </c>
      <c r="AI30" s="2">
        <f>(_20250609_reklama_data[[#This Row],[Apyvarta 2020]]-_20250609_reklama_data[[#This Row],[Atlyginimų sąnaudos 2020]])/_20250609_reklama_data[[#This Row],[Darbuotojai 2020]]</f>
        <v>24940.92</v>
      </c>
      <c r="AJ30" s="3">
        <v>9.9945385035499726E-2</v>
      </c>
      <c r="AK30" s="2" t="s">
        <v>1067</v>
      </c>
      <c r="AL30" s="2">
        <f>_20250609_reklama_data[[#This Row],[Atlyginimų vidurkis 2021]]*_20250609_reklama_data[[#This Row],[Darbuotojai 2021]]*12</f>
        <v>742500</v>
      </c>
      <c r="AM30" s="2">
        <f>(_20250609_reklama_data[[#This Row],[Apyvarta 2021]]-_20250609_reklama_data[[#This Row],[Atlyginimų sąnaudos 2021]])/_20250609_reklama_data[[#This Row],[Darbuotojai 2021]]</f>
        <v>35030.68</v>
      </c>
      <c r="AN30" s="3">
        <v>0.22889771598808342</v>
      </c>
      <c r="AO30" s="2" t="s">
        <v>1068</v>
      </c>
      <c r="AP30" s="2">
        <f>_20250609_reklama_data[[#This Row],[Atlyginimų vidurkis 2022]]*_20250609_reklama_data[[#This Row],[Darbuotojai 2022]]*12</f>
        <v>749376</v>
      </c>
      <c r="AQ30" s="2">
        <f>(_20250609_reklama_data[[#This Row],[Apyvarta 2022]]-_20250609_reklama_data[[#This Row],[Atlyginimų sąnaudos 2022]])/_20250609_reklama_data[[#This Row],[Darbuotojai 2022]]</f>
        <v>21531.75</v>
      </c>
      <c r="AR30" s="3">
        <v>5.131313131313131E-2</v>
      </c>
      <c r="AS30" s="2" t="s">
        <v>1069</v>
      </c>
      <c r="AT30" s="2">
        <f>_20250609_reklama_data[[#This Row],[Atlyginimų vidurkis 2023]]*_20250609_reklama_data[[#This Row],[Darbuotojai 2023]]*12</f>
        <v>634068</v>
      </c>
      <c r="AU30" s="2">
        <f>(_20250609_reklama_data[[#This Row],[Apyvarta 2023]]-_20250609_reklama_data[[#This Row],[Atlyginimų sąnaudos 2023]])/_20250609_reklama_data[[#This Row],[Darbuotojai 2023]]</f>
        <v>18669.63157894737</v>
      </c>
      <c r="AV30" s="3">
        <v>6.8793235972328975E-2</v>
      </c>
      <c r="AW30" s="2" t="s">
        <v>1070</v>
      </c>
      <c r="AX30" s="2">
        <f>_20250609_reklama_data[[#This Row],[Atlyginimų vidurkis 2024]]*_20250609_reklama_data[[#This Row],[Darbuotojai 2024]]*12</f>
        <v>773604</v>
      </c>
      <c r="AY30" s="2">
        <f>(_20250609_reklama_data[[#This Row],[Apyvarta 2024]]-_20250609_reklama_data[[#This Row],[Atlyginimų sąnaudos 2024]])/_20250609_reklama_data[[#This Row],[Darbuotojai 2024]]</f>
        <v>-40716</v>
      </c>
      <c r="AZ30" s="3">
        <v>0.22006472491909385</v>
      </c>
      <c r="BA30" s="2" t="s">
        <v>1071</v>
      </c>
      <c r="BB30" s="2">
        <f>_20250609_reklama_data[[#This Row],[Atlyginimų vidurkis 2025 04]]*_20250609_reklama_data[[#This Row],[Darbuotojai 2025 06 09]]*5</f>
        <v>335597.9</v>
      </c>
      <c r="BC30" s="2">
        <v>638.97</v>
      </c>
      <c r="BD30" s="2">
        <v>1273621</v>
      </c>
      <c r="BE30" s="2">
        <v>1227723</v>
      </c>
      <c r="BF30" s="3">
        <v>-3.6037408302783951E-2</v>
      </c>
      <c r="BG30" s="2">
        <v>1618267</v>
      </c>
      <c r="BH30" s="3">
        <v>0.31810432809355205</v>
      </c>
      <c r="BI30" s="2">
        <v>1266138</v>
      </c>
      <c r="BJ30" s="3">
        <v>-0.21759635461886079</v>
      </c>
      <c r="BK30" s="2">
        <v>988791</v>
      </c>
      <c r="BL30" s="3">
        <v>-0.21904958227302238</v>
      </c>
      <c r="BM30" s="2"/>
      <c r="BN30" s="2" t="s">
        <v>590</v>
      </c>
      <c r="BO30" s="2">
        <v>14001</v>
      </c>
      <c r="BP30" s="2">
        <v>117770</v>
      </c>
      <c r="BQ30" s="3">
        <v>7.4115420327119494</v>
      </c>
      <c r="BR30" s="2">
        <v>33646</v>
      </c>
      <c r="BS30" s="3">
        <v>-0.71430754861170076</v>
      </c>
      <c r="BT30" s="2">
        <v>10305</v>
      </c>
      <c r="BU30" s="3">
        <v>-0.6937228793913095</v>
      </c>
      <c r="BV30" s="2">
        <v>74922</v>
      </c>
      <c r="BW30" s="3">
        <v>6.2704512372634644</v>
      </c>
      <c r="BX30" s="2"/>
      <c r="BY30" s="2" t="s">
        <v>590</v>
      </c>
      <c r="BZ30" s="2" t="s">
        <v>1073</v>
      </c>
      <c r="CA30" s="2" t="s">
        <v>1074</v>
      </c>
      <c r="CB30" s="2" t="s">
        <v>80</v>
      </c>
      <c r="CC30" s="2" t="s">
        <v>1075</v>
      </c>
      <c r="CD30" s="2" t="s">
        <v>647</v>
      </c>
      <c r="CE30" s="2" t="s">
        <v>1076</v>
      </c>
    </row>
    <row r="31" spans="1:83" x14ac:dyDescent="0.2">
      <c r="A31" s="41" t="s">
        <v>527</v>
      </c>
      <c r="B31" s="41" t="s">
        <v>1479</v>
      </c>
      <c r="C31" s="2" t="s">
        <v>528</v>
      </c>
      <c r="D31" s="2">
        <v>731100</v>
      </c>
      <c r="E31" s="2" t="s">
        <v>508</v>
      </c>
      <c r="F31" s="2"/>
      <c r="G31" s="2"/>
      <c r="H31" s="2"/>
      <c r="I31" s="2"/>
      <c r="J31" s="2">
        <v>301536032</v>
      </c>
      <c r="K31" s="2" t="s">
        <v>529</v>
      </c>
      <c r="L31" s="2" t="s">
        <v>1480</v>
      </c>
      <c r="M31" s="2" t="s">
        <v>531</v>
      </c>
      <c r="N31" s="2" t="s">
        <v>77</v>
      </c>
      <c r="O31" s="2" t="s">
        <v>532</v>
      </c>
      <c r="P31" s="2" t="s">
        <v>533</v>
      </c>
      <c r="Q31" s="2"/>
      <c r="R31" s="2" t="s">
        <v>514</v>
      </c>
      <c r="S31" s="2" t="s">
        <v>534</v>
      </c>
      <c r="T31" s="3">
        <v>0.8</v>
      </c>
      <c r="U31" s="2" t="s">
        <v>219</v>
      </c>
      <c r="V31" s="3">
        <v>0.22222222222222221</v>
      </c>
      <c r="W31" s="2" t="s">
        <v>221</v>
      </c>
      <c r="X31" s="3">
        <v>0.18181818181818182</v>
      </c>
      <c r="Y31" s="2" t="s">
        <v>535</v>
      </c>
      <c r="Z31" s="3">
        <v>0.15384615384615385</v>
      </c>
      <c r="AA31" s="2" t="s">
        <v>175</v>
      </c>
      <c r="AB31" s="3">
        <v>0.33333333333333331</v>
      </c>
      <c r="AC31" s="2">
        <v>21</v>
      </c>
      <c r="AD31" s="2" t="s">
        <v>536</v>
      </c>
      <c r="AE31" s="2">
        <f>_20250609_reklama_data[[#This Row],[Atlyginimų vidurkis 2019]]*_20250609_reklama_data[[#This Row],[Darbuotojai 2019]]*12</f>
        <v>49860</v>
      </c>
      <c r="AF31" s="2">
        <f>(_20250609_reklama_data[[#This Row],[Apyvarta 2019]]-_20250609_reklama_data[[#This Row],[Atlyginimų sąnaudos 2019]])/_20250609_reklama_data[[#This Row],[Darbuotojai 2019]]</f>
        <v>75943.600000000006</v>
      </c>
      <c r="AG31" s="2" t="s">
        <v>537</v>
      </c>
      <c r="AH31" s="2">
        <f>_20250609_reklama_data[[#This Row],[Atlyginimų vidurkis 2020]]*_20250609_reklama_data[[#This Row],[Darbuotojai 2020]]*12</f>
        <v>110052</v>
      </c>
      <c r="AI31" s="2">
        <f>(_20250609_reklama_data[[#This Row],[Apyvarta 2020]]-_20250609_reklama_data[[#This Row],[Atlyginimų sąnaudos 2020]])/_20250609_reklama_data[[#This Row],[Darbuotojai 2020]]</f>
        <v>35940.444444444445</v>
      </c>
      <c r="AJ31" s="3">
        <v>0.22623345367027678</v>
      </c>
      <c r="AK31" s="2" t="s">
        <v>538</v>
      </c>
      <c r="AL31" s="2">
        <f>_20250609_reklama_data[[#This Row],[Atlyginimų vidurkis 2021]]*_20250609_reklama_data[[#This Row],[Darbuotojai 2021]]*12</f>
        <v>166848</v>
      </c>
      <c r="AM31" s="2">
        <f>(_20250609_reklama_data[[#This Row],[Apyvarta 2021]]-_20250609_reklama_data[[#This Row],[Atlyginimų sąnaudos 2021]])/_20250609_reklama_data[[#This Row],[Darbuotojai 2021]]</f>
        <v>50983.909090909088</v>
      </c>
      <c r="AN31" s="3">
        <v>0.24043179587831207</v>
      </c>
      <c r="AO31" s="2" t="s">
        <v>539</v>
      </c>
      <c r="AP31" s="2">
        <f>_20250609_reklama_data[[#This Row],[Atlyginimų vidurkis 2022]]*_20250609_reklama_data[[#This Row],[Darbuotojai 2022]]*12</f>
        <v>258960</v>
      </c>
      <c r="AQ31" s="2">
        <f>(_20250609_reklama_data[[#This Row],[Apyvarta 2022]]-_20250609_reklama_data[[#This Row],[Atlyginimų sąnaudos 2022]])/_20250609_reklama_data[[#This Row],[Darbuotojai 2022]]</f>
        <v>62004.076923076922</v>
      </c>
      <c r="AR31" s="3">
        <v>0.31329113924050633</v>
      </c>
      <c r="AS31" s="2" t="s">
        <v>540</v>
      </c>
      <c r="AT31" s="2">
        <f>_20250609_reklama_data[[#This Row],[Atlyginimų vidurkis 2023]]*_20250609_reklama_data[[#This Row],[Darbuotojai 2023]]*12</f>
        <v>322560</v>
      </c>
      <c r="AU31" s="2">
        <f>(_20250609_reklama_data[[#This Row],[Apyvarta 2023]]-_20250609_reklama_data[[#This Row],[Atlyginimų sąnaudos 2023]])/_20250609_reklama_data[[#This Row],[Darbuotojai 2023]]</f>
        <v>66904.399999999994</v>
      </c>
      <c r="AV31" s="3">
        <v>7.9518072289156624E-2</v>
      </c>
      <c r="AW31" s="2" t="s">
        <v>541</v>
      </c>
      <c r="AX31" s="2">
        <f>_20250609_reklama_data[[#This Row],[Atlyginimų vidurkis 2024]]*_20250609_reklama_data[[#This Row],[Darbuotojai 2024]]*12</f>
        <v>486240</v>
      </c>
      <c r="AY31" s="2">
        <f>(_20250609_reklama_data[[#This Row],[Apyvarta 2024]]-_20250609_reklama_data[[#This Row],[Atlyginimų sąnaudos 2024]])/_20250609_reklama_data[[#This Row],[Darbuotojai 2024]]</f>
        <v>66000.850000000006</v>
      </c>
      <c r="AZ31" s="3">
        <v>0.13058035714285715</v>
      </c>
      <c r="BA31" s="2" t="s">
        <v>542</v>
      </c>
      <c r="BB31" s="2">
        <f>_20250609_reklama_data[[#This Row],[Atlyginimų vidurkis 2025 04]]*_20250609_reklama_data[[#This Row],[Darbuotojai 2025 06 09]]*5</f>
        <v>206521.34999999998</v>
      </c>
      <c r="BC31" s="2" t="s">
        <v>80</v>
      </c>
      <c r="BD31" s="2">
        <v>429578</v>
      </c>
      <c r="BE31" s="2">
        <v>433516</v>
      </c>
      <c r="BF31" s="3">
        <v>9.1671361196336877E-3</v>
      </c>
      <c r="BG31" s="2">
        <v>727671</v>
      </c>
      <c r="BH31" s="3">
        <v>0.67853320292676622</v>
      </c>
      <c r="BI31" s="2">
        <v>1065013</v>
      </c>
      <c r="BJ31" s="3">
        <v>0.46359137577284237</v>
      </c>
      <c r="BK31" s="2">
        <v>1326126</v>
      </c>
      <c r="BL31" s="3">
        <v>0.24517353309302328</v>
      </c>
      <c r="BM31" s="2">
        <v>1806257</v>
      </c>
      <c r="BN31" s="3">
        <v>0.36205534014113289</v>
      </c>
      <c r="BO31" s="2">
        <v>176490</v>
      </c>
      <c r="BP31" s="2">
        <v>142713</v>
      </c>
      <c r="BQ31" s="3">
        <v>-0.19138194798572158</v>
      </c>
      <c r="BR31" s="2">
        <v>263114</v>
      </c>
      <c r="BS31" s="3">
        <v>0.84365825117543602</v>
      </c>
      <c r="BT31" s="2">
        <v>270828</v>
      </c>
      <c r="BU31" s="3">
        <v>2.9318090257454944E-2</v>
      </c>
      <c r="BV31" s="2">
        <v>264019</v>
      </c>
      <c r="BW31" s="3">
        <v>-2.5141418169465492E-2</v>
      </c>
      <c r="BX31" s="2">
        <v>354039</v>
      </c>
      <c r="BY31" s="3">
        <v>0.34096030967468249</v>
      </c>
      <c r="BZ31" s="2" t="s">
        <v>544</v>
      </c>
      <c r="CA31" s="2" t="s">
        <v>545</v>
      </c>
      <c r="CB31" s="2" t="s">
        <v>546</v>
      </c>
      <c r="CC31" s="2" t="s">
        <v>547</v>
      </c>
      <c r="CD31" s="2" t="s">
        <v>189</v>
      </c>
      <c r="CE31" s="2" t="s">
        <v>548</v>
      </c>
    </row>
    <row r="32" spans="1:83" x14ac:dyDescent="0.2">
      <c r="A32" s="41" t="s">
        <v>298</v>
      </c>
      <c r="B32" s="41" t="s">
        <v>1481</v>
      </c>
      <c r="C32" s="2" t="s">
        <v>299</v>
      </c>
      <c r="D32" s="2">
        <v>702100</v>
      </c>
      <c r="E32" s="2"/>
      <c r="F32" s="2" t="s">
        <v>280</v>
      </c>
      <c r="G32" s="2" t="s">
        <v>300</v>
      </c>
      <c r="H32" s="2" t="s">
        <v>193</v>
      </c>
      <c r="I32" s="2" t="s">
        <v>301</v>
      </c>
      <c r="J32" s="2">
        <v>124099127</v>
      </c>
      <c r="K32" s="2" t="s">
        <v>302</v>
      </c>
      <c r="L32" s="2" t="s">
        <v>298</v>
      </c>
      <c r="M32" s="2" t="s">
        <v>304</v>
      </c>
      <c r="N32" s="2" t="s">
        <v>77</v>
      </c>
      <c r="O32" s="2" t="s">
        <v>305</v>
      </c>
      <c r="P32" s="2" t="s">
        <v>80</v>
      </c>
      <c r="Q32" s="2">
        <v>37065631548</v>
      </c>
      <c r="R32" s="2" t="s">
        <v>306</v>
      </c>
      <c r="S32" s="2" t="s">
        <v>150</v>
      </c>
      <c r="T32" s="3">
        <v>-8.1081081081081086E-2</v>
      </c>
      <c r="U32" s="2" t="s">
        <v>107</v>
      </c>
      <c r="V32" s="3">
        <v>0.17647058823529413</v>
      </c>
      <c r="W32" s="2" t="s">
        <v>107</v>
      </c>
      <c r="X32" s="3">
        <v>0</v>
      </c>
      <c r="Y32" s="2" t="s">
        <v>307</v>
      </c>
      <c r="Z32" s="3">
        <v>0.05</v>
      </c>
      <c r="AA32" s="2" t="s">
        <v>308</v>
      </c>
      <c r="AB32" s="3">
        <v>4.7619047619047616E-2</v>
      </c>
      <c r="AC32" s="2">
        <v>39</v>
      </c>
      <c r="AD32" s="2" t="s">
        <v>309</v>
      </c>
      <c r="AE32" s="2">
        <f>_20250609_reklama_data[[#This Row],[Atlyginimų vidurkis 2019]]*_20250609_reklama_data[[#This Row],[Darbuotojai 2019]]*12</f>
        <v>1120656</v>
      </c>
      <c r="AF32" s="2">
        <f>(_20250609_reklama_data[[#This Row],[Apyvarta 2019]]-_20250609_reklama_data[[#This Row],[Atlyginimų sąnaudos 2019]])/_20250609_reklama_data[[#This Row],[Darbuotojai 2019]]</f>
        <v>45090.189189189186</v>
      </c>
      <c r="AG32" s="2" t="s">
        <v>310</v>
      </c>
      <c r="AH32" s="2">
        <f>_20250609_reklama_data[[#This Row],[Atlyginimų vidurkis 2020]]*_20250609_reklama_data[[#This Row],[Darbuotojai 2020]]*12</f>
        <v>1011840</v>
      </c>
      <c r="AI32" s="2">
        <f>(_20250609_reklama_data[[#This Row],[Apyvarta 2020]]-_20250609_reklama_data[[#This Row],[Atlyginimų sąnaudos 2020]])/_20250609_reklama_data[[#This Row],[Darbuotojai 2020]]</f>
        <v>45411.029411764706</v>
      </c>
      <c r="AJ32" s="3">
        <v>-1.7432646592709985E-2</v>
      </c>
      <c r="AK32" s="2" t="s">
        <v>311</v>
      </c>
      <c r="AL32" s="2">
        <f>_20250609_reklama_data[[#This Row],[Atlyginimų vidurkis 2021]]*_20250609_reklama_data[[#This Row],[Darbuotojai 2021]]*12</f>
        <v>1279680</v>
      </c>
      <c r="AM32" s="2">
        <f>(_20250609_reklama_data[[#This Row],[Apyvarta 2021]]-_20250609_reklama_data[[#This Row],[Atlyginimų sąnaudos 2021]])/_20250609_reklama_data[[#This Row],[Darbuotojai 2021]]</f>
        <v>55570.474999999999</v>
      </c>
      <c r="AN32" s="3">
        <v>7.4999999999999997E-2</v>
      </c>
      <c r="AO32" s="2" t="s">
        <v>312</v>
      </c>
      <c r="AP32" s="2">
        <f>_20250609_reklama_data[[#This Row],[Atlyginimų vidurkis 2022]]*_20250609_reklama_data[[#This Row],[Darbuotojai 2022]]*12</f>
        <v>1350240</v>
      </c>
      <c r="AQ32" s="2">
        <f>(_20250609_reklama_data[[#This Row],[Apyvarta 2022]]-_20250609_reklama_data[[#This Row],[Atlyginimų sąnaudos 2022]])/_20250609_reklama_data[[#This Row],[Darbuotojai 2022]]</f>
        <v>64668.35</v>
      </c>
      <c r="AR32" s="3">
        <v>5.5138784696174045E-2</v>
      </c>
      <c r="AS32" s="2" t="s">
        <v>88</v>
      </c>
      <c r="AT32" s="2">
        <f>_20250609_reklama_data[[#This Row],[Atlyginimų vidurkis 2023]]*_20250609_reklama_data[[#This Row],[Darbuotojai 2023]]*12</f>
        <v>1568448</v>
      </c>
      <c r="AU32" s="2">
        <f>(_20250609_reklama_data[[#This Row],[Apyvarta 2023]]-_20250609_reklama_data[[#This Row],[Atlyginimų sąnaudos 2023]])/_20250609_reklama_data[[#This Row],[Darbuotojai 2023]]</f>
        <v>70221.119047619053</v>
      </c>
      <c r="AV32" s="3">
        <v>0.10629221471738358</v>
      </c>
      <c r="AW32" s="2" t="s">
        <v>313</v>
      </c>
      <c r="AX32" s="2">
        <f>_20250609_reklama_data[[#This Row],[Atlyginimų vidurkis 2024]]*_20250609_reklama_data[[#This Row],[Darbuotojai 2024]]*12</f>
        <v>1828464</v>
      </c>
      <c r="AY32" s="2">
        <f>(_20250609_reklama_data[[#This Row],[Apyvarta 2024]]-_20250609_reklama_data[[#This Row],[Atlyginimų sąnaudos 2024]])/_20250609_reklama_data[[#This Row],[Darbuotojai 2024]]</f>
        <v>77344.5</v>
      </c>
      <c r="AZ32" s="3">
        <v>0.11278920308483291</v>
      </c>
      <c r="BA32" s="2" t="s">
        <v>314</v>
      </c>
      <c r="BB32" s="2">
        <f>_20250609_reklama_data[[#This Row],[Atlyginimų vidurkis 2025 04]]*_20250609_reklama_data[[#This Row],[Darbuotojai 2025 06 09]]*5</f>
        <v>687460.8</v>
      </c>
      <c r="BC32" s="2" t="s">
        <v>80</v>
      </c>
      <c r="BD32" s="2">
        <v>2788993</v>
      </c>
      <c r="BE32" s="2">
        <v>2555815</v>
      </c>
      <c r="BF32" s="3">
        <v>-8.3606520346232491E-2</v>
      </c>
      <c r="BG32" s="2">
        <v>3502499</v>
      </c>
      <c r="BH32" s="3">
        <v>0.37040396116307323</v>
      </c>
      <c r="BI32" s="2">
        <v>3936974</v>
      </c>
      <c r="BJ32" s="3">
        <v>0.12404714462445243</v>
      </c>
      <c r="BK32" s="2">
        <v>4517735</v>
      </c>
      <c r="BL32" s="3">
        <v>0.1475145632153019</v>
      </c>
      <c r="BM32" s="2">
        <v>5231622</v>
      </c>
      <c r="BN32" s="3">
        <v>0.15801878596243471</v>
      </c>
      <c r="BO32" s="2">
        <v>193716</v>
      </c>
      <c r="BP32" s="2">
        <v>246631</v>
      </c>
      <c r="BQ32" s="3">
        <v>0.27315761217452356</v>
      </c>
      <c r="BR32" s="2">
        <v>294912</v>
      </c>
      <c r="BS32" s="3">
        <v>0.1957620899238133</v>
      </c>
      <c r="BT32" s="2">
        <v>269786</v>
      </c>
      <c r="BU32" s="3">
        <v>-8.5198296440972224E-2</v>
      </c>
      <c r="BV32" s="2">
        <v>316849</v>
      </c>
      <c r="BW32" s="3">
        <v>0.17444567175464998</v>
      </c>
      <c r="BX32" s="2">
        <v>329162</v>
      </c>
      <c r="BY32" s="3">
        <v>3.8860782265369306E-2</v>
      </c>
      <c r="BZ32" s="2" t="s">
        <v>316</v>
      </c>
      <c r="CA32" s="2" t="s">
        <v>1482</v>
      </c>
      <c r="CB32" s="2" t="s">
        <v>1483</v>
      </c>
      <c r="CC32" s="2" t="s">
        <v>1484</v>
      </c>
      <c r="CD32" s="2" t="s">
        <v>95</v>
      </c>
      <c r="CE32" s="2" t="s">
        <v>317</v>
      </c>
    </row>
    <row r="33" spans="1:83" x14ac:dyDescent="0.2">
      <c r="A33" s="41" t="s">
        <v>813</v>
      </c>
      <c r="B33" s="41" t="s">
        <v>1485</v>
      </c>
      <c r="C33" s="2" t="s">
        <v>814</v>
      </c>
      <c r="D33" s="2">
        <v>731100</v>
      </c>
      <c r="E33" s="2" t="s">
        <v>508</v>
      </c>
      <c r="F33" s="2"/>
      <c r="G33" s="2"/>
      <c r="H33" s="2"/>
      <c r="I33" s="2"/>
      <c r="J33" s="2">
        <v>304788355</v>
      </c>
      <c r="K33" s="2" t="s">
        <v>815</v>
      </c>
      <c r="L33" s="2" t="s">
        <v>1486</v>
      </c>
      <c r="M33" s="2" t="s">
        <v>817</v>
      </c>
      <c r="N33" s="2" t="s">
        <v>655</v>
      </c>
      <c r="O33" s="2" t="s">
        <v>818</v>
      </c>
      <c r="P33" s="2" t="s">
        <v>819</v>
      </c>
      <c r="Q33" s="2"/>
      <c r="R33" s="2" t="s">
        <v>590</v>
      </c>
      <c r="S33" s="2" t="s">
        <v>590</v>
      </c>
      <c r="T33" s="2" t="s">
        <v>590</v>
      </c>
      <c r="U33" s="2" t="s">
        <v>590</v>
      </c>
      <c r="V33" s="2" t="s">
        <v>590</v>
      </c>
      <c r="W33" s="2" t="s">
        <v>590</v>
      </c>
      <c r="X33" s="2" t="s">
        <v>590</v>
      </c>
      <c r="Y33" s="2" t="s">
        <v>590</v>
      </c>
      <c r="Z33" s="2" t="s">
        <v>590</v>
      </c>
      <c r="AA33" s="2" t="s">
        <v>590</v>
      </c>
      <c r="AB33" s="2" t="s">
        <v>590</v>
      </c>
      <c r="AC33" s="2"/>
      <c r="AD33" s="2" t="s">
        <v>590</v>
      </c>
      <c r="AE33" s="2" t="s">
        <v>590</v>
      </c>
      <c r="AF33" s="2" t="s">
        <v>590</v>
      </c>
      <c r="AG33" s="2" t="s">
        <v>590</v>
      </c>
      <c r="AH33" s="2" t="s">
        <v>590</v>
      </c>
      <c r="AI33" s="2" t="s">
        <v>590</v>
      </c>
      <c r="AJ33" s="2" t="s">
        <v>590</v>
      </c>
      <c r="AK33" s="2" t="s">
        <v>590</v>
      </c>
      <c r="AL33" s="2" t="s">
        <v>590</v>
      </c>
      <c r="AM33" s="2" t="s">
        <v>590</v>
      </c>
      <c r="AN33" s="2" t="s">
        <v>590</v>
      </c>
      <c r="AO33" s="2" t="s">
        <v>590</v>
      </c>
      <c r="AP33" s="2" t="s">
        <v>590</v>
      </c>
      <c r="AQ33" s="2" t="s">
        <v>590</v>
      </c>
      <c r="AR33" s="2" t="s">
        <v>590</v>
      </c>
      <c r="AS33" s="2" t="s">
        <v>590</v>
      </c>
      <c r="AT33" s="2" t="s">
        <v>590</v>
      </c>
      <c r="AU33" s="2" t="s">
        <v>590</v>
      </c>
      <c r="AV33" s="2" t="s">
        <v>590</v>
      </c>
      <c r="AW33" s="2" t="s">
        <v>590</v>
      </c>
      <c r="AX33" s="2" t="s">
        <v>590</v>
      </c>
      <c r="AY33" s="2" t="s">
        <v>590</v>
      </c>
      <c r="AZ33" s="2" t="s">
        <v>590</v>
      </c>
      <c r="BA33" s="2" t="s">
        <v>590</v>
      </c>
      <c r="BB33" s="2" t="s">
        <v>590</v>
      </c>
      <c r="BC33" s="2" t="s">
        <v>80</v>
      </c>
      <c r="BD33" s="2">
        <v>43550</v>
      </c>
      <c r="BE33" s="2">
        <v>41989</v>
      </c>
      <c r="BF33" s="3">
        <v>-3.5843857634902408E-2</v>
      </c>
      <c r="BG33" s="2">
        <v>96352</v>
      </c>
      <c r="BH33" s="3">
        <v>1.2946962299649909</v>
      </c>
      <c r="BI33" s="2">
        <v>201924</v>
      </c>
      <c r="BJ33" s="3">
        <v>1.0956908003985386</v>
      </c>
      <c r="BK33" s="2">
        <v>203378</v>
      </c>
      <c r="BL33" s="3">
        <v>7.2007289871436776E-3</v>
      </c>
      <c r="BM33" s="2">
        <v>211576</v>
      </c>
      <c r="BN33" s="3">
        <v>4.030917798385273E-2</v>
      </c>
      <c r="BO33" s="2">
        <v>12235</v>
      </c>
      <c r="BP33" s="2">
        <v>-561</v>
      </c>
      <c r="BQ33" s="3">
        <v>-1.0458520637515325</v>
      </c>
      <c r="BR33" s="2">
        <v>9803</v>
      </c>
      <c r="BS33" s="3">
        <v>18.474153297682701</v>
      </c>
      <c r="BT33" s="2">
        <v>25138</v>
      </c>
      <c r="BU33" s="3">
        <v>1.5643170458023055</v>
      </c>
      <c r="BV33" s="2">
        <v>28667</v>
      </c>
      <c r="BW33" s="3">
        <v>0.14038507438937067</v>
      </c>
      <c r="BX33" s="2">
        <v>1076</v>
      </c>
      <c r="BY33" s="3">
        <v>-0.9624655527261311</v>
      </c>
      <c r="BZ33" s="2" t="s">
        <v>821</v>
      </c>
      <c r="CA33" s="2" t="s">
        <v>1487</v>
      </c>
      <c r="CB33" s="2" t="s">
        <v>1488</v>
      </c>
      <c r="CC33" s="2" t="s">
        <v>1489</v>
      </c>
      <c r="CD33" s="2" t="s">
        <v>95</v>
      </c>
      <c r="CE33" s="2" t="s">
        <v>822</v>
      </c>
    </row>
    <row r="34" spans="1:83" x14ac:dyDescent="0.2">
      <c r="A34" s="41" t="s">
        <v>952</v>
      </c>
      <c r="B34" s="41" t="s">
        <v>1490</v>
      </c>
      <c r="C34" s="2" t="s">
        <v>950</v>
      </c>
      <c r="D34" s="2">
        <v>731100</v>
      </c>
      <c r="E34" s="2" t="s">
        <v>508</v>
      </c>
      <c r="F34" s="2"/>
      <c r="G34" s="2"/>
      <c r="H34" s="2"/>
      <c r="I34" s="2"/>
      <c r="J34" s="2">
        <v>111436135</v>
      </c>
      <c r="K34" s="2" t="s">
        <v>951</v>
      </c>
      <c r="L34" s="2" t="s">
        <v>952</v>
      </c>
      <c r="M34" s="2" t="s">
        <v>953</v>
      </c>
      <c r="N34" s="2" t="s">
        <v>77</v>
      </c>
      <c r="O34" s="2" t="s">
        <v>954</v>
      </c>
      <c r="P34" s="2" t="s">
        <v>955</v>
      </c>
      <c r="Q34" s="2">
        <v>37061387583</v>
      </c>
      <c r="R34" s="2" t="s">
        <v>129</v>
      </c>
      <c r="S34" s="2" t="s">
        <v>150</v>
      </c>
      <c r="T34" s="3">
        <v>-0.20930232558139536</v>
      </c>
      <c r="U34" s="2" t="s">
        <v>306</v>
      </c>
      <c r="V34" s="3">
        <v>8.8235294117647065E-2</v>
      </c>
      <c r="W34" s="2" t="s">
        <v>107</v>
      </c>
      <c r="X34" s="3">
        <v>8.1081081081081086E-2</v>
      </c>
      <c r="Y34" s="2" t="s">
        <v>307</v>
      </c>
      <c r="Z34" s="3">
        <v>0.05</v>
      </c>
      <c r="AA34" s="2" t="s">
        <v>176</v>
      </c>
      <c r="AB34" s="3">
        <v>-0.5</v>
      </c>
      <c r="AC34" s="2">
        <v>14</v>
      </c>
      <c r="AD34" s="2" t="s">
        <v>771</v>
      </c>
      <c r="AE34" s="2">
        <f>_20250609_reklama_data[[#This Row],[Atlyginimų vidurkis 2019]]*_20250609_reklama_data[[#This Row],[Darbuotojai 2019]]*12</f>
        <v>939636</v>
      </c>
      <c r="AF34" s="2">
        <f>(_20250609_reklama_data[[#This Row],[Apyvarta 2019]]-_20250609_reklama_data[[#This Row],[Atlyginimų sąnaudos 2019]])/_20250609_reklama_data[[#This Row],[Darbuotojai 2019]]</f>
        <v>28078.232558139534</v>
      </c>
      <c r="AG34" s="2" t="s">
        <v>956</v>
      </c>
      <c r="AH34" s="2">
        <f>_20250609_reklama_data[[#This Row],[Atlyginimų vidurkis 2020]]*_20250609_reklama_data[[#This Row],[Darbuotojai 2020]]*12</f>
        <v>790296</v>
      </c>
      <c r="AI34" s="2">
        <f>(_20250609_reklama_data[[#This Row],[Apyvarta 2020]]-_20250609_reklama_data[[#This Row],[Atlyginimų sąnaudos 2020]])/_20250609_reklama_data[[#This Row],[Darbuotojai 2020]]</f>
        <v>28226.588235294119</v>
      </c>
      <c r="AJ34" s="3">
        <v>6.3701263042284462E-2</v>
      </c>
      <c r="AK34" s="2" t="s">
        <v>957</v>
      </c>
      <c r="AL34" s="2">
        <f>_20250609_reklama_data[[#This Row],[Atlyginimų vidurkis 2021]]*_20250609_reklama_data[[#This Row],[Darbuotojai 2021]]*12</f>
        <v>1015872</v>
      </c>
      <c r="AM34" s="2">
        <f>(_20250609_reklama_data[[#This Row],[Apyvarta 2021]]-_20250609_reklama_data[[#This Row],[Atlyginimų sąnaudos 2021]])/_20250609_reklama_data[[#This Row],[Darbuotojai 2021]]</f>
        <v>77652.108108108107</v>
      </c>
      <c r="AN34" s="3">
        <v>0.18120805369127516</v>
      </c>
      <c r="AO34" s="2" t="s">
        <v>958</v>
      </c>
      <c r="AP34" s="2">
        <f>_20250609_reklama_data[[#This Row],[Atlyginimų vidurkis 2022]]*_20250609_reklama_data[[#This Row],[Darbuotojai 2022]]*12</f>
        <v>1263360</v>
      </c>
      <c r="AQ34" s="2">
        <f>(_20250609_reklama_data[[#This Row],[Apyvarta 2022]]-_20250609_reklama_data[[#This Row],[Atlyginimų sąnaudos 2022]])/_20250609_reklama_data[[#This Row],[Darbuotojai 2022]]</f>
        <v>110266</v>
      </c>
      <c r="AR34" s="3">
        <v>0.15034965034965034</v>
      </c>
      <c r="AS34" s="2" t="s">
        <v>959</v>
      </c>
      <c r="AT34" s="2">
        <f>_20250609_reklama_data[[#This Row],[Atlyginimų vidurkis 2023]]*_20250609_reklama_data[[#This Row],[Darbuotojai 2023]]*12</f>
        <v>1443456</v>
      </c>
      <c r="AU34" s="2">
        <f>(_20250609_reklama_data[[#This Row],[Apyvarta 2023]]-_20250609_reklama_data[[#This Row],[Atlyginimų sąnaudos 2023]])/_20250609_reklama_data[[#This Row],[Darbuotojai 2023]]</f>
        <v>82727.238095238092</v>
      </c>
      <c r="AV34" s="3">
        <v>8.8145896656534953E-2</v>
      </c>
      <c r="AW34" s="2" t="s">
        <v>960</v>
      </c>
      <c r="AX34" s="2">
        <f>_20250609_reklama_data[[#This Row],[Atlyginimų vidurkis 2024]]*_20250609_reklama_data[[#This Row],[Darbuotojai 2024]]*12</f>
        <v>750960</v>
      </c>
      <c r="AY34" s="2">
        <f>(_20250609_reklama_data[[#This Row],[Apyvarta 2024]]-_20250609_reklama_data[[#This Row],[Atlyginimų sąnaudos 2024]])/_20250609_reklama_data[[#This Row],[Darbuotojai 2024]]</f>
        <v>-35760</v>
      </c>
      <c r="AZ34" s="3">
        <v>4.0502793296089384E-2</v>
      </c>
      <c r="BA34" s="2" t="s">
        <v>961</v>
      </c>
      <c r="BB34" s="2">
        <f>_20250609_reklama_data[[#This Row],[Atlyginimų vidurkis 2025 04]]*_20250609_reklama_data[[#This Row],[Darbuotojai 2025 06 09]]*5</f>
        <v>163588.6</v>
      </c>
      <c r="BC34" s="2" t="s">
        <v>80</v>
      </c>
      <c r="BD34" s="2">
        <v>2147000</v>
      </c>
      <c r="BE34" s="2">
        <v>1750000</v>
      </c>
      <c r="BF34" s="3">
        <v>-0.18490917559385189</v>
      </c>
      <c r="BG34" s="2">
        <v>3889000</v>
      </c>
      <c r="BH34" s="3">
        <v>1.2222857142857142</v>
      </c>
      <c r="BI34" s="2">
        <v>5674000</v>
      </c>
      <c r="BJ34" s="3">
        <v>0.45898688608896887</v>
      </c>
      <c r="BK34" s="2">
        <v>4918000</v>
      </c>
      <c r="BL34" s="3">
        <v>-0.13323933732816357</v>
      </c>
      <c r="BM34" s="2"/>
      <c r="BN34" s="2" t="s">
        <v>590</v>
      </c>
      <c r="BO34" s="2">
        <v>313000</v>
      </c>
      <c r="BP34" s="2">
        <v>249000</v>
      </c>
      <c r="BQ34" s="3">
        <v>-0.20447284345047922</v>
      </c>
      <c r="BR34" s="2">
        <v>133000</v>
      </c>
      <c r="BS34" s="3">
        <v>-0.46586345381526106</v>
      </c>
      <c r="BT34" s="2">
        <v>180000</v>
      </c>
      <c r="BU34" s="3">
        <v>0.35338345864661652</v>
      </c>
      <c r="BV34" s="2">
        <v>-769000</v>
      </c>
      <c r="BW34" s="3">
        <v>-5.2722222222222221</v>
      </c>
      <c r="BX34" s="2"/>
      <c r="BY34" s="2" t="s">
        <v>590</v>
      </c>
      <c r="BZ34" s="2" t="s">
        <v>963</v>
      </c>
      <c r="CA34" s="2" t="s">
        <v>1491</v>
      </c>
      <c r="CB34" s="2" t="s">
        <v>80</v>
      </c>
      <c r="CC34" s="2" t="s">
        <v>1492</v>
      </c>
      <c r="CD34" s="2" t="s">
        <v>628</v>
      </c>
      <c r="CE34" s="2" t="s">
        <v>964</v>
      </c>
    </row>
    <row r="35" spans="1:83" x14ac:dyDescent="0.2">
      <c r="A35" s="42" t="s">
        <v>1493</v>
      </c>
      <c r="B35" s="41" t="s">
        <v>1494</v>
      </c>
      <c r="C35" s="2"/>
      <c r="D35" s="2"/>
      <c r="E35" s="2"/>
      <c r="F35" s="2"/>
      <c r="G35" s="2"/>
      <c r="H35" s="2"/>
      <c r="I35" s="2"/>
      <c r="J35" s="2">
        <v>302932718</v>
      </c>
      <c r="K35" s="2" t="s">
        <v>1290</v>
      </c>
      <c r="L35" s="2" t="s">
        <v>1287</v>
      </c>
      <c r="M35" s="2" t="s">
        <v>1291</v>
      </c>
      <c r="N35" s="2" t="s">
        <v>77</v>
      </c>
      <c r="O35" s="2" t="s">
        <v>1292</v>
      </c>
      <c r="P35" s="2"/>
      <c r="Q35" s="2">
        <v>37067623796</v>
      </c>
      <c r="R35" s="2" t="s">
        <v>590</v>
      </c>
      <c r="S35" s="2" t="s">
        <v>590</v>
      </c>
      <c r="T35" s="2" t="s">
        <v>590</v>
      </c>
      <c r="U35" s="2" t="s">
        <v>590</v>
      </c>
      <c r="V35" s="2" t="s">
        <v>590</v>
      </c>
      <c r="W35" s="2">
        <v>1</v>
      </c>
      <c r="X35" s="2" t="s">
        <v>590</v>
      </c>
      <c r="Y35" s="2">
        <v>2</v>
      </c>
      <c r="Z35" s="2">
        <v>1</v>
      </c>
      <c r="AA35" s="2">
        <v>3</v>
      </c>
      <c r="AB35" s="2">
        <v>0.5</v>
      </c>
      <c r="AC35" s="2">
        <v>3</v>
      </c>
      <c r="AD35" s="2" t="s">
        <v>590</v>
      </c>
      <c r="AE35" s="2" t="e">
        <v>#VALUE!</v>
      </c>
      <c r="AF35" s="2" t="e">
        <v>#VALUE!</v>
      </c>
      <c r="AG35" s="2" t="s">
        <v>590</v>
      </c>
      <c r="AH35" s="2" t="e">
        <v>#VALUE!</v>
      </c>
      <c r="AI35" s="2" t="e">
        <v>#VALUE!</v>
      </c>
      <c r="AJ35" s="2" t="s">
        <v>590</v>
      </c>
      <c r="AK35" s="2" t="s">
        <v>590</v>
      </c>
      <c r="AL35" s="2" t="e">
        <v>#VALUE!</v>
      </c>
      <c r="AM35" s="2" t="e">
        <v>#VALUE!</v>
      </c>
      <c r="AN35" s="2" t="s">
        <v>590</v>
      </c>
      <c r="AO35" s="2" t="s">
        <v>590</v>
      </c>
      <c r="AP35" s="2" t="e">
        <v>#VALUE!</v>
      </c>
      <c r="AQ35" s="2" t="e">
        <v>#VALUE!</v>
      </c>
      <c r="AR35" s="2" t="s">
        <v>590</v>
      </c>
      <c r="AS35" s="2" t="s">
        <v>590</v>
      </c>
      <c r="AT35" s="2" t="e">
        <v>#VALUE!</v>
      </c>
      <c r="AU35" s="2" t="e">
        <v>#VALUE!</v>
      </c>
      <c r="AV35" s="2" t="s">
        <v>590</v>
      </c>
      <c r="AW35" s="2" t="s">
        <v>590</v>
      </c>
      <c r="AX35" s="2" t="e">
        <v>#VALUE!</v>
      </c>
      <c r="AY35" s="2" t="e">
        <v>#VALUE!</v>
      </c>
      <c r="AZ35" s="2" t="s">
        <v>590</v>
      </c>
      <c r="BA35" s="2" t="s">
        <v>590</v>
      </c>
      <c r="BB35" s="2" t="e">
        <v>#VALUE!</v>
      </c>
      <c r="BC35" s="2"/>
      <c r="BD35" s="2">
        <v>213414</v>
      </c>
      <c r="BE35" s="2">
        <v>153278</v>
      </c>
      <c r="BF35" s="2">
        <v>-0.28000000000000003</v>
      </c>
      <c r="BG35" s="2">
        <v>196578</v>
      </c>
      <c r="BH35" s="2">
        <v>0.28000000000000003</v>
      </c>
      <c r="BI35" s="2">
        <v>240432</v>
      </c>
      <c r="BJ35" s="2">
        <v>0.22</v>
      </c>
      <c r="BK35" s="2">
        <v>155163</v>
      </c>
      <c r="BL35" s="2">
        <v>-0.35</v>
      </c>
      <c r="BM35" s="2">
        <v>217614</v>
      </c>
      <c r="BN35" s="2">
        <v>0.4</v>
      </c>
      <c r="BO35" s="2">
        <v>56780</v>
      </c>
      <c r="BP35" s="2">
        <v>-2132</v>
      </c>
      <c r="BQ35" s="2">
        <v>-1.04</v>
      </c>
      <c r="BR35" s="2">
        <v>21552</v>
      </c>
      <c r="BS35" s="2">
        <v>11.11</v>
      </c>
      <c r="BT35" s="2">
        <v>23364</v>
      </c>
      <c r="BU35" s="2">
        <v>0.08</v>
      </c>
      <c r="BV35" s="2">
        <v>-27895</v>
      </c>
      <c r="BW35" s="2">
        <v>-2.19</v>
      </c>
      <c r="BX35" s="2">
        <v>31160</v>
      </c>
      <c r="BY35" s="2">
        <v>2.12</v>
      </c>
      <c r="BZ35" s="2" t="s">
        <v>1293</v>
      </c>
      <c r="CA35" s="2" t="s">
        <v>1294</v>
      </c>
      <c r="CB35" s="2"/>
      <c r="CC35" s="2"/>
      <c r="CD35" s="2" t="s">
        <v>95</v>
      </c>
      <c r="CE35" s="2" t="s">
        <v>1137</v>
      </c>
    </row>
    <row r="36" spans="1:83" ht="32" x14ac:dyDescent="0.2">
      <c r="A36" s="42" t="s">
        <v>1495</v>
      </c>
      <c r="B36" s="41" t="s">
        <v>1496</v>
      </c>
      <c r="C36" s="2"/>
      <c r="D36" s="2"/>
      <c r="E36" s="2"/>
      <c r="F36" s="2"/>
      <c r="G36" s="2"/>
      <c r="H36" s="2"/>
      <c r="I36" s="2"/>
      <c r="J36" s="2">
        <v>126286061</v>
      </c>
      <c r="K36" s="2" t="s">
        <v>1140</v>
      </c>
      <c r="L36" s="2" t="s">
        <v>1138</v>
      </c>
      <c r="M36" s="43" t="s">
        <v>1141</v>
      </c>
      <c r="N36" s="2" t="s">
        <v>77</v>
      </c>
      <c r="O36" s="2" t="s">
        <v>1142</v>
      </c>
      <c r="P36" s="43" t="s">
        <v>1143</v>
      </c>
      <c r="Q36" s="2">
        <v>37068757155</v>
      </c>
      <c r="R36" s="2">
        <v>21</v>
      </c>
      <c r="S36" s="2">
        <v>18</v>
      </c>
      <c r="T36" s="2">
        <v>-0.14000000000000001</v>
      </c>
      <c r="U36" s="2">
        <v>15</v>
      </c>
      <c r="V36" s="2">
        <v>-0.17</v>
      </c>
      <c r="W36" s="2">
        <v>14</v>
      </c>
      <c r="X36" s="2">
        <v>-7.0000000000000007E-2</v>
      </c>
      <c r="Y36" s="2">
        <v>13</v>
      </c>
      <c r="Z36" s="2">
        <v>-7.0000000000000007E-2</v>
      </c>
      <c r="AA36" s="2">
        <v>11</v>
      </c>
      <c r="AB36" s="2">
        <v>-0.15</v>
      </c>
      <c r="AC36" s="2">
        <v>11</v>
      </c>
      <c r="AD36" s="2">
        <v>805</v>
      </c>
      <c r="AE36" s="2">
        <v>16905</v>
      </c>
      <c r="AF36" s="2">
        <v>67060.809519999995</v>
      </c>
      <c r="AG36" s="2">
        <v>672</v>
      </c>
      <c r="AH36" s="2">
        <v>12096</v>
      </c>
      <c r="AI36" s="2">
        <v>34276.277779999997</v>
      </c>
      <c r="AJ36" s="2">
        <v>-0.17</v>
      </c>
      <c r="AK36" s="2">
        <v>706</v>
      </c>
      <c r="AL36" s="2">
        <v>10590</v>
      </c>
      <c r="AM36" s="2">
        <v>40715.06667</v>
      </c>
      <c r="AN36" s="2">
        <v>0.05</v>
      </c>
      <c r="AO36" s="2">
        <v>702</v>
      </c>
      <c r="AP36" s="2">
        <v>9828</v>
      </c>
      <c r="AQ36" s="2">
        <v>55735.64286</v>
      </c>
      <c r="AR36" s="2">
        <v>-0.01</v>
      </c>
      <c r="AS36" s="2">
        <v>951</v>
      </c>
      <c r="AT36" s="2">
        <v>12363</v>
      </c>
      <c r="AU36" s="2">
        <v>103448.0769</v>
      </c>
      <c r="AV36" s="2">
        <v>0.35</v>
      </c>
      <c r="AW36" s="2">
        <v>1136</v>
      </c>
      <c r="AX36" s="2">
        <v>12496</v>
      </c>
      <c r="AY36" s="2">
        <v>179292</v>
      </c>
      <c r="AZ36" s="2">
        <v>0.19</v>
      </c>
      <c r="BA36" s="2">
        <v>1177</v>
      </c>
      <c r="BB36" s="2">
        <v>12947</v>
      </c>
      <c r="BC36" s="2"/>
      <c r="BD36" s="2">
        <v>1425182</v>
      </c>
      <c r="BE36" s="2">
        <v>629069</v>
      </c>
      <c r="BF36" s="2">
        <v>-0.56000000000000005</v>
      </c>
      <c r="BG36" s="2">
        <v>621316</v>
      </c>
      <c r="BH36" s="2">
        <v>-0.01</v>
      </c>
      <c r="BI36" s="2">
        <v>790127</v>
      </c>
      <c r="BJ36" s="2">
        <v>0.27</v>
      </c>
      <c r="BK36" s="2">
        <v>1357188</v>
      </c>
      <c r="BL36" s="2">
        <v>0.72</v>
      </c>
      <c r="BM36" s="2">
        <v>1984708</v>
      </c>
      <c r="BN36" s="2">
        <v>0.46</v>
      </c>
      <c r="BO36" s="2">
        <v>749</v>
      </c>
      <c r="BP36" s="2">
        <v>73</v>
      </c>
      <c r="BQ36" s="2">
        <v>-0.9</v>
      </c>
      <c r="BR36" s="2">
        <v>51</v>
      </c>
      <c r="BS36" s="2">
        <v>-0.3</v>
      </c>
      <c r="BT36" s="2">
        <v>1370</v>
      </c>
      <c r="BU36" s="2">
        <v>25.86</v>
      </c>
      <c r="BV36" s="2">
        <v>18707</v>
      </c>
      <c r="BW36" s="2">
        <v>12.65</v>
      </c>
      <c r="BX36" s="2">
        <v>93394</v>
      </c>
      <c r="BY36" s="2">
        <v>3.99</v>
      </c>
      <c r="BZ36" s="43" t="s">
        <v>1144</v>
      </c>
      <c r="CA36" s="2" t="s">
        <v>1145</v>
      </c>
      <c r="CB36" s="43" t="s">
        <v>1146</v>
      </c>
      <c r="CC36" s="2" t="s">
        <v>1147</v>
      </c>
      <c r="CD36" s="2" t="s">
        <v>189</v>
      </c>
      <c r="CE36" s="2" t="s">
        <v>1137</v>
      </c>
    </row>
    <row r="37" spans="1:83" x14ac:dyDescent="0.2">
      <c r="A37" s="41" t="s">
        <v>998</v>
      </c>
      <c r="B37" s="41" t="s">
        <v>1497</v>
      </c>
      <c r="C37" s="2" t="s">
        <v>999</v>
      </c>
      <c r="D37" s="2">
        <v>620100</v>
      </c>
      <c r="E37" s="2" t="s">
        <v>651</v>
      </c>
      <c r="F37" s="2"/>
      <c r="G37" s="2"/>
      <c r="H37" s="2"/>
      <c r="I37" s="2"/>
      <c r="J37" s="2">
        <v>224497630</v>
      </c>
      <c r="K37" s="2" t="s">
        <v>80</v>
      </c>
      <c r="L37" s="2" t="s">
        <v>1498</v>
      </c>
      <c r="M37" s="2" t="s">
        <v>1001</v>
      </c>
      <c r="N37" s="2" t="s">
        <v>77</v>
      </c>
      <c r="O37" s="2" t="s">
        <v>1002</v>
      </c>
      <c r="P37" s="2" t="s">
        <v>80</v>
      </c>
      <c r="Q37" s="2">
        <v>37068516600</v>
      </c>
      <c r="R37" s="2" t="s">
        <v>636</v>
      </c>
      <c r="S37" s="2" t="s">
        <v>636</v>
      </c>
      <c r="T37" s="3">
        <v>0</v>
      </c>
      <c r="U37" s="2" t="s">
        <v>752</v>
      </c>
      <c r="V37" s="3">
        <v>-0.5</v>
      </c>
      <c r="W37" s="2" t="s">
        <v>752</v>
      </c>
      <c r="X37" s="3">
        <v>0</v>
      </c>
      <c r="Y37" s="2" t="s">
        <v>752</v>
      </c>
      <c r="Z37" s="3">
        <v>0</v>
      </c>
      <c r="AA37" s="2" t="s">
        <v>752</v>
      </c>
      <c r="AB37" s="3">
        <v>0</v>
      </c>
      <c r="AC37" s="2">
        <v>1</v>
      </c>
      <c r="AD37" s="2" t="s">
        <v>590</v>
      </c>
      <c r="AE37" s="2" t="s">
        <v>590</v>
      </c>
      <c r="AF37" s="2" t="s">
        <v>590</v>
      </c>
      <c r="AG37" s="2" t="s">
        <v>590</v>
      </c>
      <c r="AH37" s="2" t="s">
        <v>590</v>
      </c>
      <c r="AI37" s="2" t="s">
        <v>590</v>
      </c>
      <c r="AJ37" s="2" t="s">
        <v>590</v>
      </c>
      <c r="AK37" s="2" t="s">
        <v>590</v>
      </c>
      <c r="AL37" s="2" t="s">
        <v>590</v>
      </c>
      <c r="AM37" s="2" t="s">
        <v>590</v>
      </c>
      <c r="AN37" s="2" t="s">
        <v>590</v>
      </c>
      <c r="AO37" s="2" t="s">
        <v>590</v>
      </c>
      <c r="AP37" s="2" t="s">
        <v>590</v>
      </c>
      <c r="AQ37" s="2" t="s">
        <v>590</v>
      </c>
      <c r="AR37" s="2" t="s">
        <v>590</v>
      </c>
      <c r="AS37" s="2" t="s">
        <v>590</v>
      </c>
      <c r="AT37" s="2" t="s">
        <v>590</v>
      </c>
      <c r="AU37" s="2" t="s">
        <v>590</v>
      </c>
      <c r="AV37" s="2" t="s">
        <v>590</v>
      </c>
      <c r="AW37" s="2" t="s">
        <v>590</v>
      </c>
      <c r="AX37" s="2" t="s">
        <v>590</v>
      </c>
      <c r="AY37" s="2" t="s">
        <v>590</v>
      </c>
      <c r="AZ37" s="2" t="s">
        <v>590</v>
      </c>
      <c r="BA37" s="2" t="s">
        <v>590</v>
      </c>
      <c r="BB37" s="2" t="s">
        <v>590</v>
      </c>
      <c r="BC37" s="2" t="s">
        <v>80</v>
      </c>
      <c r="BD37" s="2">
        <v>391819</v>
      </c>
      <c r="BE37" s="2">
        <v>447495</v>
      </c>
      <c r="BF37" s="3">
        <v>0.14209622300092645</v>
      </c>
      <c r="BG37" s="2">
        <v>378329</v>
      </c>
      <c r="BH37" s="3">
        <v>-0.1545626208114057</v>
      </c>
      <c r="BI37" s="2">
        <v>460101</v>
      </c>
      <c r="BJ37" s="3">
        <v>0.21613992054534545</v>
      </c>
      <c r="BK37" s="2"/>
      <c r="BL37" s="2" t="s">
        <v>590</v>
      </c>
      <c r="BM37" s="2"/>
      <c r="BN37" s="2" t="s">
        <v>590</v>
      </c>
      <c r="BO37" s="2">
        <v>4711</v>
      </c>
      <c r="BP37" s="2">
        <v>-81138</v>
      </c>
      <c r="BQ37" s="3">
        <v>-18.223094884313308</v>
      </c>
      <c r="BR37" s="2">
        <v>41669</v>
      </c>
      <c r="BS37" s="3">
        <v>1.5135571495476801</v>
      </c>
      <c r="BT37" s="2">
        <v>246126</v>
      </c>
      <c r="BU37" s="3">
        <v>4.9066932251793896</v>
      </c>
      <c r="BV37" s="2">
        <v>25837</v>
      </c>
      <c r="BW37" s="3">
        <v>-0.89502531223844695</v>
      </c>
      <c r="BX37" s="2"/>
      <c r="BY37" s="2" t="s">
        <v>590</v>
      </c>
      <c r="BZ37" s="2" t="s">
        <v>1004</v>
      </c>
      <c r="CA37" s="2" t="s">
        <v>1499</v>
      </c>
      <c r="CB37" s="2" t="s">
        <v>1500</v>
      </c>
      <c r="CC37" s="2" t="s">
        <v>80</v>
      </c>
      <c r="CD37" s="2" t="s">
        <v>95</v>
      </c>
      <c r="CE37" s="2" t="s">
        <v>1005</v>
      </c>
    </row>
    <row r="38" spans="1:83" x14ac:dyDescent="0.2">
      <c r="A38" s="41" t="s">
        <v>924</v>
      </c>
      <c r="B38" s="41" t="s">
        <v>1501</v>
      </c>
      <c r="C38" s="2" t="s">
        <v>925</v>
      </c>
      <c r="D38" s="2">
        <v>731100</v>
      </c>
      <c r="E38" s="2" t="s">
        <v>508</v>
      </c>
      <c r="F38" s="2"/>
      <c r="G38" s="2"/>
      <c r="H38" s="2"/>
      <c r="I38" s="2"/>
      <c r="J38" s="2">
        <v>303020484</v>
      </c>
      <c r="K38" s="2" t="s">
        <v>926</v>
      </c>
      <c r="L38" s="2" t="s">
        <v>924</v>
      </c>
      <c r="M38" s="2" t="s">
        <v>928</v>
      </c>
      <c r="N38" s="2" t="s">
        <v>77</v>
      </c>
      <c r="O38" s="2" t="s">
        <v>929</v>
      </c>
      <c r="P38" s="2" t="s">
        <v>80</v>
      </c>
      <c r="Q38" s="2">
        <v>37065514049</v>
      </c>
      <c r="R38" s="2" t="s">
        <v>752</v>
      </c>
      <c r="S38" s="2" t="s">
        <v>752</v>
      </c>
      <c r="T38" s="3">
        <v>0</v>
      </c>
      <c r="U38" s="2" t="s">
        <v>752</v>
      </c>
      <c r="V38" s="3">
        <v>0</v>
      </c>
      <c r="W38" s="2" t="s">
        <v>752</v>
      </c>
      <c r="X38" s="3">
        <v>0</v>
      </c>
      <c r="Y38" s="2" t="s">
        <v>752</v>
      </c>
      <c r="Z38" s="3">
        <v>0</v>
      </c>
      <c r="AA38" s="2" t="s">
        <v>752</v>
      </c>
      <c r="AB38" s="3">
        <v>0</v>
      </c>
      <c r="AC38" s="2">
        <v>1</v>
      </c>
      <c r="AD38" s="2" t="s">
        <v>590</v>
      </c>
      <c r="AE38" s="2" t="s">
        <v>590</v>
      </c>
      <c r="AF38" s="2" t="s">
        <v>590</v>
      </c>
      <c r="AG38" s="2" t="s">
        <v>590</v>
      </c>
      <c r="AH38" s="2" t="s">
        <v>590</v>
      </c>
      <c r="AI38" s="2" t="s">
        <v>590</v>
      </c>
      <c r="AJ38" s="2" t="s">
        <v>590</v>
      </c>
      <c r="AK38" s="2" t="s">
        <v>590</v>
      </c>
      <c r="AL38" s="2" t="s">
        <v>590</v>
      </c>
      <c r="AM38" s="2" t="s">
        <v>590</v>
      </c>
      <c r="AN38" s="2" t="s">
        <v>590</v>
      </c>
      <c r="AO38" s="2" t="s">
        <v>590</v>
      </c>
      <c r="AP38" s="2" t="s">
        <v>590</v>
      </c>
      <c r="AQ38" s="2" t="s">
        <v>590</v>
      </c>
      <c r="AR38" s="2" t="s">
        <v>590</v>
      </c>
      <c r="AS38" s="2" t="s">
        <v>590</v>
      </c>
      <c r="AT38" s="2" t="s">
        <v>590</v>
      </c>
      <c r="AU38" s="2" t="s">
        <v>590</v>
      </c>
      <c r="AV38" s="2" t="s">
        <v>590</v>
      </c>
      <c r="AW38" s="2" t="s">
        <v>590</v>
      </c>
      <c r="AX38" s="2" t="s">
        <v>590</v>
      </c>
      <c r="AY38" s="2" t="s">
        <v>590</v>
      </c>
      <c r="AZ38" s="2" t="s">
        <v>590</v>
      </c>
      <c r="BA38" s="2" t="s">
        <v>590</v>
      </c>
      <c r="BB38" s="2" t="s">
        <v>590</v>
      </c>
      <c r="BC38" s="2" t="s">
        <v>80</v>
      </c>
      <c r="BD38" s="2">
        <v>22054</v>
      </c>
      <c r="BE38" s="2">
        <v>17953</v>
      </c>
      <c r="BF38" s="3">
        <v>-0.18595266164868052</v>
      </c>
      <c r="BG38" s="2">
        <v>31688</v>
      </c>
      <c r="BH38" s="3">
        <v>0.76505319445218067</v>
      </c>
      <c r="BI38" s="2">
        <v>64112</v>
      </c>
      <c r="BJ38" s="3">
        <v>1.0232264579651602</v>
      </c>
      <c r="BK38" s="2">
        <v>50177</v>
      </c>
      <c r="BL38" s="3">
        <v>-0.21735400549039183</v>
      </c>
      <c r="BM38" s="2">
        <v>41486</v>
      </c>
      <c r="BN38" s="3">
        <v>-0.17320684775893339</v>
      </c>
      <c r="BO38" s="2">
        <v>467</v>
      </c>
      <c r="BP38" s="2">
        <v>1177</v>
      </c>
      <c r="BQ38" s="3">
        <v>1.5203426124197001</v>
      </c>
      <c r="BR38" s="2">
        <v>1376</v>
      </c>
      <c r="BS38" s="3">
        <v>0.16907391673746813</v>
      </c>
      <c r="BT38" s="2">
        <v>1818</v>
      </c>
      <c r="BU38" s="3">
        <v>0.32122093023255816</v>
      </c>
      <c r="BV38" s="2">
        <v>2050</v>
      </c>
      <c r="BW38" s="3">
        <v>0.12761276127612761</v>
      </c>
      <c r="BX38" s="2">
        <v>436</v>
      </c>
      <c r="BY38" s="3">
        <v>-0.78731707317073174</v>
      </c>
      <c r="BZ38" s="2" t="s">
        <v>931</v>
      </c>
      <c r="CA38" s="2" t="s">
        <v>1502</v>
      </c>
      <c r="CB38" s="2" t="s">
        <v>80</v>
      </c>
      <c r="CC38" s="2" t="s">
        <v>80</v>
      </c>
      <c r="CD38" s="2" t="s">
        <v>189</v>
      </c>
      <c r="CE38" s="2" t="s">
        <v>932</v>
      </c>
    </row>
    <row r="39" spans="1:83" x14ac:dyDescent="0.2">
      <c r="A39" s="42" t="s">
        <v>1200</v>
      </c>
      <c r="B39" s="41" t="s">
        <v>1503</v>
      </c>
      <c r="C39" s="2"/>
      <c r="D39" s="2"/>
      <c r="E39" s="2"/>
      <c r="F39" s="2"/>
      <c r="G39" s="2"/>
      <c r="H39" s="2"/>
      <c r="I39" s="2"/>
      <c r="J39" s="2">
        <v>302417999</v>
      </c>
      <c r="K39" s="2" t="s">
        <v>1202</v>
      </c>
      <c r="L39" s="2" t="s">
        <v>1200</v>
      </c>
      <c r="M39" s="2" t="s">
        <v>215</v>
      </c>
      <c r="N39" s="2" t="s">
        <v>77</v>
      </c>
      <c r="O39" s="2" t="s">
        <v>1203</v>
      </c>
      <c r="P39" s="2"/>
      <c r="Q39" s="2">
        <v>37065944300</v>
      </c>
      <c r="R39" s="2">
        <v>24</v>
      </c>
      <c r="S39" s="2">
        <v>27</v>
      </c>
      <c r="T39" s="2">
        <v>0.13</v>
      </c>
      <c r="U39" s="2">
        <v>32</v>
      </c>
      <c r="V39" s="2">
        <v>0.19</v>
      </c>
      <c r="W39" s="2">
        <v>33</v>
      </c>
      <c r="X39" s="2">
        <v>0.03</v>
      </c>
      <c r="Y39" s="2">
        <v>32</v>
      </c>
      <c r="Z39" s="2">
        <v>-0.03</v>
      </c>
      <c r="AA39" s="2">
        <v>31</v>
      </c>
      <c r="AB39" s="2">
        <v>-0.03</v>
      </c>
      <c r="AC39" s="2">
        <v>29</v>
      </c>
      <c r="AD39" s="2">
        <v>2049</v>
      </c>
      <c r="AE39" s="2">
        <v>49176</v>
      </c>
      <c r="AF39" s="2">
        <v>241591.375</v>
      </c>
      <c r="AG39" s="2">
        <v>2167</v>
      </c>
      <c r="AH39" s="2">
        <v>58509</v>
      </c>
      <c r="AI39" s="2">
        <v>221592.3333</v>
      </c>
      <c r="AJ39" s="2">
        <v>0.06</v>
      </c>
      <c r="AK39" s="2">
        <v>2575</v>
      </c>
      <c r="AL39" s="2">
        <v>82400</v>
      </c>
      <c r="AM39" s="2">
        <v>322142.03129999997</v>
      </c>
      <c r="AN39" s="2">
        <v>0.19</v>
      </c>
      <c r="AO39" s="2">
        <v>2851</v>
      </c>
      <c r="AP39" s="2">
        <v>94083</v>
      </c>
      <c r="AQ39" s="2">
        <v>273397.48479999998</v>
      </c>
      <c r="AR39" s="2">
        <v>0.11</v>
      </c>
      <c r="AS39" s="2">
        <v>3081</v>
      </c>
      <c r="AT39" s="2">
        <v>98592</v>
      </c>
      <c r="AU39" s="2">
        <v>284375.40629999997</v>
      </c>
      <c r="AV39" s="2">
        <v>0.08</v>
      </c>
      <c r="AW39" s="2">
        <v>3243</v>
      </c>
      <c r="AX39" s="2">
        <v>100533</v>
      </c>
      <c r="AY39" s="2">
        <v>322483.51610000001</v>
      </c>
      <c r="AZ39" s="2">
        <v>0.05</v>
      </c>
      <c r="BA39" s="2">
        <v>3467</v>
      </c>
      <c r="BB39" s="2">
        <v>100543</v>
      </c>
      <c r="BC39" s="2"/>
      <c r="BD39" s="2">
        <v>5847369</v>
      </c>
      <c r="BE39" s="2">
        <v>6041502</v>
      </c>
      <c r="BF39" s="2">
        <v>0.03</v>
      </c>
      <c r="BG39" s="2">
        <v>10390945</v>
      </c>
      <c r="BH39" s="2">
        <v>0.72</v>
      </c>
      <c r="BI39" s="2">
        <v>9116200</v>
      </c>
      <c r="BJ39" s="2">
        <v>-0.12</v>
      </c>
      <c r="BK39" s="2">
        <v>9198605</v>
      </c>
      <c r="BL39" s="2">
        <v>0.01</v>
      </c>
      <c r="BM39" s="2">
        <v>10097522</v>
      </c>
      <c r="BN39" s="2">
        <v>0.1</v>
      </c>
      <c r="BO39" s="2">
        <v>387671</v>
      </c>
      <c r="BP39" s="2">
        <v>251222</v>
      </c>
      <c r="BQ39" s="2">
        <v>-0.35</v>
      </c>
      <c r="BR39" s="2">
        <v>469190</v>
      </c>
      <c r="BS39" s="2">
        <v>0.87</v>
      </c>
      <c r="BT39" s="2">
        <v>306081</v>
      </c>
      <c r="BU39" s="2">
        <v>-0.35</v>
      </c>
      <c r="BV39" s="2">
        <v>244322</v>
      </c>
      <c r="BW39" s="2">
        <v>-0.2</v>
      </c>
      <c r="BX39" s="2">
        <v>244402</v>
      </c>
      <c r="BY39" s="2">
        <v>0</v>
      </c>
      <c r="BZ39" s="2" t="s">
        <v>1204</v>
      </c>
      <c r="CA39" s="2"/>
      <c r="CB39" s="2"/>
      <c r="CC39" s="2"/>
      <c r="CD39" s="2" t="s">
        <v>95</v>
      </c>
      <c r="CE39" s="2" t="s">
        <v>1137</v>
      </c>
    </row>
    <row r="40" spans="1:83" x14ac:dyDescent="0.2">
      <c r="A40" s="41" t="s">
        <v>232</v>
      </c>
      <c r="B40" s="41" t="s">
        <v>1504</v>
      </c>
      <c r="C40" s="2" t="s">
        <v>233</v>
      </c>
      <c r="D40" s="2">
        <v>731100</v>
      </c>
      <c r="E40" s="2" t="s">
        <v>73</v>
      </c>
      <c r="F40" s="2"/>
      <c r="G40" s="2"/>
      <c r="H40" s="2"/>
      <c r="I40" s="2"/>
      <c r="J40" s="2">
        <v>302344394</v>
      </c>
      <c r="K40" s="2" t="s">
        <v>234</v>
      </c>
      <c r="L40" s="2" t="s">
        <v>232</v>
      </c>
      <c r="M40" s="2" t="s">
        <v>215</v>
      </c>
      <c r="N40" s="2" t="s">
        <v>77</v>
      </c>
      <c r="O40" s="2" t="s">
        <v>235</v>
      </c>
      <c r="P40" s="2" t="s">
        <v>236</v>
      </c>
      <c r="Q40" s="2"/>
      <c r="R40" s="2" t="s">
        <v>176</v>
      </c>
      <c r="S40" s="2" t="s">
        <v>82</v>
      </c>
      <c r="T40" s="3">
        <v>-9.5238095238095233E-2</v>
      </c>
      <c r="U40" s="2" t="s">
        <v>175</v>
      </c>
      <c r="V40" s="3">
        <v>5.2631578947368418E-2</v>
      </c>
      <c r="W40" s="2" t="s">
        <v>237</v>
      </c>
      <c r="X40" s="3">
        <v>0.1</v>
      </c>
      <c r="Y40" s="2" t="s">
        <v>237</v>
      </c>
      <c r="Z40" s="3">
        <v>0</v>
      </c>
      <c r="AA40" s="2" t="s">
        <v>238</v>
      </c>
      <c r="AB40" s="3">
        <v>9.0909090909090912E-2</v>
      </c>
      <c r="AC40" s="2">
        <v>22</v>
      </c>
      <c r="AD40" s="2" t="s">
        <v>239</v>
      </c>
      <c r="AE40" s="2">
        <f>_20250609_reklama_data[[#This Row],[Atlyginimų vidurkis 2019]]*_20250609_reklama_data[[#This Row],[Darbuotojai 2019]]*12</f>
        <v>552888</v>
      </c>
      <c r="AF40" s="2">
        <f>(_20250609_reklama_data[[#This Row],[Apyvarta 2019]]-_20250609_reklama_data[[#This Row],[Atlyginimų sąnaudos 2019]])/_20250609_reklama_data[[#This Row],[Darbuotojai 2019]]</f>
        <v>331370.76190476189</v>
      </c>
      <c r="AG40" s="2" t="s">
        <v>155</v>
      </c>
      <c r="AH40" s="2">
        <f>_20250609_reklama_data[[#This Row],[Atlyginimų vidurkis 2020]]*_20250609_reklama_data[[#This Row],[Darbuotojai 2020]]*12</f>
        <v>583452</v>
      </c>
      <c r="AI40" s="2">
        <f>(_20250609_reklama_data[[#This Row],[Apyvarta 2020]]-_20250609_reklama_data[[#This Row],[Atlyginimų sąnaudos 2020]])/_20250609_reklama_data[[#This Row],[Darbuotojai 2020]]</f>
        <v>396012.73684210528</v>
      </c>
      <c r="AJ40" s="3">
        <v>0.16636280765724704</v>
      </c>
      <c r="AK40" s="2" t="s">
        <v>240</v>
      </c>
      <c r="AL40" s="2">
        <f>_20250609_reklama_data[[#This Row],[Atlyginimų vidurkis 2021]]*_20250609_reklama_data[[#This Row],[Darbuotojai 2021]]*12</f>
        <v>670560</v>
      </c>
      <c r="AM40" s="2">
        <f>(_20250609_reklama_data[[#This Row],[Apyvarta 2021]]-_20250609_reklama_data[[#This Row],[Atlyginimų sąnaudos 2021]])/_20250609_reklama_data[[#This Row],[Darbuotojai 2021]]</f>
        <v>438147.45</v>
      </c>
      <c r="AN40" s="3">
        <v>9.1832747166862058E-2</v>
      </c>
      <c r="AO40" s="2" t="s">
        <v>113</v>
      </c>
      <c r="AP40" s="2">
        <f>_20250609_reklama_data[[#This Row],[Atlyginimų vidurkis 2022]]*_20250609_reklama_data[[#This Row],[Darbuotojai 2022]]*12</f>
        <v>788832</v>
      </c>
      <c r="AQ40" s="2">
        <f>(_20250609_reklama_data[[#This Row],[Apyvarta 2022]]-_20250609_reklama_data[[#This Row],[Atlyginimų sąnaudos 2022]])/_20250609_reklama_data[[#This Row],[Darbuotojai 2022]]</f>
        <v>400881.77272727271</v>
      </c>
      <c r="AR40" s="3">
        <v>6.9434502505368645E-2</v>
      </c>
      <c r="AS40" s="2" t="s">
        <v>241</v>
      </c>
      <c r="AT40" s="2">
        <f>_20250609_reklama_data[[#This Row],[Atlyginimų vidurkis 2023]]*_20250609_reklama_data[[#This Row],[Darbuotojai 2023]]*12</f>
        <v>921888</v>
      </c>
      <c r="AU40" s="2">
        <f>(_20250609_reklama_data[[#This Row],[Apyvarta 2023]]-_20250609_reklama_data[[#This Row],[Atlyginimų sąnaudos 2023]])/_20250609_reklama_data[[#This Row],[Darbuotojai 2023]]</f>
        <v>454717.63636363635</v>
      </c>
      <c r="AV40" s="3">
        <v>0.16867469879518071</v>
      </c>
      <c r="AW40" s="2" t="s">
        <v>242</v>
      </c>
      <c r="AX40" s="2">
        <f>_20250609_reklama_data[[#This Row],[Atlyginimų vidurkis 2024]]*_20250609_reklama_data[[#This Row],[Darbuotojai 2024]]*12</f>
        <v>1054944</v>
      </c>
      <c r="AY40" s="2">
        <f>(_20250609_reklama_data[[#This Row],[Apyvarta 2024]]-_20250609_reklama_data[[#This Row],[Atlyginimų sąnaudos 2024]])/_20250609_reklama_data[[#This Row],[Darbuotojai 2024]]</f>
        <v>399055.95833333331</v>
      </c>
      <c r="AZ40" s="3">
        <v>4.8969072164948453E-2</v>
      </c>
      <c r="BA40" s="2" t="s">
        <v>243</v>
      </c>
      <c r="BB40" s="2">
        <f>_20250609_reklama_data[[#This Row],[Atlyginimų vidurkis 2025 04]]*_20250609_reklama_data[[#This Row],[Darbuotojai 2025 06 09]]*5</f>
        <v>525230.19999999995</v>
      </c>
      <c r="BC40" s="2" t="s">
        <v>80</v>
      </c>
      <c r="BD40" s="2">
        <v>7511674</v>
      </c>
      <c r="BE40" s="2">
        <v>8107694</v>
      </c>
      <c r="BF40" s="3">
        <v>7.9345828905780527E-2</v>
      </c>
      <c r="BG40" s="2">
        <v>9433509</v>
      </c>
      <c r="BH40" s="3">
        <v>0.1635255351274974</v>
      </c>
      <c r="BI40" s="2">
        <v>9608231</v>
      </c>
      <c r="BJ40" s="3">
        <v>1.8521421880235658E-2</v>
      </c>
      <c r="BK40" s="2">
        <v>10925676</v>
      </c>
      <c r="BL40" s="3">
        <v>0.13711629122988406</v>
      </c>
      <c r="BM40" s="2">
        <v>10632287</v>
      </c>
      <c r="BN40" s="3">
        <v>-2.6853166797184906E-2</v>
      </c>
      <c r="BO40" s="2">
        <v>301781</v>
      </c>
      <c r="BP40" s="2">
        <v>278089</v>
      </c>
      <c r="BQ40" s="3">
        <v>-7.8507261888588087E-2</v>
      </c>
      <c r="BR40" s="2">
        <v>322559</v>
      </c>
      <c r="BS40" s="3">
        <v>0.15991283366116604</v>
      </c>
      <c r="BT40" s="2">
        <v>134980</v>
      </c>
      <c r="BU40" s="3">
        <v>-0.58153392092609413</v>
      </c>
      <c r="BV40" s="2">
        <v>123945</v>
      </c>
      <c r="BW40" s="3">
        <v>-8.1752852274411023E-2</v>
      </c>
      <c r="BX40" s="2">
        <v>248039</v>
      </c>
      <c r="BY40" s="3">
        <v>1.0012021461131955</v>
      </c>
      <c r="BZ40" s="2" t="s">
        <v>244</v>
      </c>
      <c r="CA40" s="2" t="s">
        <v>1505</v>
      </c>
      <c r="CB40" s="2" t="s">
        <v>80</v>
      </c>
      <c r="CC40" s="2" t="s">
        <v>1506</v>
      </c>
      <c r="CD40" s="2" t="s">
        <v>95</v>
      </c>
      <c r="CE40" s="2" t="s">
        <v>245</v>
      </c>
    </row>
    <row r="41" spans="1:83" x14ac:dyDescent="0.2">
      <c r="A41" s="41" t="s">
        <v>566</v>
      </c>
      <c r="B41" s="41" t="s">
        <v>1507</v>
      </c>
      <c r="C41" s="2" t="s">
        <v>567</v>
      </c>
      <c r="D41" s="2">
        <v>702100</v>
      </c>
      <c r="E41" s="2"/>
      <c r="F41" s="2"/>
      <c r="G41" s="2" t="s">
        <v>300</v>
      </c>
      <c r="H41" s="2"/>
      <c r="I41" s="2"/>
      <c r="J41" s="2">
        <v>301163601</v>
      </c>
      <c r="K41" s="2" t="s">
        <v>568</v>
      </c>
      <c r="L41" s="2" t="s">
        <v>1508</v>
      </c>
      <c r="M41" s="2" t="s">
        <v>570</v>
      </c>
      <c r="N41" s="2" t="s">
        <v>77</v>
      </c>
      <c r="O41" s="2" t="s">
        <v>571</v>
      </c>
      <c r="P41" s="2" t="s">
        <v>80</v>
      </c>
      <c r="Q41" s="2">
        <v>37068504820</v>
      </c>
      <c r="R41" s="2" t="s">
        <v>81</v>
      </c>
      <c r="S41" s="2" t="s">
        <v>535</v>
      </c>
      <c r="T41" s="3">
        <v>-0.16666666666666666</v>
      </c>
      <c r="U41" s="2" t="s">
        <v>221</v>
      </c>
      <c r="V41" s="3">
        <v>-0.13333333333333333</v>
      </c>
      <c r="W41" s="2" t="s">
        <v>535</v>
      </c>
      <c r="X41" s="3">
        <v>0.15384615384615385</v>
      </c>
      <c r="Y41" s="2" t="s">
        <v>535</v>
      </c>
      <c r="Z41" s="3">
        <v>0</v>
      </c>
      <c r="AA41" s="2" t="s">
        <v>535</v>
      </c>
      <c r="AB41" s="3">
        <v>0</v>
      </c>
      <c r="AC41" s="2">
        <v>14</v>
      </c>
      <c r="AD41" s="2" t="s">
        <v>202</v>
      </c>
      <c r="AE41" s="2">
        <f>_20250609_reklama_data[[#This Row],[Atlyginimų vidurkis 2019]]*_20250609_reklama_data[[#This Row],[Darbuotojai 2019]]*12</f>
        <v>482328</v>
      </c>
      <c r="AF41" s="2">
        <f>(_20250609_reklama_data[[#This Row],[Apyvarta 2019]]-_20250609_reklama_data[[#This Row],[Atlyginimų sąnaudos 2019]])/_20250609_reklama_data[[#This Row],[Darbuotojai 2019]]</f>
        <v>44390.555555555555</v>
      </c>
      <c r="AG41" s="2" t="s">
        <v>572</v>
      </c>
      <c r="AH41" s="2">
        <f>_20250609_reklama_data[[#This Row],[Atlyginimų vidurkis 2020]]*_20250609_reklama_data[[#This Row],[Darbuotojai 2020]]*12</f>
        <v>450360</v>
      </c>
      <c r="AI41" s="2">
        <f>(_20250609_reklama_data[[#This Row],[Apyvarta 2020]]-_20250609_reklama_data[[#This Row],[Atlyginimų sąnaudos 2020]])/_20250609_reklama_data[[#This Row],[Darbuotojai 2020]]</f>
        <v>46543.066666666666</v>
      </c>
      <c r="AJ41" s="3">
        <v>0.12046574115539632</v>
      </c>
      <c r="AK41" s="2" t="s">
        <v>573</v>
      </c>
      <c r="AL41" s="2">
        <f>_20250609_reklama_data[[#This Row],[Atlyginimų vidurkis 2021]]*_20250609_reklama_data[[#This Row],[Darbuotojai 2021]]*12</f>
        <v>407940</v>
      </c>
      <c r="AM41" s="2">
        <f>(_20250609_reklama_data[[#This Row],[Apyvarta 2021]]-_20250609_reklama_data[[#This Row],[Atlyginimų sąnaudos 2021]])/_20250609_reklama_data[[#This Row],[Darbuotojai 2021]]</f>
        <v>60990.769230769234</v>
      </c>
      <c r="AN41" s="3">
        <v>4.5163868904876101E-2</v>
      </c>
      <c r="AO41" s="2" t="s">
        <v>574</v>
      </c>
      <c r="AP41" s="2">
        <f>_20250609_reklama_data[[#This Row],[Atlyginimų vidurkis 2022]]*_20250609_reklama_data[[#This Row],[Darbuotojai 2022]]*12</f>
        <v>503820</v>
      </c>
      <c r="AQ41" s="2">
        <f>(_20250609_reklama_data[[#This Row],[Apyvarta 2022]]-_20250609_reklama_data[[#This Row],[Atlyginimų sąnaudos 2022]])/_20250609_reklama_data[[#This Row],[Darbuotojai 2022]]</f>
        <v>47259.666666666664</v>
      </c>
      <c r="AR41" s="3">
        <v>7.0363288718929259E-2</v>
      </c>
      <c r="AS41" s="2" t="s">
        <v>575</v>
      </c>
      <c r="AT41" s="2">
        <f>_20250609_reklama_data[[#This Row],[Atlyginimų vidurkis 2023]]*_20250609_reklama_data[[#This Row],[Darbuotojai 2023]]*12</f>
        <v>542700</v>
      </c>
      <c r="AU41" s="2">
        <f>(_20250609_reklama_data[[#This Row],[Apyvarta 2023]]-_20250609_reklama_data[[#This Row],[Atlyginimų sąnaudos 2023]])/_20250609_reklama_data[[#This Row],[Darbuotojai 2023]]</f>
        <v>86759</v>
      </c>
      <c r="AV41" s="3">
        <v>7.7170418006430874E-2</v>
      </c>
      <c r="AW41" s="2" t="s">
        <v>576</v>
      </c>
      <c r="AX41" s="2">
        <f>_20250609_reklama_data[[#This Row],[Atlyginimų vidurkis 2024]]*_20250609_reklama_data[[#This Row],[Darbuotojai 2024]]*12</f>
        <v>571680</v>
      </c>
      <c r="AY41" s="2">
        <f>(_20250609_reklama_data[[#This Row],[Apyvarta 2024]]-_20250609_reklama_data[[#This Row],[Atlyginimų sąnaudos 2024]])/_20250609_reklama_data[[#This Row],[Darbuotojai 2024]]</f>
        <v>66730.666666666672</v>
      </c>
      <c r="AZ41" s="3">
        <v>5.3399668325041456E-2</v>
      </c>
      <c r="BA41" s="2" t="s">
        <v>577</v>
      </c>
      <c r="BB41" s="2">
        <f>_20250609_reklama_data[[#This Row],[Atlyginimų vidurkis 2025 04]]*_20250609_reklama_data[[#This Row],[Darbuotojai 2025 06 09]]*5</f>
        <v>241710.7</v>
      </c>
      <c r="BC41" s="2" t="s">
        <v>80</v>
      </c>
      <c r="BD41" s="2">
        <v>1281358</v>
      </c>
      <c r="BE41" s="2">
        <v>1148506</v>
      </c>
      <c r="BF41" s="3">
        <v>-0.10368062633549718</v>
      </c>
      <c r="BG41" s="2">
        <v>1200820</v>
      </c>
      <c r="BH41" s="3">
        <v>4.5549609666819327E-2</v>
      </c>
      <c r="BI41" s="2">
        <v>1212715</v>
      </c>
      <c r="BJ41" s="3">
        <v>9.9057310837594309E-3</v>
      </c>
      <c r="BK41" s="2">
        <v>1844085</v>
      </c>
      <c r="BL41" s="3">
        <v>0.52062520872587537</v>
      </c>
      <c r="BM41" s="2">
        <v>1572640</v>
      </c>
      <c r="BN41" s="3">
        <v>-0.14719766171299045</v>
      </c>
      <c r="BO41" s="2">
        <v>183083</v>
      </c>
      <c r="BP41" s="2">
        <v>243883</v>
      </c>
      <c r="BQ41" s="3">
        <v>0.33208981718674047</v>
      </c>
      <c r="BR41" s="2">
        <v>160993</v>
      </c>
      <c r="BS41" s="3">
        <v>-0.33987608812422349</v>
      </c>
      <c r="BT41" s="2">
        <v>42675</v>
      </c>
      <c r="BU41" s="3">
        <v>-0.73492636325802985</v>
      </c>
      <c r="BV41" s="2">
        <v>208473</v>
      </c>
      <c r="BW41" s="3">
        <v>3.8851318101933217</v>
      </c>
      <c r="BX41" s="2">
        <v>45107</v>
      </c>
      <c r="BY41" s="3">
        <v>-0.78363145347359131</v>
      </c>
      <c r="BZ41" s="2" t="s">
        <v>579</v>
      </c>
      <c r="CA41" s="2" t="s">
        <v>1509</v>
      </c>
      <c r="CB41" s="2" t="s">
        <v>80</v>
      </c>
      <c r="CC41" s="2" t="s">
        <v>80</v>
      </c>
      <c r="CD41" s="2" t="s">
        <v>95</v>
      </c>
      <c r="CE41" s="2" t="s">
        <v>580</v>
      </c>
    </row>
    <row r="42" spans="1:83" x14ac:dyDescent="0.2">
      <c r="A42" s="41" t="s">
        <v>762</v>
      </c>
      <c r="B42" s="41" t="s">
        <v>1510</v>
      </c>
      <c r="C42" s="2" t="s">
        <v>80</v>
      </c>
      <c r="D42" s="2">
        <v>702100</v>
      </c>
      <c r="E42" s="2" t="s">
        <v>763</v>
      </c>
      <c r="F42" s="2"/>
      <c r="G42" s="2"/>
      <c r="H42" s="2"/>
      <c r="I42" s="2"/>
      <c r="J42" s="2">
        <v>300016915</v>
      </c>
      <c r="K42" s="2" t="s">
        <v>764</v>
      </c>
      <c r="L42" s="2" t="s">
        <v>1511</v>
      </c>
      <c r="M42" s="2" t="s">
        <v>766</v>
      </c>
      <c r="N42" s="2" t="s">
        <v>77</v>
      </c>
      <c r="O42" s="2" t="s">
        <v>767</v>
      </c>
      <c r="P42" s="2" t="s">
        <v>80</v>
      </c>
      <c r="Q42" s="2">
        <v>37061526019</v>
      </c>
      <c r="R42" s="2" t="s">
        <v>514</v>
      </c>
      <c r="S42" s="2" t="s">
        <v>513</v>
      </c>
      <c r="T42" s="3">
        <v>-0.4</v>
      </c>
      <c r="U42" s="2" t="s">
        <v>588</v>
      </c>
      <c r="V42" s="3">
        <v>0.33333333333333331</v>
      </c>
      <c r="W42" s="2" t="s">
        <v>514</v>
      </c>
      <c r="X42" s="3">
        <v>0.25</v>
      </c>
      <c r="Y42" s="2" t="s">
        <v>705</v>
      </c>
      <c r="Z42" s="3">
        <v>0.2</v>
      </c>
      <c r="AA42" s="2" t="s">
        <v>513</v>
      </c>
      <c r="AB42" s="3">
        <v>-0.5</v>
      </c>
      <c r="AC42" s="2">
        <v>1</v>
      </c>
      <c r="AD42" s="2" t="s">
        <v>768</v>
      </c>
      <c r="AE42" s="2">
        <f>_20250609_reklama_data[[#This Row],[Atlyginimų vidurkis 2019]]*_20250609_reklama_data[[#This Row],[Darbuotojai 2019]]*12</f>
        <v>94320</v>
      </c>
      <c r="AF42" s="2">
        <f>(_20250609_reklama_data[[#This Row],[Apyvarta 2019]]-_20250609_reklama_data[[#This Row],[Atlyginimų sąnaudos 2019]])/_20250609_reklama_data[[#This Row],[Darbuotojai 2019]]</f>
        <v>8254.6</v>
      </c>
      <c r="AG42" s="2" t="s">
        <v>769</v>
      </c>
      <c r="AH42" s="2">
        <f>_20250609_reklama_data[[#This Row],[Atlyginimų vidurkis 2020]]*_20250609_reklama_data[[#This Row],[Darbuotojai 2020]]*12</f>
        <v>84564</v>
      </c>
      <c r="AI42" s="2">
        <f>(_20250609_reklama_data[[#This Row],[Apyvarta 2020]]-_20250609_reklama_data[[#This Row],[Atlyginimų sąnaudos 2020]])/_20250609_reklama_data[[#This Row],[Darbuotojai 2020]]</f>
        <v>18522.666666666668</v>
      </c>
      <c r="AJ42" s="3">
        <v>0.49427480916030536</v>
      </c>
      <c r="AK42" s="2" t="s">
        <v>770</v>
      </c>
      <c r="AL42" s="2">
        <f>_20250609_reklama_data[[#This Row],[Atlyginimų vidurkis 2021]]*_20250609_reklama_data[[#This Row],[Darbuotojai 2021]]*12</f>
        <v>113472</v>
      </c>
      <c r="AM42" s="2">
        <f>(_20250609_reklama_data[[#This Row],[Apyvarta 2021]]-_20250609_reklama_data[[#This Row],[Atlyginimų sąnaudos 2021]])/_20250609_reklama_data[[#This Row],[Darbuotojai 2021]]</f>
        <v>22689.25</v>
      </c>
      <c r="AN42" s="3">
        <v>6.3856960408684551E-3</v>
      </c>
      <c r="AO42" s="2" t="s">
        <v>771</v>
      </c>
      <c r="AP42" s="2">
        <f>_20250609_reklama_data[[#This Row],[Atlyginimų vidurkis 2022]]*_20250609_reklama_data[[#This Row],[Darbuotojai 2022]]*12</f>
        <v>109260</v>
      </c>
      <c r="AQ42" s="2">
        <f>(_20250609_reklama_data[[#This Row],[Apyvarta 2022]]-_20250609_reklama_data[[#This Row],[Atlyginimų sąnaudos 2022]])/_20250609_reklama_data[[#This Row],[Darbuotojai 2022]]</f>
        <v>39889.800000000003</v>
      </c>
      <c r="AR42" s="3">
        <v>-0.22969543147208121</v>
      </c>
      <c r="AS42" s="2" t="s">
        <v>772</v>
      </c>
      <c r="AT42" s="2">
        <f>_20250609_reklama_data[[#This Row],[Atlyginimų vidurkis 2023]]*_20250609_reklama_data[[#This Row],[Darbuotojai 2023]]*12</f>
        <v>144360</v>
      </c>
      <c r="AU42" s="2">
        <f>(_20250609_reklama_data[[#This Row],[Apyvarta 2023]]-_20250609_reklama_data[[#This Row],[Atlyginimų sąnaudos 2023]])/_20250609_reklama_data[[#This Row],[Darbuotojai 2023]]</f>
        <v>53266.833333333336</v>
      </c>
      <c r="AV42" s="3">
        <v>0.10104338275672707</v>
      </c>
      <c r="AW42" s="2" t="s">
        <v>773</v>
      </c>
      <c r="AX42" s="2">
        <f>_20250609_reklama_data[[#This Row],[Atlyginimų vidurkis 2024]]*_20250609_reklama_data[[#This Row],[Darbuotojai 2024]]*12</f>
        <v>73980</v>
      </c>
      <c r="AY42" s="2">
        <f>(_20250609_reklama_data[[#This Row],[Apyvarta 2024]]-_20250609_reklama_data[[#This Row],[Atlyginimų sąnaudos 2024]])/_20250609_reklama_data[[#This Row],[Darbuotojai 2024]]</f>
        <v>88477</v>
      </c>
      <c r="AZ42" s="3">
        <v>2.4937655860349128E-2</v>
      </c>
      <c r="BA42" s="2" t="s">
        <v>590</v>
      </c>
      <c r="BB42" s="2" t="s">
        <v>590</v>
      </c>
      <c r="BC42" s="2" t="s">
        <v>80</v>
      </c>
      <c r="BD42" s="2">
        <v>135593</v>
      </c>
      <c r="BE42" s="2">
        <v>140132</v>
      </c>
      <c r="BF42" s="3">
        <v>3.3475179397166523E-2</v>
      </c>
      <c r="BG42" s="2">
        <v>204229</v>
      </c>
      <c r="BH42" s="3">
        <v>0.4574044472354637</v>
      </c>
      <c r="BI42" s="2">
        <v>308709</v>
      </c>
      <c r="BJ42" s="3">
        <v>0.51158258621449448</v>
      </c>
      <c r="BK42" s="2">
        <v>463961</v>
      </c>
      <c r="BL42" s="3">
        <v>0.50290726865753832</v>
      </c>
      <c r="BM42" s="2">
        <v>339411</v>
      </c>
      <c r="BN42" s="3">
        <v>-0.26844928776341115</v>
      </c>
      <c r="BO42" s="2">
        <v>12672</v>
      </c>
      <c r="BP42" s="2">
        <v>733</v>
      </c>
      <c r="BQ42" s="3">
        <v>-0.94215593434343436</v>
      </c>
      <c r="BR42" s="2">
        <v>5655</v>
      </c>
      <c r="BS42" s="3">
        <v>6.7148703956343789</v>
      </c>
      <c r="BT42" s="2">
        <v>-48</v>
      </c>
      <c r="BU42" s="3">
        <v>-1.0084880636604774</v>
      </c>
      <c r="BV42" s="2">
        <v>1304</v>
      </c>
      <c r="BW42" s="3">
        <v>28.1666666666667</v>
      </c>
      <c r="BX42" s="2">
        <v>789</v>
      </c>
      <c r="BY42" s="3">
        <v>-0.39493865030674846</v>
      </c>
      <c r="BZ42" s="2" t="s">
        <v>775</v>
      </c>
      <c r="CA42" s="2" t="s">
        <v>1512</v>
      </c>
      <c r="CB42" s="2" t="s">
        <v>80</v>
      </c>
      <c r="CC42" s="2" t="s">
        <v>1513</v>
      </c>
      <c r="CD42" s="2" t="s">
        <v>95</v>
      </c>
      <c r="CE42" s="2" t="s">
        <v>776</v>
      </c>
    </row>
    <row r="43" spans="1:83" x14ac:dyDescent="0.2">
      <c r="A43" s="41" t="s">
        <v>436</v>
      </c>
      <c r="B43" s="41" t="s">
        <v>1514</v>
      </c>
      <c r="C43" s="2" t="s">
        <v>437</v>
      </c>
      <c r="D43" s="2">
        <v>702100</v>
      </c>
      <c r="E43" s="2"/>
      <c r="F43" s="2"/>
      <c r="G43" s="2" t="s">
        <v>300</v>
      </c>
      <c r="H43" s="2"/>
      <c r="I43" s="2"/>
      <c r="J43" s="2">
        <v>126093354</v>
      </c>
      <c r="K43" s="2" t="s">
        <v>438</v>
      </c>
      <c r="L43" s="2" t="s">
        <v>1515</v>
      </c>
      <c r="M43" s="2" t="s">
        <v>440</v>
      </c>
      <c r="N43" s="2" t="s">
        <v>77</v>
      </c>
      <c r="O43" s="2" t="s">
        <v>441</v>
      </c>
      <c r="P43" s="2" t="s">
        <v>442</v>
      </c>
      <c r="Q43" s="2"/>
      <c r="R43" s="2" t="s">
        <v>151</v>
      </c>
      <c r="S43" s="2" t="s">
        <v>252</v>
      </c>
      <c r="T43" s="3">
        <v>-0.13333333333333333</v>
      </c>
      <c r="U43" s="2" t="s">
        <v>109</v>
      </c>
      <c r="V43" s="3">
        <v>0.19230769230769232</v>
      </c>
      <c r="W43" s="2" t="s">
        <v>306</v>
      </c>
      <c r="X43" s="3">
        <v>0.19354838709677419</v>
      </c>
      <c r="Y43" s="2" t="s">
        <v>152</v>
      </c>
      <c r="Z43" s="3">
        <v>-2.7027027027027029E-2</v>
      </c>
      <c r="AA43" s="2" t="s">
        <v>151</v>
      </c>
      <c r="AB43" s="3">
        <v>-0.16666666666666666</v>
      </c>
      <c r="AC43" s="2">
        <v>24</v>
      </c>
      <c r="AD43" s="2" t="s">
        <v>443</v>
      </c>
      <c r="AE43" s="2">
        <f>_20250609_reklama_data[[#This Row],[Atlyginimų vidurkis 2019]]*_20250609_reklama_data[[#This Row],[Darbuotojai 2019]]*12</f>
        <v>712440</v>
      </c>
      <c r="AF43" s="2">
        <f>(_20250609_reklama_data[[#This Row],[Apyvarta 2019]]-_20250609_reklama_data[[#This Row],[Atlyginimų sąnaudos 2019]])/_20250609_reklama_data[[#This Row],[Darbuotojai 2019]]</f>
        <v>46952.3</v>
      </c>
      <c r="AG43" s="2" t="s">
        <v>444</v>
      </c>
      <c r="AH43" s="2">
        <f>_20250609_reklama_data[[#This Row],[Atlyginimų vidurkis 2020]]*_20250609_reklama_data[[#This Row],[Darbuotojai 2020]]*12</f>
        <v>669240</v>
      </c>
      <c r="AI43" s="2">
        <f>(_20250609_reklama_data[[#This Row],[Apyvarta 2020]]-_20250609_reklama_data[[#This Row],[Atlyginimų sąnaudos 2020]])/_20250609_reklama_data[[#This Row],[Darbuotojai 2020]]</f>
        <v>54201.692307692305</v>
      </c>
      <c r="AJ43" s="3">
        <v>8.3880747852450727E-2</v>
      </c>
      <c r="AK43" s="2" t="s">
        <v>445</v>
      </c>
      <c r="AL43" s="2">
        <f>_20250609_reklama_data[[#This Row],[Atlyginimų vidurkis 2021]]*_20250609_reklama_data[[#This Row],[Darbuotojai 2021]]*12</f>
        <v>1017048</v>
      </c>
      <c r="AM43" s="2">
        <f>(_20250609_reklama_data[[#This Row],[Apyvarta 2021]]-_20250609_reklama_data[[#This Row],[Atlyginimų sąnaudos 2021]])/_20250609_reklama_data[[#This Row],[Darbuotojai 2021]]</f>
        <v>44126.580645161288</v>
      </c>
      <c r="AN43" s="3">
        <v>0.27459207459207458</v>
      </c>
      <c r="AO43" s="2" t="s">
        <v>446</v>
      </c>
      <c r="AP43" s="2">
        <f>_20250609_reklama_data[[#This Row],[Atlyginimų vidurkis 2022]]*_20250609_reklama_data[[#This Row],[Darbuotojai 2022]]*12</f>
        <v>1150848</v>
      </c>
      <c r="AQ43" s="2">
        <f>(_20250609_reklama_data[[#This Row],[Apyvarta 2022]]-_20250609_reklama_data[[#This Row],[Atlyginimų sąnaudos 2022]])/_20250609_reklama_data[[#This Row],[Darbuotojai 2022]]</f>
        <v>39253.891891891893</v>
      </c>
      <c r="AR43" s="3">
        <v>-5.1938551572787123E-2</v>
      </c>
      <c r="AS43" s="2" t="s">
        <v>447</v>
      </c>
      <c r="AT43" s="2">
        <f>_20250609_reklama_data[[#This Row],[Atlyginimų vidurkis 2023]]*_20250609_reklama_data[[#This Row],[Darbuotojai 2023]]*12</f>
        <v>1265760</v>
      </c>
      <c r="AU43" s="2">
        <f>(_20250609_reklama_data[[#This Row],[Apyvarta 2023]]-_20250609_reklama_data[[#This Row],[Atlyginimų sąnaudos 2023]])/_20250609_reklama_data[[#This Row],[Darbuotojai 2023]]</f>
        <v>49090.111111111109</v>
      </c>
      <c r="AV43" s="3">
        <v>0.13040123456790123</v>
      </c>
      <c r="AW43" s="2" t="s">
        <v>448</v>
      </c>
      <c r="AX43" s="2">
        <f>_20250609_reklama_data[[#This Row],[Atlyginimų vidurkis 2024]]*_20250609_reklama_data[[#This Row],[Darbuotojai 2024]]*12</f>
        <v>1214640</v>
      </c>
      <c r="AY43" s="2">
        <f>(_20250609_reklama_data[[#This Row],[Apyvarta 2024]]-_20250609_reklama_data[[#This Row],[Atlyginimų sąnaudos 2024]])/_20250609_reklama_data[[#This Row],[Darbuotojai 2024]]</f>
        <v>56591.066666666666</v>
      </c>
      <c r="AZ43" s="3">
        <v>0.1515358361774744</v>
      </c>
      <c r="BA43" s="2" t="s">
        <v>449</v>
      </c>
      <c r="BB43" s="2">
        <f>_20250609_reklama_data[[#This Row],[Atlyginimų vidurkis 2025 04]]*_20250609_reklama_data[[#This Row],[Darbuotojai 2025 06 09]]*5</f>
        <v>500221.2</v>
      </c>
      <c r="BC43" s="2" t="s">
        <v>80</v>
      </c>
      <c r="BD43" s="2">
        <v>2121009</v>
      </c>
      <c r="BE43" s="2">
        <v>2078484</v>
      </c>
      <c r="BF43" s="3">
        <v>-2.0049419875163187E-2</v>
      </c>
      <c r="BG43" s="2">
        <v>2384972</v>
      </c>
      <c r="BH43" s="3">
        <v>0.14745747381264421</v>
      </c>
      <c r="BI43" s="2">
        <v>2603242</v>
      </c>
      <c r="BJ43" s="3">
        <v>9.1518894142153445E-2</v>
      </c>
      <c r="BK43" s="2">
        <v>3033004</v>
      </c>
      <c r="BL43" s="3">
        <v>0.16508722585145752</v>
      </c>
      <c r="BM43" s="2">
        <v>2912372</v>
      </c>
      <c r="BN43" s="3">
        <v>-3.9773109432100981E-2</v>
      </c>
      <c r="BO43" s="2">
        <v>157012</v>
      </c>
      <c r="BP43" s="2">
        <v>195838</v>
      </c>
      <c r="BQ43" s="3">
        <v>0.24728046263979822</v>
      </c>
      <c r="BR43" s="2">
        <v>143615</v>
      </c>
      <c r="BS43" s="3">
        <v>-0.26666428374472778</v>
      </c>
      <c r="BT43" s="2">
        <v>172279</v>
      </c>
      <c r="BU43" s="3">
        <v>0.19958917940326568</v>
      </c>
      <c r="BV43" s="2">
        <v>119309</v>
      </c>
      <c r="BW43" s="3">
        <v>-0.30746637721370568</v>
      </c>
      <c r="BX43" s="2">
        <v>31793</v>
      </c>
      <c r="BY43" s="3">
        <v>-0.73352387498009375</v>
      </c>
      <c r="BZ43" s="2" t="s">
        <v>451</v>
      </c>
      <c r="CA43" s="2" t="s">
        <v>452</v>
      </c>
      <c r="CB43" s="2" t="s">
        <v>453</v>
      </c>
      <c r="CC43" s="2" t="s">
        <v>1516</v>
      </c>
      <c r="CD43" s="2" t="s">
        <v>95</v>
      </c>
      <c r="CE43" s="2" t="s">
        <v>454</v>
      </c>
    </row>
    <row r="44" spans="1:83" ht="16" x14ac:dyDescent="0.2">
      <c r="A44" s="42" t="s">
        <v>1517</v>
      </c>
      <c r="B44" s="41" t="s">
        <v>1518</v>
      </c>
      <c r="C44" s="2"/>
      <c r="D44" s="2"/>
      <c r="E44" s="2"/>
      <c r="F44" s="2"/>
      <c r="G44" s="2"/>
      <c r="H44" s="2"/>
      <c r="I44" s="2"/>
      <c r="J44" s="2">
        <v>301899560</v>
      </c>
      <c r="K44" s="2" t="s">
        <v>1187</v>
      </c>
      <c r="L44" s="2" t="s">
        <v>1184</v>
      </c>
      <c r="M44" s="2" t="s">
        <v>1188</v>
      </c>
      <c r="N44" s="2" t="s">
        <v>77</v>
      </c>
      <c r="O44" s="2"/>
      <c r="P44" s="43" t="s">
        <v>1189</v>
      </c>
      <c r="Q44" s="2"/>
      <c r="R44" s="2">
        <v>3</v>
      </c>
      <c r="S44" s="2">
        <v>4</v>
      </c>
      <c r="T44" s="2">
        <v>0.33</v>
      </c>
      <c r="U44" s="2">
        <v>4</v>
      </c>
      <c r="V44" s="2">
        <v>0</v>
      </c>
      <c r="W44" s="2">
        <v>4</v>
      </c>
      <c r="X44" s="2">
        <v>0</v>
      </c>
      <c r="Y44" s="2">
        <v>3</v>
      </c>
      <c r="Z44" s="2">
        <v>-0.25</v>
      </c>
      <c r="AA44" s="2">
        <v>3</v>
      </c>
      <c r="AB44" s="2">
        <v>0</v>
      </c>
      <c r="AC44" s="2">
        <v>3</v>
      </c>
      <c r="AD44" s="2">
        <v>1375</v>
      </c>
      <c r="AE44" s="2">
        <v>4125</v>
      </c>
      <c r="AF44" s="2">
        <v>345258.3333</v>
      </c>
      <c r="AG44" s="2">
        <v>1387</v>
      </c>
      <c r="AH44" s="2">
        <v>5548</v>
      </c>
      <c r="AI44" s="2">
        <v>323165.75</v>
      </c>
      <c r="AJ44" s="2">
        <v>0.01</v>
      </c>
      <c r="AK44" s="2">
        <v>1522</v>
      </c>
      <c r="AL44" s="2">
        <v>6088</v>
      </c>
      <c r="AM44" s="2">
        <v>350167.5</v>
      </c>
      <c r="AN44" s="2">
        <v>0.1</v>
      </c>
      <c r="AO44" s="2">
        <v>1877</v>
      </c>
      <c r="AP44" s="2">
        <v>7508</v>
      </c>
      <c r="AQ44" s="2">
        <v>291771.5</v>
      </c>
      <c r="AR44" s="2">
        <v>0.23</v>
      </c>
      <c r="AS44" s="2">
        <v>1842</v>
      </c>
      <c r="AT44" s="2">
        <v>5526</v>
      </c>
      <c r="AU44" s="2">
        <v>438547.6667</v>
      </c>
      <c r="AV44" s="2">
        <v>-0.02</v>
      </c>
      <c r="AW44" s="2" t="s">
        <v>590</v>
      </c>
      <c r="AX44" s="2" t="e">
        <v>#VALUE!</v>
      </c>
      <c r="AY44" s="2" t="e">
        <v>#VALUE!</v>
      </c>
      <c r="AZ44" s="2" t="s">
        <v>590</v>
      </c>
      <c r="BA44" s="2" t="s">
        <v>590</v>
      </c>
      <c r="BB44" s="2" t="e">
        <v>#VALUE!</v>
      </c>
      <c r="BC44" s="2"/>
      <c r="BD44" s="2">
        <v>1039900</v>
      </c>
      <c r="BE44" s="2">
        <v>1298211</v>
      </c>
      <c r="BF44" s="2">
        <v>0.25</v>
      </c>
      <c r="BG44" s="2">
        <v>1406758</v>
      </c>
      <c r="BH44" s="2">
        <v>0.08</v>
      </c>
      <c r="BI44" s="2">
        <v>1174594</v>
      </c>
      <c r="BJ44" s="2">
        <v>-0.17</v>
      </c>
      <c r="BK44" s="2">
        <v>1321169</v>
      </c>
      <c r="BL44" s="2">
        <v>0.12</v>
      </c>
      <c r="BM44" s="2">
        <v>786302</v>
      </c>
      <c r="BN44" s="2">
        <v>-0.4</v>
      </c>
      <c r="BO44" s="2">
        <v>32219</v>
      </c>
      <c r="BP44" s="2">
        <v>98452</v>
      </c>
      <c r="BQ44" s="2">
        <v>2.06</v>
      </c>
      <c r="BR44" s="2">
        <v>176626</v>
      </c>
      <c r="BS44" s="2">
        <v>0.79</v>
      </c>
      <c r="BT44" s="2">
        <v>2190</v>
      </c>
      <c r="BU44" s="2">
        <v>-0.99</v>
      </c>
      <c r="BV44" s="2">
        <v>105851</v>
      </c>
      <c r="BW44" s="2">
        <v>47.33</v>
      </c>
      <c r="BX44" s="2">
        <v>37146</v>
      </c>
      <c r="BY44" s="2">
        <v>-0.65</v>
      </c>
      <c r="BZ44" s="2" t="s">
        <v>1190</v>
      </c>
      <c r="CA44" s="2"/>
      <c r="CB44" s="2"/>
      <c r="CC44" s="2"/>
      <c r="CD44" s="2" t="s">
        <v>95</v>
      </c>
      <c r="CE44" s="2" t="s">
        <v>1137</v>
      </c>
    </row>
    <row r="45" spans="1:83" x14ac:dyDescent="0.2">
      <c r="A45" s="42" t="s">
        <v>1519</v>
      </c>
      <c r="B45" s="41" t="s">
        <v>1520</v>
      </c>
      <c r="C45" s="2"/>
      <c r="D45" s="2"/>
      <c r="E45" s="2"/>
      <c r="F45" s="2"/>
      <c r="G45" s="2"/>
      <c r="H45" s="2"/>
      <c r="I45" s="2"/>
      <c r="J45" s="2">
        <v>302641591</v>
      </c>
      <c r="K45" s="2" t="s">
        <v>1229</v>
      </c>
      <c r="L45" s="2" t="s">
        <v>1227</v>
      </c>
      <c r="M45" s="2" t="s">
        <v>1230</v>
      </c>
      <c r="N45" s="2" t="s">
        <v>77</v>
      </c>
      <c r="O45" s="2" t="s">
        <v>1231</v>
      </c>
      <c r="P45" s="2"/>
      <c r="Q45" s="2">
        <v>37061166357</v>
      </c>
      <c r="R45" s="2">
        <v>17</v>
      </c>
      <c r="S45" s="2">
        <v>16</v>
      </c>
      <c r="T45" s="2">
        <v>-0.06</v>
      </c>
      <c r="U45" s="2">
        <v>14</v>
      </c>
      <c r="V45" s="2">
        <v>-0.13</v>
      </c>
      <c r="W45" s="2">
        <v>14</v>
      </c>
      <c r="X45" s="2">
        <v>0</v>
      </c>
      <c r="Y45" s="2">
        <v>15</v>
      </c>
      <c r="Z45" s="2">
        <v>7.0000000000000007E-2</v>
      </c>
      <c r="AA45" s="2">
        <v>14</v>
      </c>
      <c r="AB45" s="2">
        <v>-7.0000000000000007E-2</v>
      </c>
      <c r="AC45" s="2">
        <v>14</v>
      </c>
      <c r="AD45" s="2">
        <v>1365</v>
      </c>
      <c r="AE45" s="2">
        <v>23205</v>
      </c>
      <c r="AF45" s="2">
        <v>144715.8235</v>
      </c>
      <c r="AG45" s="2">
        <v>1086</v>
      </c>
      <c r="AH45" s="2">
        <v>17376</v>
      </c>
      <c r="AI45" s="2">
        <v>130317.9375</v>
      </c>
      <c r="AJ45" s="2">
        <v>-0.2</v>
      </c>
      <c r="AK45" s="2">
        <v>1485</v>
      </c>
      <c r="AL45" s="2">
        <v>20790</v>
      </c>
      <c r="AM45" s="2">
        <v>169395.5</v>
      </c>
      <c r="AN45" s="2">
        <v>0.37</v>
      </c>
      <c r="AO45" s="2">
        <v>2179</v>
      </c>
      <c r="AP45" s="2">
        <v>30506</v>
      </c>
      <c r="AQ45" s="2">
        <v>267062.64289999998</v>
      </c>
      <c r="AR45" s="2">
        <v>0.47</v>
      </c>
      <c r="AS45" s="2">
        <v>2456</v>
      </c>
      <c r="AT45" s="2">
        <v>36840</v>
      </c>
      <c r="AU45" s="2">
        <v>219820.73329999999</v>
      </c>
      <c r="AV45" s="2">
        <v>0.13</v>
      </c>
      <c r="AW45" s="2">
        <v>2899</v>
      </c>
      <c r="AX45" s="2">
        <v>40586</v>
      </c>
      <c r="AY45" s="2">
        <v>254572.78570000001</v>
      </c>
      <c r="AZ45" s="2">
        <v>0.18</v>
      </c>
      <c r="BA45" s="2">
        <v>3245</v>
      </c>
      <c r="BB45" s="2">
        <v>45430</v>
      </c>
      <c r="BC45" s="2"/>
      <c r="BD45" s="2">
        <v>2483374</v>
      </c>
      <c r="BE45" s="2">
        <v>2102463</v>
      </c>
      <c r="BF45" s="2">
        <v>-0.15</v>
      </c>
      <c r="BG45" s="2">
        <v>2392327</v>
      </c>
      <c r="BH45" s="2">
        <v>0.14000000000000001</v>
      </c>
      <c r="BI45" s="2">
        <v>3769383</v>
      </c>
      <c r="BJ45" s="2">
        <v>0.57999999999999996</v>
      </c>
      <c r="BK45" s="2">
        <v>3334151</v>
      </c>
      <c r="BL45" s="2">
        <v>-0.12</v>
      </c>
      <c r="BM45" s="2">
        <v>3604605</v>
      </c>
      <c r="BN45" s="2">
        <v>0.08</v>
      </c>
      <c r="BO45" s="2">
        <v>103011</v>
      </c>
      <c r="BP45" s="2">
        <v>128173</v>
      </c>
      <c r="BQ45" s="2">
        <v>0.24</v>
      </c>
      <c r="BR45" s="2">
        <v>193375</v>
      </c>
      <c r="BS45" s="2">
        <v>0.51</v>
      </c>
      <c r="BT45" s="2">
        <v>276915</v>
      </c>
      <c r="BU45" s="2">
        <v>0.43</v>
      </c>
      <c r="BV45" s="2">
        <v>108369</v>
      </c>
      <c r="BW45" s="2">
        <v>-0.61</v>
      </c>
      <c r="BX45" s="2">
        <v>137745</v>
      </c>
      <c r="BY45" s="2">
        <v>0.27</v>
      </c>
      <c r="BZ45" s="2" t="s">
        <v>1232</v>
      </c>
      <c r="CA45" s="2"/>
      <c r="CB45" s="2"/>
      <c r="CC45" s="2"/>
      <c r="CD45" s="2" t="s">
        <v>189</v>
      </c>
      <c r="CE45" s="2" t="s">
        <v>1137</v>
      </c>
    </row>
    <row r="46" spans="1:83" x14ac:dyDescent="0.2">
      <c r="A46" s="41" t="s">
        <v>506</v>
      </c>
      <c r="B46" s="41" t="s">
        <v>1521</v>
      </c>
      <c r="C46" s="2" t="s">
        <v>507</v>
      </c>
      <c r="D46" s="2">
        <v>731100</v>
      </c>
      <c r="E46" s="2" t="s">
        <v>508</v>
      </c>
      <c r="F46" s="2"/>
      <c r="G46" s="2"/>
      <c r="H46" s="2"/>
      <c r="I46" s="2"/>
      <c r="J46" s="2">
        <v>304747369</v>
      </c>
      <c r="K46" s="2" t="s">
        <v>509</v>
      </c>
      <c r="L46" s="2" t="s">
        <v>1522</v>
      </c>
      <c r="M46" s="2" t="s">
        <v>511</v>
      </c>
      <c r="N46" s="2" t="s">
        <v>77</v>
      </c>
      <c r="O46" s="2" t="s">
        <v>512</v>
      </c>
      <c r="P46" s="2" t="s">
        <v>80</v>
      </c>
      <c r="Q46" s="2">
        <v>37068038668</v>
      </c>
      <c r="R46" s="2" t="s">
        <v>513</v>
      </c>
      <c r="S46" s="2" t="s">
        <v>514</v>
      </c>
      <c r="T46" s="3">
        <v>0.66666666666666663</v>
      </c>
      <c r="U46" s="2" t="s">
        <v>515</v>
      </c>
      <c r="V46" s="3">
        <v>0.6</v>
      </c>
      <c r="W46" s="2" t="s">
        <v>220</v>
      </c>
      <c r="X46" s="3">
        <v>0.5</v>
      </c>
      <c r="Y46" s="2" t="s">
        <v>220</v>
      </c>
      <c r="Z46" s="3">
        <v>0</v>
      </c>
      <c r="AA46" s="2" t="s">
        <v>221</v>
      </c>
      <c r="AB46" s="3">
        <v>8.3333333333333329E-2</v>
      </c>
      <c r="AC46" s="2">
        <v>12</v>
      </c>
      <c r="AD46" s="2" t="s">
        <v>516</v>
      </c>
      <c r="AE46" s="2">
        <f>_20250609_reklama_data[[#This Row],[Atlyginimų vidurkis 2019]]*_20250609_reklama_data[[#This Row],[Darbuotojai 2019]]*12</f>
        <v>63504</v>
      </c>
      <c r="AF46" s="2">
        <f>(_20250609_reklama_data[[#This Row],[Apyvarta 2019]]-_20250609_reklama_data[[#This Row],[Atlyginimų sąnaudos 2019]])/_20250609_reklama_data[[#This Row],[Darbuotojai 2019]]</f>
        <v>174117.66666666666</v>
      </c>
      <c r="AG46" s="2" t="s">
        <v>517</v>
      </c>
      <c r="AH46" s="2">
        <f>_20250609_reklama_data[[#This Row],[Atlyginimų vidurkis 2020]]*_20250609_reklama_data[[#This Row],[Darbuotojai 2020]]*12</f>
        <v>114840</v>
      </c>
      <c r="AI46" s="2">
        <f>(_20250609_reklama_data[[#This Row],[Apyvarta 2020]]-_20250609_reklama_data[[#This Row],[Atlyginimų sąnaudos 2020]])/_20250609_reklama_data[[#This Row],[Darbuotojai 2020]]</f>
        <v>177538</v>
      </c>
      <c r="AJ46" s="3">
        <v>8.5034013605442174E-2</v>
      </c>
      <c r="AK46" s="2" t="s">
        <v>518</v>
      </c>
      <c r="AL46" s="2">
        <f>_20250609_reklama_data[[#This Row],[Atlyginimų vidurkis 2021]]*_20250609_reklama_data[[#This Row],[Darbuotojai 2021]]*12</f>
        <v>192384</v>
      </c>
      <c r="AM46" s="2">
        <f>(_20250609_reklama_data[[#This Row],[Apyvarta 2021]]-_20250609_reklama_data[[#This Row],[Atlyginimų sąnaudos 2021]])/_20250609_reklama_data[[#This Row],[Darbuotojai 2021]]</f>
        <v>162592.5</v>
      </c>
      <c r="AN46" s="3">
        <v>4.7021943573667714E-2</v>
      </c>
      <c r="AO46" s="2" t="s">
        <v>519</v>
      </c>
      <c r="AP46" s="2">
        <f>_20250609_reklama_data[[#This Row],[Atlyginimų vidurkis 2022]]*_20250609_reklama_data[[#This Row],[Darbuotojai 2022]]*12</f>
        <v>308592</v>
      </c>
      <c r="AQ46" s="2">
        <f>(_20250609_reklama_data[[#This Row],[Apyvarta 2022]]-_20250609_reklama_data[[#This Row],[Atlyginimų sąnaudos 2022]])/_20250609_reklama_data[[#This Row],[Darbuotojai 2022]]</f>
        <v>124359.16666666667</v>
      </c>
      <c r="AR46" s="3">
        <v>6.9361277445109781E-2</v>
      </c>
      <c r="AS46" s="2" t="s">
        <v>520</v>
      </c>
      <c r="AT46" s="2">
        <f>_20250609_reklama_data[[#This Row],[Atlyginimų vidurkis 2023]]*_20250609_reklama_data[[#This Row],[Darbuotojai 2023]]*12</f>
        <v>312336</v>
      </c>
      <c r="AU46" s="2">
        <f>(_20250609_reklama_data[[#This Row],[Apyvarta 2023]]-_20250609_reklama_data[[#This Row],[Atlyginimų sąnaudos 2023]])/_20250609_reklama_data[[#This Row],[Darbuotojai 2023]]</f>
        <v>134435.5</v>
      </c>
      <c r="AV46" s="3">
        <v>1.2132524498366775E-2</v>
      </c>
      <c r="AW46" s="2" t="s">
        <v>521</v>
      </c>
      <c r="AX46" s="2">
        <f>_20250609_reklama_data[[#This Row],[Atlyginimų vidurkis 2024]]*_20250609_reklama_data[[#This Row],[Darbuotojai 2024]]*12</f>
        <v>382512</v>
      </c>
      <c r="AY46" s="2">
        <f>(_20250609_reklama_data[[#This Row],[Apyvarta 2024]]-_20250609_reklama_data[[#This Row],[Atlyginimų sąnaudos 2024]])/_20250609_reklama_data[[#This Row],[Darbuotojai 2024]]</f>
        <v>159402.38461538462</v>
      </c>
      <c r="AZ46" s="3">
        <v>0.13047487321346243</v>
      </c>
      <c r="BA46" s="2" t="s">
        <v>522</v>
      </c>
      <c r="BB46" s="2">
        <f>_20250609_reklama_data[[#This Row],[Atlyginimų vidurkis 2025 04]]*_20250609_reklama_data[[#This Row],[Darbuotojai 2025 06 09]]*5</f>
        <v>161300.40000000002</v>
      </c>
      <c r="BC46" s="2" t="s">
        <v>80</v>
      </c>
      <c r="BD46" s="2">
        <v>585857</v>
      </c>
      <c r="BE46" s="2">
        <v>1002530</v>
      </c>
      <c r="BF46" s="3">
        <v>0.71121963209452133</v>
      </c>
      <c r="BG46" s="2">
        <v>1493124</v>
      </c>
      <c r="BH46" s="3">
        <v>0.48935592949836915</v>
      </c>
      <c r="BI46" s="2">
        <v>1800902</v>
      </c>
      <c r="BJ46" s="3">
        <v>0.20613023432749056</v>
      </c>
      <c r="BK46" s="2">
        <v>1925562</v>
      </c>
      <c r="BL46" s="3">
        <v>6.9220868209375078E-2</v>
      </c>
      <c r="BM46" s="2">
        <v>2454743</v>
      </c>
      <c r="BN46" s="3">
        <v>0.2748189879110618</v>
      </c>
      <c r="BO46" s="2">
        <v>65878</v>
      </c>
      <c r="BP46" s="2">
        <v>82155</v>
      </c>
      <c r="BQ46" s="3">
        <v>0.24707793193478855</v>
      </c>
      <c r="BR46" s="2">
        <v>84513</v>
      </c>
      <c r="BS46" s="3">
        <v>2.8701844075223661E-2</v>
      </c>
      <c r="BT46" s="2">
        <v>25215</v>
      </c>
      <c r="BU46" s="3">
        <v>-0.70164353413084379</v>
      </c>
      <c r="BV46" s="2">
        <v>82666</v>
      </c>
      <c r="BW46" s="3">
        <v>2.2784453698195519</v>
      </c>
      <c r="BX46" s="2">
        <v>141326</v>
      </c>
      <c r="BY46" s="3">
        <v>0.70960249679432896</v>
      </c>
      <c r="BZ46" s="2" t="s">
        <v>524</v>
      </c>
      <c r="CA46" s="2" t="s">
        <v>525</v>
      </c>
      <c r="CB46" s="2" t="s">
        <v>1523</v>
      </c>
      <c r="CC46" s="2" t="s">
        <v>1524</v>
      </c>
      <c r="CD46" s="2" t="s">
        <v>95</v>
      </c>
      <c r="CE46" s="2" t="s">
        <v>526</v>
      </c>
    </row>
    <row r="47" spans="1:83" x14ac:dyDescent="0.2">
      <c r="A47" s="41" t="s">
        <v>455</v>
      </c>
      <c r="B47" s="41" t="s">
        <v>1525</v>
      </c>
      <c r="C47" s="2" t="s">
        <v>456</v>
      </c>
      <c r="D47" s="2">
        <v>702100</v>
      </c>
      <c r="E47" s="2"/>
      <c r="F47" s="2"/>
      <c r="G47" s="2" t="s">
        <v>300</v>
      </c>
      <c r="H47" s="2" t="s">
        <v>193</v>
      </c>
      <c r="I47" s="2"/>
      <c r="J47" s="2">
        <v>300122046</v>
      </c>
      <c r="K47" s="2" t="s">
        <v>457</v>
      </c>
      <c r="L47" s="2" t="s">
        <v>1526</v>
      </c>
      <c r="M47" s="2" t="s">
        <v>391</v>
      </c>
      <c r="N47" s="2" t="s">
        <v>77</v>
      </c>
      <c r="O47" s="2" t="s">
        <v>459</v>
      </c>
      <c r="P47" s="2" t="s">
        <v>460</v>
      </c>
      <c r="Q47" s="2">
        <v>37069678913</v>
      </c>
      <c r="R47" s="2" t="s">
        <v>176</v>
      </c>
      <c r="S47" s="2" t="s">
        <v>82</v>
      </c>
      <c r="T47" s="3">
        <v>-9.5238095238095233E-2</v>
      </c>
      <c r="U47" s="2" t="s">
        <v>151</v>
      </c>
      <c r="V47" s="3">
        <v>0.57894736842105265</v>
      </c>
      <c r="W47" s="2" t="s">
        <v>409</v>
      </c>
      <c r="X47" s="3">
        <v>-0.23333333333333334</v>
      </c>
      <c r="Y47" s="2" t="s">
        <v>82</v>
      </c>
      <c r="Z47" s="3">
        <v>-0.17391304347826086</v>
      </c>
      <c r="AA47" s="2" t="s">
        <v>82</v>
      </c>
      <c r="AB47" s="3">
        <v>0</v>
      </c>
      <c r="AC47" s="2">
        <v>20</v>
      </c>
      <c r="AD47" s="2" t="s">
        <v>254</v>
      </c>
      <c r="AE47" s="2">
        <f>_20250609_reklama_data[[#This Row],[Atlyginimų vidurkis 2019]]*_20250609_reklama_data[[#This Row],[Darbuotojai 2019]]*12</f>
        <v>665532</v>
      </c>
      <c r="AF47" s="2">
        <f>(_20250609_reklama_data[[#This Row],[Apyvarta 2019]]-_20250609_reklama_data[[#This Row],[Atlyginimų sąnaudos 2019]])/_20250609_reklama_data[[#This Row],[Darbuotojai 2019]]</f>
        <v>36766.571428571428</v>
      </c>
      <c r="AG47" s="2" t="s">
        <v>461</v>
      </c>
      <c r="AH47" s="2">
        <f>_20250609_reklama_data[[#This Row],[Atlyginimų vidurkis 2020]]*_20250609_reklama_data[[#This Row],[Darbuotojai 2020]]*12</f>
        <v>563616</v>
      </c>
      <c r="AI47" s="2">
        <f>(_20250609_reklama_data[[#This Row],[Apyvarta 2020]]-_20250609_reklama_data[[#This Row],[Atlyginimų sąnaudos 2020]])/_20250609_reklama_data[[#This Row],[Darbuotojai 2020]]</f>
        <v>57577.315789473687</v>
      </c>
      <c r="AJ47" s="3">
        <v>-6.3990912533131383E-2</v>
      </c>
      <c r="AK47" s="2" t="s">
        <v>462</v>
      </c>
      <c r="AL47" s="2">
        <f>_20250609_reklama_data[[#This Row],[Atlyginimų vidurkis 2021]]*_20250609_reklama_data[[#This Row],[Darbuotojai 2021]]*12</f>
        <v>955080</v>
      </c>
      <c r="AM47" s="2">
        <f>(_20250609_reklama_data[[#This Row],[Apyvarta 2021]]-_20250609_reklama_data[[#This Row],[Atlyginimų sąnaudos 2021]])/_20250609_reklama_data[[#This Row],[Darbuotojai 2021]]</f>
        <v>39439.599999999999</v>
      </c>
      <c r="AN47" s="3">
        <v>7.3220064724919098E-2</v>
      </c>
      <c r="AO47" s="2" t="s">
        <v>463</v>
      </c>
      <c r="AP47" s="2">
        <f>_20250609_reklama_data[[#This Row],[Atlyginimų vidurkis 2022]]*_20250609_reklama_data[[#This Row],[Darbuotojai 2022]]*12</f>
        <v>831588</v>
      </c>
      <c r="AQ47" s="2">
        <f>(_20250609_reklama_data[[#This Row],[Apyvarta 2022]]-_20250609_reklama_data[[#This Row],[Atlyginimų sąnaudos 2022]])/_20250609_reklama_data[[#This Row],[Darbuotojai 2022]]</f>
        <v>72796.391304347824</v>
      </c>
      <c r="AR47" s="3">
        <v>0.13569543912551829</v>
      </c>
      <c r="AS47" s="2" t="s">
        <v>464</v>
      </c>
      <c r="AT47" s="2">
        <f>_20250609_reklama_data[[#This Row],[Atlyginimų vidurkis 2023]]*_20250609_reklama_data[[#This Row],[Darbuotojai 2023]]*12</f>
        <v>765168</v>
      </c>
      <c r="AU47" s="2">
        <f>(_20250609_reklama_data[[#This Row],[Apyvarta 2023]]-_20250609_reklama_data[[#This Row],[Atlyginimų sąnaudos 2023]])/_20250609_reklama_data[[#This Row],[Darbuotojai 2023]]</f>
        <v>83749.68421052632</v>
      </c>
      <c r="AV47" s="3">
        <v>0.11384002655160969</v>
      </c>
      <c r="AW47" s="2" t="s">
        <v>465</v>
      </c>
      <c r="AX47" s="2">
        <f>_20250609_reklama_data[[#This Row],[Atlyginimų vidurkis 2024]]*_20250609_reklama_data[[#This Row],[Darbuotojai 2024]]*12</f>
        <v>818520</v>
      </c>
      <c r="AY47" s="2">
        <f>(_20250609_reklama_data[[#This Row],[Apyvarta 2024]]-_20250609_reklama_data[[#This Row],[Atlyginimų sąnaudos 2024]])/_20250609_reklama_data[[#This Row],[Darbuotojai 2024]]</f>
        <v>105472</v>
      </c>
      <c r="AZ47" s="3">
        <v>6.9725864123957093E-2</v>
      </c>
      <c r="BA47" s="2" t="s">
        <v>466</v>
      </c>
      <c r="BB47" s="2">
        <f>_20250609_reklama_data[[#This Row],[Atlyginimų vidurkis 2025 04]]*_20250609_reklama_data[[#This Row],[Darbuotojai 2025 06 09]]*5</f>
        <v>359904</v>
      </c>
      <c r="BC47" s="2" t="s">
        <v>80</v>
      </c>
      <c r="BD47" s="2">
        <v>1437630</v>
      </c>
      <c r="BE47" s="2">
        <v>1657585</v>
      </c>
      <c r="BF47" s="3">
        <v>0.1529983375416484</v>
      </c>
      <c r="BG47" s="2">
        <v>2138268</v>
      </c>
      <c r="BH47" s="3">
        <v>0.28998995526624577</v>
      </c>
      <c r="BI47" s="2">
        <v>2505905</v>
      </c>
      <c r="BJ47" s="3">
        <v>0.17193214321123451</v>
      </c>
      <c r="BK47" s="2">
        <v>2356412</v>
      </c>
      <c r="BL47" s="3">
        <v>-5.9656291838677045E-2</v>
      </c>
      <c r="BM47" s="2">
        <v>2822488</v>
      </c>
      <c r="BN47" s="3">
        <v>0.19779053917566197</v>
      </c>
      <c r="BO47" s="2">
        <v>29499</v>
      </c>
      <c r="BP47" s="2">
        <v>182089</v>
      </c>
      <c r="BQ47" s="3">
        <v>5.1727177192447202</v>
      </c>
      <c r="BR47" s="2">
        <v>92031</v>
      </c>
      <c r="BS47" s="3">
        <v>-0.49458231963490379</v>
      </c>
      <c r="BT47" s="2">
        <v>169053</v>
      </c>
      <c r="BU47" s="3">
        <v>0.83691364866186391</v>
      </c>
      <c r="BV47" s="2">
        <v>171879</v>
      </c>
      <c r="BW47" s="3">
        <v>1.6716650991109298E-2</v>
      </c>
      <c r="BX47" s="2">
        <v>134463</v>
      </c>
      <c r="BY47" s="3">
        <v>-0.21768802471506118</v>
      </c>
      <c r="BZ47" s="2" t="s">
        <v>468</v>
      </c>
      <c r="CA47" s="2" t="s">
        <v>469</v>
      </c>
      <c r="CB47" s="2" t="s">
        <v>1527</v>
      </c>
      <c r="CC47" s="2" t="s">
        <v>1528</v>
      </c>
      <c r="CD47" s="2" t="s">
        <v>95</v>
      </c>
      <c r="CE47" s="2" t="s">
        <v>470</v>
      </c>
    </row>
    <row r="48" spans="1:83" x14ac:dyDescent="0.2">
      <c r="A48" s="41" t="s">
        <v>97</v>
      </c>
      <c r="B48" s="41" t="s">
        <v>1529</v>
      </c>
      <c r="C48" s="2" t="s">
        <v>98</v>
      </c>
      <c r="D48" s="2">
        <v>731100</v>
      </c>
      <c r="E48" s="2" t="s">
        <v>73</v>
      </c>
      <c r="F48" s="2"/>
      <c r="G48" s="2"/>
      <c r="H48" s="2"/>
      <c r="I48" s="2"/>
      <c r="J48" s="2">
        <v>300642933</v>
      </c>
      <c r="K48" s="2" t="s">
        <v>99</v>
      </c>
      <c r="L48" s="2" t="s">
        <v>97</v>
      </c>
      <c r="M48" s="2" t="s">
        <v>101</v>
      </c>
      <c r="N48" s="2" t="s">
        <v>77</v>
      </c>
      <c r="O48" s="2" t="s">
        <v>102</v>
      </c>
      <c r="P48" s="2" t="s">
        <v>103</v>
      </c>
      <c r="Q48" s="2">
        <v>37068465990</v>
      </c>
      <c r="R48" s="2" t="s">
        <v>104</v>
      </c>
      <c r="S48" s="2" t="s">
        <v>105</v>
      </c>
      <c r="T48" s="3">
        <v>-4.0816326530612242E-2</v>
      </c>
      <c r="U48" s="2" t="s">
        <v>106</v>
      </c>
      <c r="V48" s="3">
        <v>8.5106382978723402E-2</v>
      </c>
      <c r="W48" s="2" t="s">
        <v>107</v>
      </c>
      <c r="X48" s="3">
        <v>-0.21568627450980393</v>
      </c>
      <c r="Y48" s="2" t="s">
        <v>108</v>
      </c>
      <c r="Z48" s="3">
        <v>-0.2</v>
      </c>
      <c r="AA48" s="2" t="s">
        <v>109</v>
      </c>
      <c r="AB48" s="3">
        <v>-3.125E-2</v>
      </c>
      <c r="AC48" s="2">
        <v>31</v>
      </c>
      <c r="AD48" s="2" t="s">
        <v>110</v>
      </c>
      <c r="AE48" s="2">
        <f>_20250609_reklama_data[[#This Row],[Atlyginimų vidurkis 2019]]*_20250609_reklama_data[[#This Row],[Darbuotojai 2019]]*12</f>
        <v>1421784</v>
      </c>
      <c r="AF48" s="2">
        <f>(_20250609_reklama_data[[#This Row],[Apyvarta 2019]]-_20250609_reklama_data[[#This Row],[Atlyginimų sąnaudos 2019]])/_20250609_reklama_data[[#This Row],[Darbuotojai 2019]]</f>
        <v>362162.1632653061</v>
      </c>
      <c r="AG48" s="2" t="s">
        <v>111</v>
      </c>
      <c r="AH48" s="2">
        <f>_20250609_reklama_data[[#This Row],[Atlyginimų vidurkis 2020]]*_20250609_reklama_data[[#This Row],[Darbuotojai 2020]]*12</f>
        <v>1297200</v>
      </c>
      <c r="AI48" s="2">
        <f>(_20250609_reklama_data[[#This Row],[Apyvarta 2020]]-_20250609_reklama_data[[#This Row],[Atlyginimų sąnaudos 2020]])/_20250609_reklama_data[[#This Row],[Darbuotojai 2020]]</f>
        <v>408965.04255319148</v>
      </c>
      <c r="AJ48" s="3">
        <v>-4.8800661703887513E-2</v>
      </c>
      <c r="AK48" s="2" t="s">
        <v>112</v>
      </c>
      <c r="AL48" s="2">
        <f>_20250609_reklama_data[[#This Row],[Atlyginimų vidurkis 2021]]*_20250609_reklama_data[[#This Row],[Darbuotojai 2021]]*12</f>
        <v>1593648</v>
      </c>
      <c r="AM48" s="2">
        <f>(_20250609_reklama_data[[#This Row],[Apyvarta 2021]]-_20250609_reklama_data[[#This Row],[Atlyginimų sąnaudos 2021]])/_20250609_reklama_data[[#This Row],[Darbuotojai 2021]]</f>
        <v>355299.98039215687</v>
      </c>
      <c r="AN48" s="3">
        <v>0.13217391304347825</v>
      </c>
      <c r="AO48" s="2" t="s">
        <v>113</v>
      </c>
      <c r="AP48" s="2">
        <f>_20250609_reklama_data[[#This Row],[Atlyginimų vidurkis 2022]]*_20250609_reklama_data[[#This Row],[Darbuotojai 2022]]*12</f>
        <v>1434240</v>
      </c>
      <c r="AQ48" s="2">
        <f>(_20250609_reklama_data[[#This Row],[Apyvarta 2022]]-_20250609_reklama_data[[#This Row],[Atlyginimų sąnaudos 2022]])/_20250609_reklama_data[[#This Row],[Darbuotojai 2022]]</f>
        <v>400492.92499999999</v>
      </c>
      <c r="AR48" s="3">
        <v>0.14746543778801843</v>
      </c>
      <c r="AS48" s="2" t="s">
        <v>114</v>
      </c>
      <c r="AT48" s="2">
        <f>_20250609_reklama_data[[#This Row],[Atlyginimų vidurkis 2023]]*_20250609_reklama_data[[#This Row],[Darbuotojai 2023]]*12</f>
        <v>1430784</v>
      </c>
      <c r="AU48" s="2">
        <f>(_20250609_reklama_data[[#This Row],[Apyvarta 2023]]-_20250609_reklama_data[[#This Row],[Atlyginimų sąnaudos 2023]])/_20250609_reklama_data[[#This Row],[Darbuotojai 2023]]</f>
        <v>797325.25</v>
      </c>
      <c r="AV48" s="3">
        <v>0.24698795180722891</v>
      </c>
      <c r="AW48" s="2" t="s">
        <v>115</v>
      </c>
      <c r="AX48" s="2">
        <f>_20250609_reklama_data[[#This Row],[Atlyginimų vidurkis 2024]]*_20250609_reklama_data[[#This Row],[Darbuotojai 2024]]*12</f>
        <v>1610760</v>
      </c>
      <c r="AY48" s="2">
        <f>(_20250609_reklama_data[[#This Row],[Apyvarta 2024]]-_20250609_reklama_data[[#This Row],[Atlyginimų sąnaudos 2024]])/_20250609_reklama_data[[#This Row],[Darbuotojai 2024]]</f>
        <v>644878.38709677418</v>
      </c>
      <c r="AZ48" s="3">
        <v>0.16210413311862587</v>
      </c>
      <c r="BA48" s="2" t="s">
        <v>116</v>
      </c>
      <c r="BB48" s="2">
        <f>_20250609_reklama_data[[#This Row],[Atlyginimų vidurkis 2025 04]]*_20250609_reklama_data[[#This Row],[Darbuotojai 2025 06 09]]*5</f>
        <v>636110.69999999995</v>
      </c>
      <c r="BC48" s="2" t="s">
        <v>80</v>
      </c>
      <c r="BD48" s="2">
        <v>19167730</v>
      </c>
      <c r="BE48" s="2">
        <v>20518557</v>
      </c>
      <c r="BF48" s="3">
        <v>7.0474020658679984E-2</v>
      </c>
      <c r="BG48" s="2">
        <v>19713947</v>
      </c>
      <c r="BH48" s="3">
        <v>-3.9213771221826177E-2</v>
      </c>
      <c r="BI48" s="2">
        <v>17453957</v>
      </c>
      <c r="BJ48" s="3">
        <v>-0.11463914354644456</v>
      </c>
      <c r="BK48" s="2">
        <v>26945192</v>
      </c>
      <c r="BL48" s="3">
        <v>0.54378700486084619</v>
      </c>
      <c r="BM48" s="2">
        <v>21601990</v>
      </c>
      <c r="BN48" s="3">
        <v>-0.19829890245354348</v>
      </c>
      <c r="BO48" s="2">
        <v>703603</v>
      </c>
      <c r="BP48" s="2">
        <v>711078</v>
      </c>
      <c r="BQ48" s="3">
        <v>1.062388875544874E-2</v>
      </c>
      <c r="BR48" s="2">
        <v>601013</v>
      </c>
      <c r="BS48" s="3">
        <v>-0.15478611347840884</v>
      </c>
      <c r="BT48" s="2">
        <v>490845</v>
      </c>
      <c r="BU48" s="3">
        <v>-0.18330385532426088</v>
      </c>
      <c r="BV48" s="2">
        <v>658350</v>
      </c>
      <c r="BW48" s="3">
        <v>0.34125844207438194</v>
      </c>
      <c r="BX48" s="2">
        <v>294872</v>
      </c>
      <c r="BY48" s="3">
        <v>-0.5521045036834511</v>
      </c>
      <c r="BZ48" s="2" t="s">
        <v>118</v>
      </c>
      <c r="CA48" s="2" t="s">
        <v>119</v>
      </c>
      <c r="CB48" s="4" t="s">
        <v>1530</v>
      </c>
      <c r="CC48" s="2" t="s">
        <v>120</v>
      </c>
      <c r="CD48" s="2" t="s">
        <v>95</v>
      </c>
      <c r="CE48" s="2" t="s">
        <v>121</v>
      </c>
    </row>
    <row r="49" spans="1:83" x14ac:dyDescent="0.2">
      <c r="A49" s="41" t="s">
        <v>487</v>
      </c>
      <c r="B49" s="41" t="s">
        <v>1531</v>
      </c>
      <c r="C49" s="2" t="s">
        <v>488</v>
      </c>
      <c r="D49" s="2">
        <v>702100</v>
      </c>
      <c r="E49" s="2"/>
      <c r="F49" s="2"/>
      <c r="G49" s="2" t="s">
        <v>300</v>
      </c>
      <c r="H49" s="2"/>
      <c r="I49" s="2"/>
      <c r="J49" s="2">
        <v>111688780</v>
      </c>
      <c r="K49" s="2" t="s">
        <v>489</v>
      </c>
      <c r="L49" s="2" t="s">
        <v>1532</v>
      </c>
      <c r="M49" s="2" t="s">
        <v>491</v>
      </c>
      <c r="N49" s="2" t="s">
        <v>77</v>
      </c>
      <c r="O49" s="2" t="s">
        <v>492</v>
      </c>
      <c r="P49" s="2" t="s">
        <v>493</v>
      </c>
      <c r="Q49" s="2"/>
      <c r="R49" s="2" t="s">
        <v>238</v>
      </c>
      <c r="S49" s="2" t="s">
        <v>201</v>
      </c>
      <c r="T49" s="3">
        <v>4.1666666666666664E-2</v>
      </c>
      <c r="U49" s="2" t="s">
        <v>201</v>
      </c>
      <c r="V49" s="3">
        <v>0</v>
      </c>
      <c r="W49" s="2" t="s">
        <v>252</v>
      </c>
      <c r="X49" s="3">
        <v>0.04</v>
      </c>
      <c r="Y49" s="2" t="s">
        <v>201</v>
      </c>
      <c r="Z49" s="3">
        <v>-3.8461538461538464E-2</v>
      </c>
      <c r="AA49" s="2" t="s">
        <v>201</v>
      </c>
      <c r="AB49" s="3">
        <v>0</v>
      </c>
      <c r="AC49" s="2">
        <v>25</v>
      </c>
      <c r="AD49" s="2" t="s">
        <v>154</v>
      </c>
      <c r="AE49" s="2">
        <f>_20250609_reklama_data[[#This Row],[Atlyginimų vidurkis 2019]]*_20250609_reklama_data[[#This Row],[Darbuotojai 2019]]*12</f>
        <v>709344</v>
      </c>
      <c r="AF49" s="2">
        <f>(_20250609_reklama_data[[#This Row],[Apyvarta 2019]]-_20250609_reklama_data[[#This Row],[Atlyginimų sąnaudos 2019]])/_20250609_reklama_data[[#This Row],[Darbuotojai 2019]]</f>
        <v>39339.875</v>
      </c>
      <c r="AG49" s="2" t="s">
        <v>494</v>
      </c>
      <c r="AH49" s="2">
        <f>_20250609_reklama_data[[#This Row],[Atlyginimų vidurkis 2020]]*_20250609_reklama_data[[#This Row],[Darbuotojai 2020]]*12</f>
        <v>729000</v>
      </c>
      <c r="AI49" s="2">
        <f>(_20250609_reklama_data[[#This Row],[Apyvarta 2020]]-_20250609_reklama_data[[#This Row],[Atlyginimų sąnaudos 2020]])/_20250609_reklama_data[[#This Row],[Darbuotojai 2020]]</f>
        <v>36304.68</v>
      </c>
      <c r="AJ49" s="3">
        <v>-1.3398294762484775E-2</v>
      </c>
      <c r="AK49" s="2" t="s">
        <v>495</v>
      </c>
      <c r="AL49" s="2">
        <f>_20250609_reklama_data[[#This Row],[Atlyginimų vidurkis 2021]]*_20250609_reklama_data[[#This Row],[Darbuotojai 2021]]*12</f>
        <v>912900</v>
      </c>
      <c r="AM49" s="2">
        <f>(_20250609_reklama_data[[#This Row],[Apyvarta 2021]]-_20250609_reklama_data[[#This Row],[Atlyginimų sąnaudos 2021]])/_20250609_reklama_data[[#This Row],[Darbuotojai 2021]]</f>
        <v>59509.24</v>
      </c>
      <c r="AN49" s="3">
        <v>0.25226337448559671</v>
      </c>
      <c r="AO49" s="2" t="s">
        <v>496</v>
      </c>
      <c r="AP49" s="2">
        <f>_20250609_reklama_data[[#This Row],[Atlyginimų vidurkis 2022]]*_20250609_reklama_data[[#This Row],[Darbuotojai 2022]]*12</f>
        <v>907920</v>
      </c>
      <c r="AQ49" s="2">
        <f>(_20250609_reklama_data[[#This Row],[Apyvarta 2022]]-_20250609_reklama_data[[#This Row],[Atlyginimų sąnaudos 2022]])/_20250609_reklama_data[[#This Row],[Darbuotojai 2022]]</f>
        <v>63368.230769230766</v>
      </c>
      <c r="AR49" s="3">
        <v>-4.3706868222149198E-2</v>
      </c>
      <c r="AS49" s="2" t="s">
        <v>497</v>
      </c>
      <c r="AT49" s="2">
        <f>_20250609_reklama_data[[#This Row],[Atlyginimų vidurkis 2023]]*_20250609_reklama_data[[#This Row],[Darbuotojai 2023]]*12</f>
        <v>1020600</v>
      </c>
      <c r="AU49" s="2">
        <f>(_20250609_reklama_data[[#This Row],[Apyvarta 2023]]-_20250609_reklama_data[[#This Row],[Atlyginimų sąnaudos 2023]])/_20250609_reklama_data[[#This Row],[Darbuotojai 2023]]</f>
        <v>67742.880000000005</v>
      </c>
      <c r="AV49" s="3">
        <v>0.16907216494845362</v>
      </c>
      <c r="AW49" s="2" t="s">
        <v>498</v>
      </c>
      <c r="AX49" s="2">
        <f>_20250609_reklama_data[[#This Row],[Atlyginimų vidurkis 2024]]*_20250609_reklama_data[[#This Row],[Darbuotojai 2024]]*12</f>
        <v>975900</v>
      </c>
      <c r="AY49" s="2">
        <f>(_20250609_reklama_data[[#This Row],[Apyvarta 2024]]-_20250609_reklama_data[[#This Row],[Atlyginimų sąnaudos 2024]])/_20250609_reklama_data[[#This Row],[Darbuotojai 2024]]</f>
        <v>68124.72</v>
      </c>
      <c r="AZ49" s="3">
        <v>-4.3797766019988242E-2</v>
      </c>
      <c r="BA49" s="2" t="s">
        <v>499</v>
      </c>
      <c r="BB49" s="2">
        <f>_20250609_reklama_data[[#This Row],[Atlyginimų vidurkis 2025 04]]*_20250609_reklama_data[[#This Row],[Darbuotojai 2025 06 09]]*5</f>
        <v>378791.25</v>
      </c>
      <c r="BC49" s="2" t="s">
        <v>80</v>
      </c>
      <c r="BD49" s="2">
        <v>1653501</v>
      </c>
      <c r="BE49" s="2">
        <v>1636617</v>
      </c>
      <c r="BF49" s="3">
        <v>-1.0211061257295883E-2</v>
      </c>
      <c r="BG49" s="2">
        <v>2400631</v>
      </c>
      <c r="BH49" s="3">
        <v>0.46682516434816451</v>
      </c>
      <c r="BI49" s="2">
        <v>2555494</v>
      </c>
      <c r="BJ49" s="3">
        <v>6.4509289432653327E-2</v>
      </c>
      <c r="BK49" s="2">
        <v>2714172</v>
      </c>
      <c r="BL49" s="3">
        <v>6.2092886933015692E-2</v>
      </c>
      <c r="BM49" s="2">
        <v>2679018</v>
      </c>
      <c r="BN49" s="3">
        <v>-1.2952016305525222E-2</v>
      </c>
      <c r="BO49" s="2">
        <v>201395</v>
      </c>
      <c r="BP49" s="2">
        <v>198548</v>
      </c>
      <c r="BQ49" s="3">
        <v>-1.4136398619628093E-2</v>
      </c>
      <c r="BR49" s="2">
        <v>168857</v>
      </c>
      <c r="BS49" s="3">
        <v>-0.14954066522956666</v>
      </c>
      <c r="BT49" s="2">
        <v>240546</v>
      </c>
      <c r="BU49" s="3">
        <v>0.42455450469924255</v>
      </c>
      <c r="BV49" s="2">
        <v>236314</v>
      </c>
      <c r="BW49" s="3">
        <v>-1.7593308556367596E-2</v>
      </c>
      <c r="BX49" s="2">
        <v>229286</v>
      </c>
      <c r="BY49" s="3">
        <v>-2.9740091573076499E-2</v>
      </c>
      <c r="BZ49" s="2" t="s">
        <v>501</v>
      </c>
      <c r="CA49" s="2" t="s">
        <v>502</v>
      </c>
      <c r="CB49" s="2" t="s">
        <v>503</v>
      </c>
      <c r="CC49" s="2" t="s">
        <v>504</v>
      </c>
      <c r="CD49" s="2" t="s">
        <v>95</v>
      </c>
      <c r="CE49" s="2" t="s">
        <v>505</v>
      </c>
    </row>
    <row r="50" spans="1:83" x14ac:dyDescent="0.2">
      <c r="A50" s="41" t="s">
        <v>823</v>
      </c>
      <c r="B50" s="41" t="s">
        <v>1533</v>
      </c>
      <c r="C50" s="2" t="s">
        <v>80</v>
      </c>
      <c r="D50" s="2">
        <v>702100</v>
      </c>
      <c r="E50" s="2"/>
      <c r="F50" s="2"/>
      <c r="G50" s="2" t="s">
        <v>300</v>
      </c>
      <c r="H50" s="2"/>
      <c r="I50" s="2"/>
      <c r="J50" s="2">
        <v>124130081</v>
      </c>
      <c r="K50" s="2" t="s">
        <v>824</v>
      </c>
      <c r="L50" s="2" t="s">
        <v>1534</v>
      </c>
      <c r="M50" s="2" t="s">
        <v>826</v>
      </c>
      <c r="N50" s="2" t="s">
        <v>77</v>
      </c>
      <c r="O50" s="2" t="s">
        <v>827</v>
      </c>
      <c r="P50" s="2" t="s">
        <v>828</v>
      </c>
      <c r="Q50" s="2"/>
      <c r="R50" s="2" t="s">
        <v>513</v>
      </c>
      <c r="S50" s="2" t="s">
        <v>513</v>
      </c>
      <c r="T50" s="3">
        <v>0</v>
      </c>
      <c r="U50" s="2" t="s">
        <v>513</v>
      </c>
      <c r="V50" s="3">
        <v>0</v>
      </c>
      <c r="W50" s="2" t="s">
        <v>513</v>
      </c>
      <c r="X50" s="3">
        <v>0</v>
      </c>
      <c r="Y50" s="2" t="s">
        <v>636</v>
      </c>
      <c r="Z50" s="3">
        <v>-0.33333333333333331</v>
      </c>
      <c r="AA50" s="2" t="s">
        <v>636</v>
      </c>
      <c r="AB50" s="3">
        <v>0</v>
      </c>
      <c r="AC50" s="2">
        <v>2</v>
      </c>
      <c r="AD50" s="2" t="s">
        <v>590</v>
      </c>
      <c r="AE50" s="2" t="s">
        <v>590</v>
      </c>
      <c r="AF50" s="2" t="s">
        <v>590</v>
      </c>
      <c r="AG50" s="2" t="s">
        <v>590</v>
      </c>
      <c r="AH50" s="2" t="s">
        <v>590</v>
      </c>
      <c r="AI50" s="2" t="s">
        <v>590</v>
      </c>
      <c r="AJ50" s="2" t="s">
        <v>590</v>
      </c>
      <c r="AK50" s="2" t="s">
        <v>590</v>
      </c>
      <c r="AL50" s="2" t="s">
        <v>590</v>
      </c>
      <c r="AM50" s="2" t="s">
        <v>590</v>
      </c>
      <c r="AN50" s="2" t="s">
        <v>590</v>
      </c>
      <c r="AO50" s="2" t="s">
        <v>590</v>
      </c>
      <c r="AP50" s="2" t="s">
        <v>590</v>
      </c>
      <c r="AQ50" s="2" t="s">
        <v>590</v>
      </c>
      <c r="AR50" s="2" t="s">
        <v>590</v>
      </c>
      <c r="AS50" s="2" t="s">
        <v>590</v>
      </c>
      <c r="AT50" s="2" t="s">
        <v>590</v>
      </c>
      <c r="AU50" s="2" t="s">
        <v>590</v>
      </c>
      <c r="AV50" s="2" t="s">
        <v>590</v>
      </c>
      <c r="AW50" s="2" t="s">
        <v>590</v>
      </c>
      <c r="AX50" s="2" t="s">
        <v>590</v>
      </c>
      <c r="AY50" s="2" t="s">
        <v>590</v>
      </c>
      <c r="AZ50" s="2" t="s">
        <v>590</v>
      </c>
      <c r="BA50" s="2" t="s">
        <v>590</v>
      </c>
      <c r="BB50" s="2" t="s">
        <v>590</v>
      </c>
      <c r="BC50" s="2" t="s">
        <v>80</v>
      </c>
      <c r="BD50" s="2">
        <v>179773</v>
      </c>
      <c r="BE50" s="2">
        <v>155093</v>
      </c>
      <c r="BF50" s="3">
        <v>-0.13728424179381776</v>
      </c>
      <c r="BG50" s="2">
        <v>159105</v>
      </c>
      <c r="BH50" s="3">
        <v>2.5868349957767274E-2</v>
      </c>
      <c r="BI50" s="2">
        <v>167838</v>
      </c>
      <c r="BJ50" s="3">
        <v>5.4888281323654191E-2</v>
      </c>
      <c r="BK50" s="2">
        <v>177479</v>
      </c>
      <c r="BL50" s="3">
        <v>5.7442295546896414E-2</v>
      </c>
      <c r="BM50" s="2">
        <v>193289</v>
      </c>
      <c r="BN50" s="3">
        <v>8.9080961691242341E-2</v>
      </c>
      <c r="BO50" s="2">
        <v>-8843</v>
      </c>
      <c r="BP50" s="2">
        <v>14832</v>
      </c>
      <c r="BQ50" s="3">
        <v>2.6772588488069702</v>
      </c>
      <c r="BR50" s="2">
        <v>2492</v>
      </c>
      <c r="BS50" s="3">
        <v>-0.83198489751887805</v>
      </c>
      <c r="BT50" s="2">
        <v>-4052</v>
      </c>
      <c r="BU50" s="3">
        <v>-2.6260032102728732</v>
      </c>
      <c r="BV50" s="2">
        <v>6521</v>
      </c>
      <c r="BW50" s="3">
        <v>-2.609328726554788</v>
      </c>
      <c r="BX50" s="2">
        <v>9873</v>
      </c>
      <c r="BY50" s="3">
        <v>0.5140315902468946</v>
      </c>
      <c r="BZ50" s="2" t="s">
        <v>830</v>
      </c>
      <c r="CA50" s="2" t="s">
        <v>831</v>
      </c>
      <c r="CB50" s="2" t="s">
        <v>80</v>
      </c>
      <c r="CC50" s="2" t="s">
        <v>832</v>
      </c>
      <c r="CD50" s="2" t="s">
        <v>95</v>
      </c>
      <c r="CE50" s="2" t="s">
        <v>833</v>
      </c>
    </row>
    <row r="51" spans="1:83" x14ac:dyDescent="0.2">
      <c r="A51" s="42" t="s">
        <v>1535</v>
      </c>
      <c r="B51" s="41" t="s">
        <v>1536</v>
      </c>
      <c r="C51" s="2"/>
      <c r="D51" s="2"/>
      <c r="E51" s="2"/>
      <c r="F51" s="2"/>
      <c r="G51" s="2"/>
      <c r="H51" s="2"/>
      <c r="I51" s="2"/>
      <c r="J51" s="2">
        <v>301542341</v>
      </c>
      <c r="K51" s="2" t="s">
        <v>1174</v>
      </c>
      <c r="L51" s="2" t="s">
        <v>1172</v>
      </c>
      <c r="M51" s="2" t="s">
        <v>1175</v>
      </c>
      <c r="N51" s="2" t="s">
        <v>77</v>
      </c>
      <c r="O51" s="2" t="s">
        <v>1176</v>
      </c>
      <c r="P51" s="2"/>
      <c r="Q51" s="2"/>
      <c r="R51" s="2">
        <v>7</v>
      </c>
      <c r="S51" s="2">
        <v>3</v>
      </c>
      <c r="T51" s="2">
        <v>-0.56999999999999995</v>
      </c>
      <c r="U51" s="2">
        <v>4</v>
      </c>
      <c r="V51" s="2">
        <v>0.33</v>
      </c>
      <c r="W51" s="2">
        <v>5</v>
      </c>
      <c r="X51" s="2">
        <v>0.25</v>
      </c>
      <c r="Y51" s="2">
        <v>5</v>
      </c>
      <c r="Z51" s="2">
        <v>0</v>
      </c>
      <c r="AA51" s="2">
        <v>5</v>
      </c>
      <c r="AB51" s="2">
        <v>0</v>
      </c>
      <c r="AC51" s="2">
        <v>4</v>
      </c>
      <c r="AD51" s="2">
        <v>2072</v>
      </c>
      <c r="AE51" s="2">
        <v>14504</v>
      </c>
      <c r="AF51" s="2">
        <v>43721</v>
      </c>
      <c r="AG51" s="2" t="s">
        <v>590</v>
      </c>
      <c r="AH51" s="2" t="e">
        <v>#VALUE!</v>
      </c>
      <c r="AI51" s="2" t="e">
        <v>#VALUE!</v>
      </c>
      <c r="AJ51" s="2" t="s">
        <v>590</v>
      </c>
      <c r="AK51" s="2">
        <v>2520</v>
      </c>
      <c r="AL51" s="2">
        <v>10080</v>
      </c>
      <c r="AM51" s="2">
        <v>72387.5</v>
      </c>
      <c r="AN51" s="2" t="s">
        <v>590</v>
      </c>
      <c r="AO51" s="2">
        <v>2431</v>
      </c>
      <c r="AP51" s="2">
        <v>12155</v>
      </c>
      <c r="AQ51" s="2">
        <v>52785.2</v>
      </c>
      <c r="AR51" s="2">
        <v>-0.04</v>
      </c>
      <c r="AS51" s="2">
        <v>2207</v>
      </c>
      <c r="AT51" s="2">
        <v>11035</v>
      </c>
      <c r="AU51" s="2">
        <v>56746.6</v>
      </c>
      <c r="AV51" s="2">
        <v>-0.09</v>
      </c>
      <c r="AW51" s="2">
        <v>2277</v>
      </c>
      <c r="AX51" s="2">
        <v>11385</v>
      </c>
      <c r="AY51" s="2">
        <v>57683</v>
      </c>
      <c r="AZ51" s="2">
        <v>0.03</v>
      </c>
      <c r="BA51" s="2">
        <v>4566</v>
      </c>
      <c r="BB51" s="2">
        <v>18264</v>
      </c>
      <c r="BC51" s="2"/>
      <c r="BD51" s="2">
        <v>320551</v>
      </c>
      <c r="BE51" s="2">
        <v>379917</v>
      </c>
      <c r="BF51" s="2">
        <v>0.19</v>
      </c>
      <c r="BG51" s="2">
        <v>299630</v>
      </c>
      <c r="BH51" s="2">
        <v>-0.21</v>
      </c>
      <c r="BI51" s="2">
        <v>276081</v>
      </c>
      <c r="BJ51" s="2">
        <v>-0.08</v>
      </c>
      <c r="BK51" s="2">
        <v>294768</v>
      </c>
      <c r="BL51" s="2">
        <v>7.0000000000000007E-2</v>
      </c>
      <c r="BM51" s="2">
        <v>299800</v>
      </c>
      <c r="BN51" s="2">
        <v>0.02</v>
      </c>
      <c r="BO51" s="2">
        <v>-47904</v>
      </c>
      <c r="BP51" s="2">
        <v>31094</v>
      </c>
      <c r="BQ51" s="2">
        <v>1.65</v>
      </c>
      <c r="BR51" s="2">
        <v>15117</v>
      </c>
      <c r="BS51" s="2">
        <v>-0.51</v>
      </c>
      <c r="BT51" s="2">
        <v>-8884</v>
      </c>
      <c r="BU51" s="2">
        <v>-1.59</v>
      </c>
      <c r="BV51" s="2">
        <v>30860</v>
      </c>
      <c r="BW51" s="2">
        <v>4.47</v>
      </c>
      <c r="BX51" s="2">
        <v>12287</v>
      </c>
      <c r="BY51" s="2">
        <v>-0.6</v>
      </c>
      <c r="BZ51" s="2" t="s">
        <v>1177</v>
      </c>
      <c r="CA51" s="2"/>
      <c r="CB51" s="2"/>
      <c r="CC51" s="2"/>
      <c r="CD51" s="2" t="s">
        <v>95</v>
      </c>
      <c r="CE51" s="2" t="s">
        <v>1137</v>
      </c>
    </row>
    <row r="52" spans="1:83" ht="32" x14ac:dyDescent="0.2">
      <c r="A52" s="42" t="s">
        <v>1537</v>
      </c>
      <c r="B52" s="41" t="s">
        <v>1538</v>
      </c>
      <c r="C52" s="2"/>
      <c r="D52" s="2"/>
      <c r="E52" s="2"/>
      <c r="F52" s="2"/>
      <c r="G52" s="2"/>
      <c r="H52" s="2"/>
      <c r="I52" s="2"/>
      <c r="J52" s="2">
        <v>303119589</v>
      </c>
      <c r="K52" s="2" t="s">
        <v>1303</v>
      </c>
      <c r="L52" s="43" t="s">
        <v>1301</v>
      </c>
      <c r="M52" s="2" t="s">
        <v>1304</v>
      </c>
      <c r="N52" s="2" t="s">
        <v>77</v>
      </c>
      <c r="O52" s="2" t="s">
        <v>1305</v>
      </c>
      <c r="P52" s="2"/>
      <c r="Q52" s="2"/>
      <c r="R52" s="2">
        <v>10</v>
      </c>
      <c r="S52" s="2">
        <v>10</v>
      </c>
      <c r="T52" s="2">
        <v>0</v>
      </c>
      <c r="U52" s="2">
        <v>10</v>
      </c>
      <c r="V52" s="2">
        <v>0</v>
      </c>
      <c r="W52" s="2">
        <v>7</v>
      </c>
      <c r="X52" s="2">
        <v>-0.3</v>
      </c>
      <c r="Y52" s="2">
        <v>2</v>
      </c>
      <c r="Z52" s="2">
        <v>-0.71</v>
      </c>
      <c r="AA52" s="2">
        <v>2</v>
      </c>
      <c r="AB52" s="2">
        <v>0</v>
      </c>
      <c r="AC52" s="2">
        <v>1</v>
      </c>
      <c r="AD52" s="2">
        <v>885</v>
      </c>
      <c r="AE52" s="2">
        <v>8850</v>
      </c>
      <c r="AF52" s="2">
        <v>56863.9</v>
      </c>
      <c r="AG52" s="2">
        <v>951</v>
      </c>
      <c r="AH52" s="2">
        <v>9510</v>
      </c>
      <c r="AI52" s="2">
        <v>45518.8</v>
      </c>
      <c r="AJ52" s="2">
        <v>7.0000000000000007E-2</v>
      </c>
      <c r="AK52" s="2">
        <v>1469</v>
      </c>
      <c r="AL52" s="2">
        <v>14690</v>
      </c>
      <c r="AM52" s="2">
        <v>67564.7</v>
      </c>
      <c r="AN52" s="2">
        <v>0.54</v>
      </c>
      <c r="AO52" s="2">
        <v>1752</v>
      </c>
      <c r="AP52" s="2">
        <v>12264</v>
      </c>
      <c r="AQ52" s="2">
        <v>56936.571430000004</v>
      </c>
      <c r="AR52" s="2">
        <v>0.19</v>
      </c>
      <c r="AS52" s="2" t="s">
        <v>590</v>
      </c>
      <c r="AT52" s="2" t="e">
        <v>#VALUE!</v>
      </c>
      <c r="AU52" s="2" t="e">
        <v>#VALUE!</v>
      </c>
      <c r="AV52" s="2" t="s">
        <v>590</v>
      </c>
      <c r="AW52" s="2" t="s">
        <v>590</v>
      </c>
      <c r="AX52" s="2" t="e">
        <v>#VALUE!</v>
      </c>
      <c r="AY52" s="2" t="e">
        <v>#VALUE!</v>
      </c>
      <c r="AZ52" s="2" t="s">
        <v>590</v>
      </c>
      <c r="BA52" s="2" t="s">
        <v>590</v>
      </c>
      <c r="BB52" s="2" t="e">
        <v>#VALUE!</v>
      </c>
      <c r="BC52" s="2"/>
      <c r="BD52" s="2">
        <v>577489</v>
      </c>
      <c r="BE52" s="2">
        <v>464698</v>
      </c>
      <c r="BF52" s="2">
        <v>-0.2</v>
      </c>
      <c r="BG52" s="2">
        <v>690337</v>
      </c>
      <c r="BH52" s="2">
        <v>0.49</v>
      </c>
      <c r="BI52" s="2">
        <v>410820</v>
      </c>
      <c r="BJ52" s="2">
        <v>-0.4</v>
      </c>
      <c r="BK52" s="2">
        <v>451779</v>
      </c>
      <c r="BL52" s="2">
        <v>0.1</v>
      </c>
      <c r="BM52" s="2">
        <v>477010</v>
      </c>
      <c r="BN52" s="2">
        <v>0.06</v>
      </c>
      <c r="BO52" s="2">
        <v>70122</v>
      </c>
      <c r="BP52" s="2">
        <v>53658</v>
      </c>
      <c r="BQ52" s="2">
        <v>-0.23</v>
      </c>
      <c r="BR52" s="2">
        <v>70891</v>
      </c>
      <c r="BS52" s="2">
        <v>0.32</v>
      </c>
      <c r="BT52" s="2">
        <v>16785</v>
      </c>
      <c r="BU52" s="2">
        <v>-0.76</v>
      </c>
      <c r="BV52" s="2">
        <v>583</v>
      </c>
      <c r="BW52" s="2">
        <v>-0.97</v>
      </c>
      <c r="BX52" s="2">
        <v>21248</v>
      </c>
      <c r="BY52" s="2">
        <v>35.450000000000003</v>
      </c>
      <c r="BZ52" s="43" t="s">
        <v>1306</v>
      </c>
      <c r="CA52" s="2"/>
      <c r="CB52" s="2"/>
      <c r="CC52" s="2"/>
      <c r="CD52" s="2" t="s">
        <v>95</v>
      </c>
      <c r="CE52" s="2" t="s">
        <v>1137</v>
      </c>
    </row>
    <row r="53" spans="1:83" x14ac:dyDescent="0.2">
      <c r="A53" s="42" t="s">
        <v>1539</v>
      </c>
      <c r="B53" s="41" t="s">
        <v>1540</v>
      </c>
      <c r="C53" s="2"/>
      <c r="D53" s="2"/>
      <c r="E53" s="2"/>
      <c r="F53" s="2"/>
      <c r="G53" s="2"/>
      <c r="H53" s="2"/>
      <c r="I53" s="2"/>
      <c r="J53" s="2">
        <v>304824716</v>
      </c>
      <c r="K53" s="2" t="s">
        <v>1338</v>
      </c>
      <c r="L53" s="2" t="s">
        <v>1336</v>
      </c>
      <c r="M53" s="2" t="s">
        <v>1339</v>
      </c>
      <c r="N53" s="2" t="s">
        <v>77</v>
      </c>
      <c r="O53" s="2" t="s">
        <v>1340</v>
      </c>
      <c r="P53" s="2"/>
      <c r="Q53" s="2">
        <v>37065539951</v>
      </c>
      <c r="R53" s="2" t="s">
        <v>590</v>
      </c>
      <c r="S53" s="2" t="s">
        <v>590</v>
      </c>
      <c r="T53" s="2" t="s">
        <v>590</v>
      </c>
      <c r="U53" s="2" t="s">
        <v>590</v>
      </c>
      <c r="V53" s="2" t="s">
        <v>590</v>
      </c>
      <c r="W53" s="2">
        <v>3</v>
      </c>
      <c r="X53" s="2" t="s">
        <v>590</v>
      </c>
      <c r="Y53" s="2">
        <v>4</v>
      </c>
      <c r="Z53" s="2">
        <v>0.33</v>
      </c>
      <c r="AA53" s="2">
        <v>3</v>
      </c>
      <c r="AB53" s="2">
        <v>-0.25</v>
      </c>
      <c r="AC53" s="2">
        <v>2</v>
      </c>
      <c r="AD53" s="2" t="s">
        <v>590</v>
      </c>
      <c r="AE53" s="2" t="e">
        <v>#VALUE!</v>
      </c>
      <c r="AF53" s="2" t="e">
        <v>#VALUE!</v>
      </c>
      <c r="AG53" s="2" t="s">
        <v>590</v>
      </c>
      <c r="AH53" s="2" t="e">
        <v>#VALUE!</v>
      </c>
      <c r="AI53" s="2" t="e">
        <v>#VALUE!</v>
      </c>
      <c r="AJ53" s="2" t="s">
        <v>590</v>
      </c>
      <c r="AK53" s="2" t="s">
        <v>590</v>
      </c>
      <c r="AL53" s="2" t="e">
        <v>#VALUE!</v>
      </c>
      <c r="AM53" s="2" t="e">
        <v>#VALUE!</v>
      </c>
      <c r="AN53" s="2" t="s">
        <v>590</v>
      </c>
      <c r="AO53" s="2">
        <v>1568</v>
      </c>
      <c r="AP53" s="2">
        <v>4704</v>
      </c>
      <c r="AQ53" s="2">
        <v>95495.333329999994</v>
      </c>
      <c r="AR53" s="2" t="s">
        <v>590</v>
      </c>
      <c r="AS53" s="2">
        <v>1594</v>
      </c>
      <c r="AT53" s="2">
        <v>6376</v>
      </c>
      <c r="AU53" s="2">
        <v>121403</v>
      </c>
      <c r="AV53" s="2">
        <v>0.02</v>
      </c>
      <c r="AW53" s="2" t="s">
        <v>590</v>
      </c>
      <c r="AX53" s="2" t="e">
        <v>#VALUE!</v>
      </c>
      <c r="AY53" s="2" t="e">
        <v>#VALUE!</v>
      </c>
      <c r="AZ53" s="2" t="s">
        <v>590</v>
      </c>
      <c r="BA53" s="2" t="s">
        <v>590</v>
      </c>
      <c r="BB53" s="2" t="e">
        <v>#VALUE!</v>
      </c>
      <c r="BC53" s="2"/>
      <c r="BD53" s="2">
        <v>301186</v>
      </c>
      <c r="BE53" s="2">
        <v>239230</v>
      </c>
      <c r="BF53" s="2">
        <v>-0.21</v>
      </c>
      <c r="BG53" s="2">
        <v>447002</v>
      </c>
      <c r="BH53" s="2">
        <v>0.87</v>
      </c>
      <c r="BI53" s="2">
        <v>291190</v>
      </c>
      <c r="BJ53" s="2">
        <v>-0.35</v>
      </c>
      <c r="BK53" s="2">
        <v>491988</v>
      </c>
      <c r="BL53" s="2">
        <v>0.69</v>
      </c>
      <c r="BM53" s="2">
        <v>891608</v>
      </c>
      <c r="BN53" s="2">
        <v>0.81</v>
      </c>
      <c r="BO53" s="2">
        <v>42574</v>
      </c>
      <c r="BP53" s="2">
        <v>27406</v>
      </c>
      <c r="BQ53" s="2">
        <v>-0.36</v>
      </c>
      <c r="BR53" s="2">
        <v>59375</v>
      </c>
      <c r="BS53" s="2">
        <v>1.17</v>
      </c>
      <c r="BT53" s="2">
        <v>22344</v>
      </c>
      <c r="BU53" s="2">
        <v>-0.62</v>
      </c>
      <c r="BV53" s="2">
        <v>81254</v>
      </c>
      <c r="BW53" s="2">
        <v>2.64</v>
      </c>
      <c r="BX53" s="2">
        <v>126884</v>
      </c>
      <c r="BY53" s="2">
        <v>0.56000000000000005</v>
      </c>
      <c r="BZ53" s="2" t="s">
        <v>1341</v>
      </c>
      <c r="CA53" s="2" t="s">
        <v>1342</v>
      </c>
      <c r="CB53" s="2"/>
      <c r="CC53" s="2"/>
      <c r="CD53" s="2" t="s">
        <v>95</v>
      </c>
      <c r="CE53" s="2" t="s">
        <v>1137</v>
      </c>
    </row>
    <row r="54" spans="1:83" x14ac:dyDescent="0.2">
      <c r="A54" s="41" t="s">
        <v>965</v>
      </c>
      <c r="B54" s="41" t="s">
        <v>1541</v>
      </c>
      <c r="C54" s="2" t="s">
        <v>966</v>
      </c>
      <c r="D54" s="2">
        <v>731100</v>
      </c>
      <c r="E54" s="2" t="s">
        <v>73</v>
      </c>
      <c r="F54" s="2"/>
      <c r="G54" s="2"/>
      <c r="H54" s="2"/>
      <c r="I54" s="2"/>
      <c r="J54" s="2">
        <v>111794310</v>
      </c>
      <c r="K54" s="2" t="s">
        <v>967</v>
      </c>
      <c r="L54" s="2" t="s">
        <v>965</v>
      </c>
      <c r="M54" s="2" t="s">
        <v>969</v>
      </c>
      <c r="N54" s="2" t="s">
        <v>77</v>
      </c>
      <c r="O54" s="2" t="s">
        <v>970</v>
      </c>
      <c r="P54" s="2" t="s">
        <v>971</v>
      </c>
      <c r="Q54" s="2"/>
      <c r="R54" s="2" t="s">
        <v>82</v>
      </c>
      <c r="S54" s="2" t="s">
        <v>82</v>
      </c>
      <c r="T54" s="3">
        <v>0</v>
      </c>
      <c r="U54" s="2" t="s">
        <v>82</v>
      </c>
      <c r="V54" s="3">
        <v>0</v>
      </c>
      <c r="W54" s="2" t="s">
        <v>409</v>
      </c>
      <c r="X54" s="3">
        <v>0.21052631578947367</v>
      </c>
      <c r="Y54" s="2" t="s">
        <v>409</v>
      </c>
      <c r="Z54" s="3">
        <v>0</v>
      </c>
      <c r="AA54" s="2" t="s">
        <v>252</v>
      </c>
      <c r="AB54" s="3">
        <v>0.13043478260869565</v>
      </c>
      <c r="AC54" s="2">
        <v>27</v>
      </c>
      <c r="AD54" s="2" t="s">
        <v>972</v>
      </c>
      <c r="AE54" s="2">
        <f>_20250609_reklama_data[[#This Row],[Atlyginimų vidurkis 2019]]*_20250609_reklama_data[[#This Row],[Darbuotojai 2019]]*12</f>
        <v>591432</v>
      </c>
      <c r="AF54" s="2">
        <f>(_20250609_reklama_data[[#This Row],[Apyvarta 2019]]-_20250609_reklama_data[[#This Row],[Atlyginimų sąnaudos 2019]])/_20250609_reklama_data[[#This Row],[Darbuotojai 2019]]</f>
        <v>448414.10526315792</v>
      </c>
      <c r="AG54" s="2" t="s">
        <v>973</v>
      </c>
      <c r="AH54" s="2">
        <f>_20250609_reklama_data[[#This Row],[Atlyginimų vidurkis 2020]]*_20250609_reklama_data[[#This Row],[Darbuotojai 2020]]*12</f>
        <v>689016</v>
      </c>
      <c r="AI54" s="2">
        <f>(_20250609_reklama_data[[#This Row],[Apyvarta 2020]]-_20250609_reklama_data[[#This Row],[Atlyginimų sąnaudos 2020]])/_20250609_reklama_data[[#This Row],[Darbuotojai 2020]]</f>
        <v>383756.78947368421</v>
      </c>
      <c r="AJ54" s="3">
        <v>0.16499614494988435</v>
      </c>
      <c r="AK54" s="2" t="s">
        <v>974</v>
      </c>
      <c r="AL54" s="2">
        <f>_20250609_reklama_data[[#This Row],[Atlyginimų vidurkis 2021]]*_20250609_reklama_data[[#This Row],[Darbuotojai 2021]]*12</f>
        <v>711816</v>
      </c>
      <c r="AM54" s="2">
        <f>(_20250609_reklama_data[[#This Row],[Apyvarta 2021]]-_20250609_reklama_data[[#This Row],[Atlyginimų sąnaudos 2021]])/_20250609_reklama_data[[#This Row],[Darbuotojai 2021]]</f>
        <v>751256</v>
      </c>
      <c r="AN54" s="3">
        <v>3.3090668431502317E-2</v>
      </c>
      <c r="AO54" s="2" t="s">
        <v>975</v>
      </c>
      <c r="AP54" s="2">
        <f>_20250609_reklama_data[[#This Row],[Atlyginimų vidurkis 2022]]*_20250609_reklama_data[[#This Row],[Darbuotojai 2022]]*12</f>
        <v>923772</v>
      </c>
      <c r="AQ54" s="2">
        <f>(_20250609_reklama_data[[#This Row],[Apyvarta 2022]]-_20250609_reklama_data[[#This Row],[Atlyginimų sąnaudos 2022]])/_20250609_reklama_data[[#This Row],[Darbuotojai 2022]]</f>
        <v>478827.17391304346</v>
      </c>
      <c r="AR54" s="3">
        <v>7.2069186418962206E-2</v>
      </c>
      <c r="AS54" s="2" t="s">
        <v>976</v>
      </c>
      <c r="AT54" s="2">
        <f>_20250609_reklama_data[[#This Row],[Atlyginimų vidurkis 2023]]*_20250609_reklama_data[[#This Row],[Darbuotojai 2023]]*12</f>
        <v>980076</v>
      </c>
      <c r="AU54" s="2">
        <f>(_20250609_reklama_data[[#This Row],[Apyvarta 2023]]-_20250609_reklama_data[[#This Row],[Atlyginimų sąnaudos 2023]])/_20250609_reklama_data[[#This Row],[Darbuotojai 2023]]</f>
        <v>714343.21739130432</v>
      </c>
      <c r="AV54" s="3">
        <v>6.0950104571257845E-2</v>
      </c>
      <c r="AW54" s="2" t="s">
        <v>977</v>
      </c>
      <c r="AX54" s="2">
        <f>_20250609_reklama_data[[#This Row],[Atlyginimų vidurkis 2024]]*_20250609_reklama_data[[#This Row],[Darbuotojai 2024]]*12</f>
        <v>1210560</v>
      </c>
      <c r="AY54" s="2">
        <f>(_20250609_reklama_data[[#This Row],[Apyvarta 2024]]-_20250609_reklama_data[[#This Row],[Atlyginimų sąnaudos 2024]])/_20250609_reklama_data[[#This Row],[Darbuotojai 2024]]</f>
        <v>-46560</v>
      </c>
      <c r="AZ54" s="3">
        <v>9.2649957758377921E-2</v>
      </c>
      <c r="BA54" s="2" t="s">
        <v>978</v>
      </c>
      <c r="BB54" s="2">
        <f>_20250609_reklama_data[[#This Row],[Atlyginimų vidurkis 2025 04]]*_20250609_reklama_data[[#This Row],[Darbuotojai 2025 06 09]]*5</f>
        <v>492080.4</v>
      </c>
      <c r="BC54" s="2" t="s">
        <v>80</v>
      </c>
      <c r="BD54" s="2">
        <v>9111300</v>
      </c>
      <c r="BE54" s="2">
        <v>7980395</v>
      </c>
      <c r="BF54" s="3">
        <v>-0.12412114626891882</v>
      </c>
      <c r="BG54" s="2">
        <v>14985680</v>
      </c>
      <c r="BH54" s="3">
        <v>0.87781181257318719</v>
      </c>
      <c r="BI54" s="2">
        <v>11936797</v>
      </c>
      <c r="BJ54" s="3">
        <v>-0.20345309655617896</v>
      </c>
      <c r="BK54" s="2">
        <v>17409970</v>
      </c>
      <c r="BL54" s="3">
        <v>0.45851269817187978</v>
      </c>
      <c r="BM54" s="2"/>
      <c r="BN54" s="2" t="s">
        <v>590</v>
      </c>
      <c r="BO54" s="2">
        <v>337370</v>
      </c>
      <c r="BP54" s="2">
        <v>347250</v>
      </c>
      <c r="BQ54" s="3">
        <v>2.9285354358715949E-2</v>
      </c>
      <c r="BR54" s="2">
        <v>458464</v>
      </c>
      <c r="BS54" s="3">
        <v>0.32027069834413247</v>
      </c>
      <c r="BT54" s="2">
        <v>262999</v>
      </c>
      <c r="BU54" s="3">
        <v>-0.42634754310043971</v>
      </c>
      <c r="BV54" s="2">
        <v>260117</v>
      </c>
      <c r="BW54" s="3">
        <v>-1.095821657116567E-2</v>
      </c>
      <c r="BX54" s="2"/>
      <c r="BY54" s="2" t="s">
        <v>590</v>
      </c>
      <c r="BZ54" s="2" t="s">
        <v>980</v>
      </c>
      <c r="CA54" s="2" t="s">
        <v>1542</v>
      </c>
      <c r="CB54" s="2" t="s">
        <v>1543</v>
      </c>
      <c r="CC54" s="2" t="s">
        <v>1544</v>
      </c>
      <c r="CD54" s="2" t="s">
        <v>95</v>
      </c>
      <c r="CE54" s="2" t="s">
        <v>981</v>
      </c>
    </row>
    <row r="55" spans="1:83" ht="32" x14ac:dyDescent="0.2">
      <c r="A55" s="42" t="s">
        <v>1545</v>
      </c>
      <c r="B55" s="41" t="s">
        <v>1546</v>
      </c>
      <c r="C55" s="2"/>
      <c r="D55" s="2"/>
      <c r="E55" s="2"/>
      <c r="F55" s="2"/>
      <c r="G55" s="2"/>
      <c r="H55" s="2"/>
      <c r="I55" s="2"/>
      <c r="J55" s="2">
        <v>305758742</v>
      </c>
      <c r="K55" s="2"/>
      <c r="L55" s="2" t="s">
        <v>1377</v>
      </c>
      <c r="M55" s="2" t="s">
        <v>1379</v>
      </c>
      <c r="N55" s="2" t="s">
        <v>77</v>
      </c>
      <c r="O55" s="2" t="s">
        <v>1380</v>
      </c>
      <c r="P55" s="43" t="s">
        <v>1381</v>
      </c>
      <c r="Q55" s="2">
        <v>37060753631</v>
      </c>
      <c r="R55" s="2" t="s">
        <v>590</v>
      </c>
      <c r="S55" s="2" t="s">
        <v>590</v>
      </c>
      <c r="T55" s="2" t="s">
        <v>590</v>
      </c>
      <c r="U55" s="2">
        <v>2</v>
      </c>
      <c r="V55" s="2" t="s">
        <v>590</v>
      </c>
      <c r="W55" s="2">
        <v>4</v>
      </c>
      <c r="X55" s="2">
        <v>1</v>
      </c>
      <c r="Y55" s="2">
        <v>2</v>
      </c>
      <c r="Z55" s="2">
        <v>-0.5</v>
      </c>
      <c r="AA55" s="2">
        <v>1</v>
      </c>
      <c r="AB55" s="2">
        <v>-0.5</v>
      </c>
      <c r="AC55" s="2">
        <v>1</v>
      </c>
      <c r="AD55" s="2" t="s">
        <v>590</v>
      </c>
      <c r="AE55" s="2" t="e">
        <v>#VALUE!</v>
      </c>
      <c r="AF55" s="2" t="e">
        <v>#VALUE!</v>
      </c>
      <c r="AG55" s="2" t="s">
        <v>590</v>
      </c>
      <c r="AH55" s="2" t="e">
        <v>#VALUE!</v>
      </c>
      <c r="AI55" s="2" t="e">
        <v>#VALUE!</v>
      </c>
      <c r="AJ55" s="2" t="s">
        <v>590</v>
      </c>
      <c r="AK55" s="2" t="s">
        <v>590</v>
      </c>
      <c r="AL55" s="2" t="e">
        <v>#VALUE!</v>
      </c>
      <c r="AM55" s="2" t="e">
        <v>#VALUE!</v>
      </c>
      <c r="AN55" s="2" t="s">
        <v>590</v>
      </c>
      <c r="AO55" s="2">
        <v>2893</v>
      </c>
      <c r="AP55" s="2">
        <v>11572</v>
      </c>
      <c r="AQ55" s="2">
        <v>30875.25</v>
      </c>
      <c r="AR55" s="2" t="s">
        <v>590</v>
      </c>
      <c r="AS55" s="2" t="s">
        <v>590</v>
      </c>
      <c r="AT55" s="2" t="e">
        <v>#VALUE!</v>
      </c>
      <c r="AU55" s="2" t="e">
        <v>#VALUE!</v>
      </c>
      <c r="AV55" s="2" t="s">
        <v>590</v>
      </c>
      <c r="AW55" s="2" t="s">
        <v>590</v>
      </c>
      <c r="AX55" s="2" t="e">
        <v>#VALUE!</v>
      </c>
      <c r="AY55" s="2" t="e">
        <v>#VALUE!</v>
      </c>
      <c r="AZ55" s="2" t="s">
        <v>590</v>
      </c>
      <c r="BA55" s="2" t="s">
        <v>590</v>
      </c>
      <c r="BB55" s="2" t="e">
        <v>#VALUE!</v>
      </c>
      <c r="BC55" s="2"/>
      <c r="BD55" s="2" t="s">
        <v>590</v>
      </c>
      <c r="BE55" s="2" t="s">
        <v>590</v>
      </c>
      <c r="BF55" s="2" t="s">
        <v>590</v>
      </c>
      <c r="BG55" s="2">
        <v>92781</v>
      </c>
      <c r="BH55" s="2" t="s">
        <v>590</v>
      </c>
      <c r="BI55" s="2">
        <v>135073</v>
      </c>
      <c r="BJ55" s="2">
        <v>0.46</v>
      </c>
      <c r="BK55" s="2">
        <v>48292</v>
      </c>
      <c r="BL55" s="2">
        <v>-0.64</v>
      </c>
      <c r="BM55" s="2">
        <v>44366</v>
      </c>
      <c r="BN55" s="2">
        <v>-0.08</v>
      </c>
      <c r="BO55" s="2" t="s">
        <v>590</v>
      </c>
      <c r="BP55" s="2" t="s">
        <v>590</v>
      </c>
      <c r="BQ55" s="2" t="s">
        <v>590</v>
      </c>
      <c r="BR55" s="2">
        <v>10703</v>
      </c>
      <c r="BS55" s="2" t="s">
        <v>590</v>
      </c>
      <c r="BT55" s="2">
        <v>-4806</v>
      </c>
      <c r="BU55" s="2">
        <v>-1.45</v>
      </c>
      <c r="BV55" s="2">
        <v>7197</v>
      </c>
      <c r="BW55" s="2">
        <v>2.5</v>
      </c>
      <c r="BX55" s="2">
        <v>4534</v>
      </c>
      <c r="BY55" s="2">
        <v>-0.37</v>
      </c>
      <c r="BZ55" s="43" t="s">
        <v>1382</v>
      </c>
      <c r="CA55" s="2"/>
      <c r="CB55" s="2"/>
      <c r="CC55" s="2"/>
      <c r="CD55" s="2" t="s">
        <v>189</v>
      </c>
      <c r="CE55" s="2" t="s">
        <v>1137</v>
      </c>
    </row>
    <row r="56" spans="1:83" x14ac:dyDescent="0.2">
      <c r="A56" s="41" t="s">
        <v>1077</v>
      </c>
      <c r="B56" s="41" t="s">
        <v>1547</v>
      </c>
      <c r="C56" s="2" t="s">
        <v>1078</v>
      </c>
      <c r="D56" s="2">
        <v>731100</v>
      </c>
      <c r="E56" s="2" t="s">
        <v>73</v>
      </c>
      <c r="F56" s="2"/>
      <c r="G56" s="2"/>
      <c r="H56" s="2"/>
      <c r="I56" s="2"/>
      <c r="J56" s="2">
        <v>302745177</v>
      </c>
      <c r="K56" s="2" t="s">
        <v>1079</v>
      </c>
      <c r="L56" s="2" t="s">
        <v>1548</v>
      </c>
      <c r="M56" s="2" t="s">
        <v>1081</v>
      </c>
      <c r="N56" s="2" t="s">
        <v>77</v>
      </c>
      <c r="O56" s="2" t="s">
        <v>1082</v>
      </c>
      <c r="P56" s="2" t="s">
        <v>80</v>
      </c>
      <c r="Q56" s="2">
        <v>37061245994</v>
      </c>
      <c r="R56" s="2" t="s">
        <v>513</v>
      </c>
      <c r="S56" s="2" t="s">
        <v>513</v>
      </c>
      <c r="T56" s="3">
        <v>0</v>
      </c>
      <c r="U56" s="2" t="s">
        <v>513</v>
      </c>
      <c r="V56" s="3">
        <v>0</v>
      </c>
      <c r="W56" s="2" t="s">
        <v>514</v>
      </c>
      <c r="X56" s="3">
        <v>0.66666666666666663</v>
      </c>
      <c r="Y56" s="2" t="s">
        <v>705</v>
      </c>
      <c r="Z56" s="3">
        <v>0.2</v>
      </c>
      <c r="AA56" s="2" t="s">
        <v>588</v>
      </c>
      <c r="AB56" s="3">
        <v>-0.33333333333333331</v>
      </c>
      <c r="AC56" s="2">
        <v>5</v>
      </c>
      <c r="AD56" s="2" t="s">
        <v>590</v>
      </c>
      <c r="AE56" s="2" t="s">
        <v>590</v>
      </c>
      <c r="AF56" s="2" t="s">
        <v>590</v>
      </c>
      <c r="AG56" s="2" t="s">
        <v>590</v>
      </c>
      <c r="AH56" s="2" t="s">
        <v>590</v>
      </c>
      <c r="AI56" s="2" t="s">
        <v>590</v>
      </c>
      <c r="AJ56" s="2" t="s">
        <v>590</v>
      </c>
      <c r="AK56" s="2" t="s">
        <v>1083</v>
      </c>
      <c r="AL56" s="2">
        <f>_20250609_reklama_data[[#This Row],[Atlyginimų vidurkis 2021]]*_20250609_reklama_data[[#This Row],[Darbuotojai 2021]]*12</f>
        <v>39780</v>
      </c>
      <c r="AM56" s="2">
        <f>(_20250609_reklama_data[[#This Row],[Apyvarta 2021]]-_20250609_reklama_data[[#This Row],[Atlyginimų sąnaudos 2021]])/_20250609_reklama_data[[#This Row],[Darbuotojai 2021]]</f>
        <v>116741.33333333333</v>
      </c>
      <c r="AN56" s="2" t="s">
        <v>590</v>
      </c>
      <c r="AO56" s="2" t="s">
        <v>1084</v>
      </c>
      <c r="AP56" s="2">
        <f>_20250609_reklama_data[[#This Row],[Atlyginimų vidurkis 2022]]*_20250609_reklama_data[[#This Row],[Darbuotojai 2022]]*12</f>
        <v>78360</v>
      </c>
      <c r="AQ56" s="2">
        <f>(_20250609_reklama_data[[#This Row],[Apyvarta 2022]]-_20250609_reklama_data[[#This Row],[Atlyginimų sąnaudos 2022]])/_20250609_reklama_data[[#This Row],[Darbuotojai 2022]]</f>
        <v>71478.2</v>
      </c>
      <c r="AR56" s="3">
        <v>0.18190045248868777</v>
      </c>
      <c r="AS56" s="2" t="s">
        <v>1085</v>
      </c>
      <c r="AT56" s="2">
        <f>_20250609_reklama_data[[#This Row],[Atlyginimų vidurkis 2023]]*_20250609_reklama_data[[#This Row],[Darbuotojai 2023]]*12</f>
        <v>100800</v>
      </c>
      <c r="AU56" s="2">
        <f>(_20250609_reklama_data[[#This Row],[Apyvarta 2023]]-_20250609_reklama_data[[#This Row],[Atlyginimų sąnaudos 2023]])/_20250609_reklama_data[[#This Row],[Darbuotojai 2023]]</f>
        <v>30449.5</v>
      </c>
      <c r="AV56" s="3">
        <v>7.1975497702909647E-2</v>
      </c>
      <c r="AW56" s="2" t="s">
        <v>1086</v>
      </c>
      <c r="AX56" s="2">
        <f>_20250609_reklama_data[[#This Row],[Atlyginimų vidurkis 2024]]*_20250609_reklama_data[[#This Row],[Darbuotojai 2024]]*12</f>
        <v>73488</v>
      </c>
      <c r="AY56" s="2">
        <f>(_20250609_reklama_data[[#This Row],[Apyvarta 2024]]-_20250609_reklama_data[[#This Row],[Atlyginimų sąnaudos 2024]])/_20250609_reklama_data[[#This Row],[Darbuotojai 2024]]</f>
        <v>-18372</v>
      </c>
      <c r="AZ56" s="3">
        <v>9.3571428571428569E-2</v>
      </c>
      <c r="BA56" s="2" t="s">
        <v>1087</v>
      </c>
      <c r="BB56" s="2">
        <f>_20250609_reklama_data[[#This Row],[Atlyginimų vidurkis 2025 04]]*_20250609_reklama_data[[#This Row],[Darbuotojai 2025 06 09]]*5</f>
        <v>34731.25</v>
      </c>
      <c r="BC56" s="2">
        <v>5.61</v>
      </c>
      <c r="BD56" s="2">
        <v>272062</v>
      </c>
      <c r="BE56" s="2">
        <v>260028</v>
      </c>
      <c r="BF56" s="3">
        <v>-4.4232564636002086E-2</v>
      </c>
      <c r="BG56" s="2">
        <v>390004</v>
      </c>
      <c r="BH56" s="3">
        <v>0.49985386189179626</v>
      </c>
      <c r="BI56" s="2">
        <v>435751</v>
      </c>
      <c r="BJ56" s="3">
        <v>0.11729879693541605</v>
      </c>
      <c r="BK56" s="2">
        <v>283497</v>
      </c>
      <c r="BL56" s="3">
        <v>-0.3494059680872792</v>
      </c>
      <c r="BM56" s="2"/>
      <c r="BN56" s="2" t="s">
        <v>590</v>
      </c>
      <c r="BO56" s="2">
        <v>-5710</v>
      </c>
      <c r="BP56" s="2">
        <v>26466</v>
      </c>
      <c r="BQ56" s="3">
        <v>5.6350262697022799</v>
      </c>
      <c r="BR56" s="2">
        <v>62568</v>
      </c>
      <c r="BS56" s="3">
        <v>1.3640897755610972</v>
      </c>
      <c r="BT56" s="2">
        <v>56802</v>
      </c>
      <c r="BU56" s="3">
        <v>-9.2155734560797856E-2</v>
      </c>
      <c r="BV56" s="2">
        <v>-3225</v>
      </c>
      <c r="BW56" s="3">
        <v>-1.0567761698531741</v>
      </c>
      <c r="BX56" s="2"/>
      <c r="BY56" s="2" t="s">
        <v>590</v>
      </c>
      <c r="BZ56" s="2" t="s">
        <v>1089</v>
      </c>
      <c r="CA56" s="2" t="s">
        <v>1090</v>
      </c>
      <c r="CB56" s="2" t="s">
        <v>1549</v>
      </c>
      <c r="CC56" s="2" t="s">
        <v>1550</v>
      </c>
      <c r="CD56" s="2" t="s">
        <v>647</v>
      </c>
      <c r="CE56" s="2" t="s">
        <v>1091</v>
      </c>
    </row>
    <row r="57" spans="1:83" x14ac:dyDescent="0.2">
      <c r="A57" s="41" t="s">
        <v>867</v>
      </c>
      <c r="B57" s="41" t="s">
        <v>1551</v>
      </c>
      <c r="C57" s="2" t="s">
        <v>868</v>
      </c>
      <c r="D57" s="2">
        <v>731100</v>
      </c>
      <c r="E57" s="2" t="s">
        <v>508</v>
      </c>
      <c r="F57" s="2"/>
      <c r="G57" s="2"/>
      <c r="H57" s="2"/>
      <c r="I57" s="2"/>
      <c r="J57" s="2">
        <v>306676401</v>
      </c>
      <c r="K57" s="2" t="s">
        <v>869</v>
      </c>
      <c r="L57" s="2" t="s">
        <v>1552</v>
      </c>
      <c r="M57" s="2" t="s">
        <v>871</v>
      </c>
      <c r="N57" s="2" t="s">
        <v>77</v>
      </c>
      <c r="O57" s="2" t="s">
        <v>872</v>
      </c>
      <c r="P57" s="2" t="s">
        <v>873</v>
      </c>
      <c r="Q57" s="2">
        <v>37063004564</v>
      </c>
      <c r="R57" s="2" t="s">
        <v>590</v>
      </c>
      <c r="S57" s="2" t="s">
        <v>590</v>
      </c>
      <c r="T57" s="2" t="s">
        <v>590</v>
      </c>
      <c r="U57" s="2" t="s">
        <v>590</v>
      </c>
      <c r="V57" s="2" t="s">
        <v>590</v>
      </c>
      <c r="W57" s="2" t="s">
        <v>590</v>
      </c>
      <c r="X57" s="2" t="s">
        <v>590</v>
      </c>
      <c r="Y57" s="2" t="s">
        <v>590</v>
      </c>
      <c r="Z57" s="2" t="s">
        <v>590</v>
      </c>
      <c r="AA57" s="2" t="s">
        <v>590</v>
      </c>
      <c r="AB57" s="2" t="s">
        <v>590</v>
      </c>
      <c r="AC57" s="2"/>
      <c r="AD57" s="2" t="s">
        <v>590</v>
      </c>
      <c r="AE57" s="2" t="s">
        <v>590</v>
      </c>
      <c r="AF57" s="2" t="s">
        <v>590</v>
      </c>
      <c r="AG57" s="2" t="s">
        <v>590</v>
      </c>
      <c r="AH57" s="2" t="s">
        <v>590</v>
      </c>
      <c r="AI57" s="2" t="s">
        <v>590</v>
      </c>
      <c r="AJ57" s="2" t="s">
        <v>590</v>
      </c>
      <c r="AK57" s="2" t="s">
        <v>590</v>
      </c>
      <c r="AL57" s="2" t="s">
        <v>590</v>
      </c>
      <c r="AM57" s="2" t="s">
        <v>590</v>
      </c>
      <c r="AN57" s="2" t="s">
        <v>590</v>
      </c>
      <c r="AO57" s="2" t="s">
        <v>590</v>
      </c>
      <c r="AP57" s="2" t="s">
        <v>590</v>
      </c>
      <c r="AQ57" s="2" t="s">
        <v>590</v>
      </c>
      <c r="AR57" s="2" t="s">
        <v>590</v>
      </c>
      <c r="AS57" s="2" t="s">
        <v>590</v>
      </c>
      <c r="AT57" s="2" t="s">
        <v>590</v>
      </c>
      <c r="AU57" s="2" t="s">
        <v>590</v>
      </c>
      <c r="AV57" s="2" t="s">
        <v>590</v>
      </c>
      <c r="AW57" s="2" t="s">
        <v>590</v>
      </c>
      <c r="AX57" s="2" t="s">
        <v>590</v>
      </c>
      <c r="AY57" s="2" t="s">
        <v>590</v>
      </c>
      <c r="AZ57" s="2" t="s">
        <v>590</v>
      </c>
      <c r="BA57" s="2" t="s">
        <v>590</v>
      </c>
      <c r="BB57" s="2" t="s">
        <v>590</v>
      </c>
      <c r="BC57" s="2" t="s">
        <v>80</v>
      </c>
      <c r="BD57" s="2"/>
      <c r="BE57" s="2"/>
      <c r="BF57" s="2" t="s">
        <v>590</v>
      </c>
      <c r="BG57" s="2"/>
      <c r="BH57" s="2" t="s">
        <v>590</v>
      </c>
      <c r="BI57" s="2"/>
      <c r="BJ57" s="2" t="s">
        <v>590</v>
      </c>
      <c r="BK57" s="2"/>
      <c r="BL57" s="2" t="s">
        <v>590</v>
      </c>
      <c r="BM57" s="2">
        <v>115049</v>
      </c>
      <c r="BN57" s="2" t="s">
        <v>590</v>
      </c>
      <c r="BO57" s="2"/>
      <c r="BP57" s="2"/>
      <c r="BQ57" s="2" t="s">
        <v>590</v>
      </c>
      <c r="BR57" s="2"/>
      <c r="BS57" s="2" t="s">
        <v>590</v>
      </c>
      <c r="BT57" s="2"/>
      <c r="BU57" s="2" t="s">
        <v>590</v>
      </c>
      <c r="BV57" s="2"/>
      <c r="BW57" s="2" t="s">
        <v>590</v>
      </c>
      <c r="BX57" s="2">
        <v>53588</v>
      </c>
      <c r="BY57" s="2" t="s">
        <v>590</v>
      </c>
      <c r="BZ57" s="2" t="s">
        <v>875</v>
      </c>
      <c r="CA57" s="2" t="s">
        <v>1553</v>
      </c>
      <c r="CB57" s="4" t="s">
        <v>1554</v>
      </c>
      <c r="CC57" s="2" t="s">
        <v>1555</v>
      </c>
      <c r="CD57" s="2" t="s">
        <v>189</v>
      </c>
      <c r="CE57" s="2" t="s">
        <v>876</v>
      </c>
    </row>
    <row r="58" spans="1:83" x14ac:dyDescent="0.2">
      <c r="A58" s="42" t="s">
        <v>1556</v>
      </c>
      <c r="B58" s="41" t="s">
        <v>1557</v>
      </c>
      <c r="C58" s="2"/>
      <c r="D58" s="2"/>
      <c r="E58" s="2"/>
      <c r="F58" s="2"/>
      <c r="G58" s="2"/>
      <c r="H58" s="2"/>
      <c r="I58" s="2"/>
      <c r="J58" s="2">
        <v>305709318</v>
      </c>
      <c r="K58" s="2" t="s">
        <v>1373</v>
      </c>
      <c r="L58" s="2" t="s">
        <v>1371</v>
      </c>
      <c r="M58" s="2" t="s">
        <v>1374</v>
      </c>
      <c r="N58" s="2" t="s">
        <v>77</v>
      </c>
      <c r="O58" s="2" t="s">
        <v>1375</v>
      </c>
      <c r="P58" s="2"/>
      <c r="Q58" s="2">
        <v>37062709242</v>
      </c>
      <c r="R58" s="2" t="s">
        <v>590</v>
      </c>
      <c r="S58" s="2" t="s">
        <v>590</v>
      </c>
      <c r="T58" s="2" t="s">
        <v>590</v>
      </c>
      <c r="U58" s="2" t="s">
        <v>590</v>
      </c>
      <c r="V58" s="2" t="s">
        <v>590</v>
      </c>
      <c r="W58" s="2" t="s">
        <v>590</v>
      </c>
      <c r="X58" s="2" t="s">
        <v>590</v>
      </c>
      <c r="Y58" s="2" t="s">
        <v>590</v>
      </c>
      <c r="Z58" s="2" t="s">
        <v>590</v>
      </c>
      <c r="AA58" s="2" t="s">
        <v>590</v>
      </c>
      <c r="AB58" s="2" t="s">
        <v>590</v>
      </c>
      <c r="AC58" s="2"/>
      <c r="AD58" s="2" t="s">
        <v>590</v>
      </c>
      <c r="AE58" s="2" t="e">
        <v>#VALUE!</v>
      </c>
      <c r="AF58" s="2" t="e">
        <v>#VALUE!</v>
      </c>
      <c r="AG58" s="2" t="s">
        <v>590</v>
      </c>
      <c r="AH58" s="2" t="e">
        <v>#VALUE!</v>
      </c>
      <c r="AI58" s="2" t="e">
        <v>#VALUE!</v>
      </c>
      <c r="AJ58" s="2" t="s">
        <v>590</v>
      </c>
      <c r="AK58" s="2" t="s">
        <v>590</v>
      </c>
      <c r="AL58" s="2" t="e">
        <v>#VALUE!</v>
      </c>
      <c r="AM58" s="2" t="e">
        <v>#VALUE!</v>
      </c>
      <c r="AN58" s="2" t="s">
        <v>590</v>
      </c>
      <c r="AO58" s="2" t="s">
        <v>590</v>
      </c>
      <c r="AP58" s="2" t="e">
        <v>#VALUE!</v>
      </c>
      <c r="AQ58" s="2" t="e">
        <v>#VALUE!</v>
      </c>
      <c r="AR58" s="2" t="s">
        <v>590</v>
      </c>
      <c r="AS58" s="2" t="s">
        <v>590</v>
      </c>
      <c r="AT58" s="2" t="e">
        <v>#VALUE!</v>
      </c>
      <c r="AU58" s="2" t="e">
        <v>#VALUE!</v>
      </c>
      <c r="AV58" s="2" t="s">
        <v>590</v>
      </c>
      <c r="AW58" s="2" t="s">
        <v>590</v>
      </c>
      <c r="AX58" s="2" t="e">
        <v>#VALUE!</v>
      </c>
      <c r="AY58" s="2" t="e">
        <v>#VALUE!</v>
      </c>
      <c r="AZ58" s="2" t="s">
        <v>590</v>
      </c>
      <c r="BA58" s="2" t="s">
        <v>590</v>
      </c>
      <c r="BB58" s="2" t="e">
        <v>#VALUE!</v>
      </c>
      <c r="BC58" s="2"/>
      <c r="BD58" s="2" t="s">
        <v>590</v>
      </c>
      <c r="BE58" s="2" t="s">
        <v>590</v>
      </c>
      <c r="BF58" s="2" t="s">
        <v>590</v>
      </c>
      <c r="BG58" s="2">
        <v>57701</v>
      </c>
      <c r="BH58" s="2" t="s">
        <v>590</v>
      </c>
      <c r="BI58" s="2">
        <v>73400</v>
      </c>
      <c r="BJ58" s="2">
        <v>0.27</v>
      </c>
      <c r="BK58" s="2">
        <v>49395</v>
      </c>
      <c r="BL58" s="2">
        <v>-0.33</v>
      </c>
      <c r="BM58" s="2">
        <v>95209</v>
      </c>
      <c r="BN58" s="2">
        <v>0.93</v>
      </c>
      <c r="BO58" s="2" t="s">
        <v>590</v>
      </c>
      <c r="BP58" s="2" t="s">
        <v>590</v>
      </c>
      <c r="BQ58" s="2" t="s">
        <v>590</v>
      </c>
      <c r="BR58" s="2">
        <v>57313</v>
      </c>
      <c r="BS58" s="2" t="s">
        <v>590</v>
      </c>
      <c r="BT58" s="2">
        <v>69041</v>
      </c>
      <c r="BU58" s="2">
        <v>0.2</v>
      </c>
      <c r="BV58" s="2">
        <v>45194</v>
      </c>
      <c r="BW58" s="2">
        <v>-0.35</v>
      </c>
      <c r="BX58" s="2">
        <v>80047</v>
      </c>
      <c r="BY58" s="2">
        <v>0.77</v>
      </c>
      <c r="BZ58" s="2" t="s">
        <v>1376</v>
      </c>
      <c r="CA58" s="2"/>
      <c r="CB58" s="2"/>
      <c r="CC58" s="2"/>
      <c r="CD58" s="2" t="s">
        <v>95</v>
      </c>
      <c r="CE58" s="2" t="s">
        <v>1137</v>
      </c>
    </row>
    <row r="59" spans="1:83" x14ac:dyDescent="0.2">
      <c r="A59" s="41" t="s">
        <v>698</v>
      </c>
      <c r="B59" s="41" t="s">
        <v>1558</v>
      </c>
      <c r="C59" s="2" t="s">
        <v>699</v>
      </c>
      <c r="D59" s="2">
        <v>702200</v>
      </c>
      <c r="E59" s="2"/>
      <c r="F59" s="2"/>
      <c r="G59" s="2" t="s">
        <v>300</v>
      </c>
      <c r="H59" s="2"/>
      <c r="I59" s="2"/>
      <c r="J59" s="2">
        <v>110889086</v>
      </c>
      <c r="K59" s="2" t="s">
        <v>700</v>
      </c>
      <c r="L59" s="2" t="s">
        <v>1559</v>
      </c>
      <c r="M59" s="2" t="s">
        <v>702</v>
      </c>
      <c r="N59" s="2" t="s">
        <v>77</v>
      </c>
      <c r="O59" s="2" t="s">
        <v>703</v>
      </c>
      <c r="P59" s="2" t="s">
        <v>704</v>
      </c>
      <c r="Q59" s="2"/>
      <c r="R59" s="2" t="s">
        <v>589</v>
      </c>
      <c r="S59" s="2" t="s">
        <v>515</v>
      </c>
      <c r="T59" s="3">
        <v>0.14285714285714285</v>
      </c>
      <c r="U59" s="2" t="s">
        <v>589</v>
      </c>
      <c r="V59" s="3">
        <v>-0.125</v>
      </c>
      <c r="W59" s="2" t="s">
        <v>589</v>
      </c>
      <c r="X59" s="3">
        <v>0</v>
      </c>
      <c r="Y59" s="2" t="s">
        <v>705</v>
      </c>
      <c r="Z59" s="3">
        <v>-0.14285714285714285</v>
      </c>
      <c r="AA59" s="2" t="s">
        <v>705</v>
      </c>
      <c r="AB59" s="3">
        <v>0</v>
      </c>
      <c r="AC59" s="2">
        <v>6</v>
      </c>
      <c r="AD59" s="2" t="s">
        <v>706</v>
      </c>
      <c r="AE59" s="2">
        <f>_20250609_reklama_data[[#This Row],[Atlyginimų vidurkis 2019]]*_20250609_reklama_data[[#This Row],[Darbuotojai 2019]]*12</f>
        <v>167496</v>
      </c>
      <c r="AF59" s="2">
        <f>(_20250609_reklama_data[[#This Row],[Apyvarta 2019]]-_20250609_reklama_data[[#This Row],[Atlyginimų sąnaudos 2019]])/_20250609_reklama_data[[#This Row],[Darbuotojai 2019]]</f>
        <v>50059.714285714283</v>
      </c>
      <c r="AG59" s="2" t="s">
        <v>707</v>
      </c>
      <c r="AH59" s="2">
        <f>_20250609_reklama_data[[#This Row],[Atlyginimų vidurkis 2020]]*_20250609_reklama_data[[#This Row],[Darbuotojai 2020]]*12</f>
        <v>151872</v>
      </c>
      <c r="AI59" s="2">
        <f>(_20250609_reklama_data[[#This Row],[Apyvarta 2020]]-_20250609_reklama_data[[#This Row],[Atlyginimų sąnaudos 2020]])/_20250609_reklama_data[[#This Row],[Darbuotojai 2020]]</f>
        <v>49065.125</v>
      </c>
      <c r="AJ59" s="3">
        <v>-0.20661985957873621</v>
      </c>
      <c r="AK59" s="2" t="s">
        <v>708</v>
      </c>
      <c r="AL59" s="2">
        <f>_20250609_reklama_data[[#This Row],[Atlyginimų vidurkis 2021]]*_20250609_reklama_data[[#This Row],[Darbuotojai 2021]]*12</f>
        <v>152880</v>
      </c>
      <c r="AM59" s="2">
        <f>(_20250609_reklama_data[[#This Row],[Apyvarta 2021]]-_20250609_reklama_data[[#This Row],[Atlyginimų sąnaudos 2021]])/_20250609_reklama_data[[#This Row],[Darbuotojai 2021]]</f>
        <v>73912.571428571435</v>
      </c>
      <c r="AN59" s="3">
        <v>0.15044247787610621</v>
      </c>
      <c r="AO59" s="2" t="s">
        <v>393</v>
      </c>
      <c r="AP59" s="2">
        <f>_20250609_reklama_data[[#This Row],[Atlyginimų vidurkis 2022]]*_20250609_reklama_data[[#This Row],[Darbuotojai 2022]]*12</f>
        <v>165900</v>
      </c>
      <c r="AQ59" s="2">
        <f>(_20250609_reklama_data[[#This Row],[Apyvarta 2022]]-_20250609_reklama_data[[#This Row],[Atlyginimų sąnaudos 2022]])/_20250609_reklama_data[[#This Row],[Darbuotojai 2022]]</f>
        <v>68511</v>
      </c>
      <c r="AR59" s="3">
        <v>8.5164835164835168E-2</v>
      </c>
      <c r="AS59" s="2" t="s">
        <v>709</v>
      </c>
      <c r="AT59" s="2">
        <f>_20250609_reklama_data[[#This Row],[Atlyginimų vidurkis 2023]]*_20250609_reklama_data[[#This Row],[Darbuotojai 2023]]*12</f>
        <v>148032</v>
      </c>
      <c r="AU59" s="2">
        <f>(_20250609_reklama_data[[#This Row],[Apyvarta 2023]]-_20250609_reklama_data[[#This Row],[Atlyginimų sąnaudos 2023]])/_20250609_reklama_data[[#This Row],[Darbuotojai 2023]]</f>
        <v>82106</v>
      </c>
      <c r="AV59" s="3">
        <v>4.1012658227848102E-2</v>
      </c>
      <c r="AW59" s="2" t="s">
        <v>710</v>
      </c>
      <c r="AX59" s="2">
        <f>_20250609_reklama_data[[#This Row],[Atlyginimų vidurkis 2024]]*_20250609_reklama_data[[#This Row],[Darbuotojai 2024]]*12</f>
        <v>139320</v>
      </c>
      <c r="AY59" s="2">
        <f>(_20250609_reklama_data[[#This Row],[Apyvarta 2024]]-_20250609_reklama_data[[#This Row],[Atlyginimų sąnaudos 2024]])/_20250609_reklama_data[[#This Row],[Darbuotojai 2024]]</f>
        <v>84327.166666666672</v>
      </c>
      <c r="AZ59" s="3">
        <v>-5.8852140077821011E-2</v>
      </c>
      <c r="BA59" s="2" t="s">
        <v>711</v>
      </c>
      <c r="BB59" s="2">
        <f>_20250609_reklama_data[[#This Row],[Atlyginimų vidurkis 2025 04]]*_20250609_reklama_data[[#This Row],[Darbuotojai 2025 06 09]]*5</f>
        <v>47803.5</v>
      </c>
      <c r="BC59" s="2" t="s">
        <v>80</v>
      </c>
      <c r="BD59" s="2">
        <v>517914</v>
      </c>
      <c r="BE59" s="2">
        <v>544393</v>
      </c>
      <c r="BF59" s="3">
        <v>5.1126248759446546E-2</v>
      </c>
      <c r="BG59" s="2">
        <v>670268</v>
      </c>
      <c r="BH59" s="3">
        <v>0.2312208276006488</v>
      </c>
      <c r="BI59" s="2">
        <v>645477</v>
      </c>
      <c r="BJ59" s="3">
        <v>-3.6986697858170166E-2</v>
      </c>
      <c r="BK59" s="2">
        <v>640668</v>
      </c>
      <c r="BL59" s="3">
        <v>-7.450304193642841E-3</v>
      </c>
      <c r="BM59" s="2">
        <v>645283</v>
      </c>
      <c r="BN59" s="3">
        <v>7.203418931490257E-3</v>
      </c>
      <c r="BO59" s="2">
        <v>129879</v>
      </c>
      <c r="BP59" s="2">
        <v>128289</v>
      </c>
      <c r="BQ59" s="3">
        <v>-1.2242163860208348E-2</v>
      </c>
      <c r="BR59" s="2">
        <v>216103</v>
      </c>
      <c r="BS59" s="3">
        <v>0.68450139918465336</v>
      </c>
      <c r="BT59" s="2">
        <v>195790</v>
      </c>
      <c r="BU59" s="3">
        <v>-9.3996844097490553E-2</v>
      </c>
      <c r="BV59" s="2">
        <v>219317</v>
      </c>
      <c r="BW59" s="3">
        <v>0.12016446192348945</v>
      </c>
      <c r="BX59" s="2">
        <v>222567</v>
      </c>
      <c r="BY59" s="3">
        <v>1.4818732701979326E-2</v>
      </c>
      <c r="BZ59" s="2" t="s">
        <v>713</v>
      </c>
      <c r="CA59" s="2" t="s">
        <v>1560</v>
      </c>
      <c r="CB59" s="2" t="s">
        <v>80</v>
      </c>
      <c r="CC59" s="2" t="s">
        <v>80</v>
      </c>
      <c r="CD59" s="2" t="s">
        <v>95</v>
      </c>
      <c r="CE59" s="2" t="s">
        <v>714</v>
      </c>
    </row>
    <row r="60" spans="1:83" ht="32" x14ac:dyDescent="0.2">
      <c r="A60" s="42" t="s">
        <v>1561</v>
      </c>
      <c r="B60" s="41" t="s">
        <v>1562</v>
      </c>
      <c r="C60" s="2"/>
      <c r="D60" s="2"/>
      <c r="E60" s="2"/>
      <c r="F60" s="2"/>
      <c r="G60" s="2"/>
      <c r="H60" s="2"/>
      <c r="I60" s="2"/>
      <c r="J60" s="2">
        <v>302561024</v>
      </c>
      <c r="K60" s="2" t="s">
        <v>1220</v>
      </c>
      <c r="L60" s="2" t="s">
        <v>1218</v>
      </c>
      <c r="M60" s="2" t="s">
        <v>1221</v>
      </c>
      <c r="N60" s="2" t="s">
        <v>77</v>
      </c>
      <c r="O60" s="2" t="s">
        <v>1222</v>
      </c>
      <c r="P60" s="2">
        <v>37064630700</v>
      </c>
      <c r="Q60" s="2"/>
      <c r="R60" s="2">
        <v>11</v>
      </c>
      <c r="S60" s="2">
        <v>11</v>
      </c>
      <c r="T60" s="2">
        <v>0</v>
      </c>
      <c r="U60" s="2">
        <v>14</v>
      </c>
      <c r="V60" s="2">
        <v>0.27</v>
      </c>
      <c r="W60" s="2">
        <v>15</v>
      </c>
      <c r="X60" s="2">
        <v>7.0000000000000007E-2</v>
      </c>
      <c r="Y60" s="2">
        <v>13</v>
      </c>
      <c r="Z60" s="2">
        <v>-0.13</v>
      </c>
      <c r="AA60" s="2">
        <v>15</v>
      </c>
      <c r="AB60" s="2">
        <v>0.15</v>
      </c>
      <c r="AC60" s="2">
        <v>16</v>
      </c>
      <c r="AD60" s="2">
        <v>1664</v>
      </c>
      <c r="AE60" s="2">
        <v>18304</v>
      </c>
      <c r="AF60" s="2">
        <v>40443.454550000002</v>
      </c>
      <c r="AG60" s="2">
        <v>2204</v>
      </c>
      <c r="AH60" s="2">
        <v>24244</v>
      </c>
      <c r="AI60" s="2">
        <v>55813</v>
      </c>
      <c r="AJ60" s="2">
        <v>0.32</v>
      </c>
      <c r="AK60" s="2">
        <v>2844</v>
      </c>
      <c r="AL60" s="2">
        <v>39816</v>
      </c>
      <c r="AM60" s="2">
        <v>67829.857139999993</v>
      </c>
      <c r="AN60" s="2">
        <v>0.28999999999999998</v>
      </c>
      <c r="AO60" s="2">
        <v>3598</v>
      </c>
      <c r="AP60" s="2">
        <v>53970</v>
      </c>
      <c r="AQ60" s="2">
        <v>88283.133329999997</v>
      </c>
      <c r="AR60" s="2">
        <v>0.27</v>
      </c>
      <c r="AS60" s="2">
        <v>4242</v>
      </c>
      <c r="AT60" s="2">
        <v>55146</v>
      </c>
      <c r="AU60" s="2">
        <v>123219.3846</v>
      </c>
      <c r="AV60" s="2">
        <v>0.18</v>
      </c>
      <c r="AW60" s="2">
        <v>3978</v>
      </c>
      <c r="AX60" s="2">
        <v>59670</v>
      </c>
      <c r="AY60" s="2">
        <v>91210.533330000006</v>
      </c>
      <c r="AZ60" s="2">
        <v>-0.06</v>
      </c>
      <c r="BA60" s="2">
        <v>4094</v>
      </c>
      <c r="BB60" s="2">
        <v>65504</v>
      </c>
      <c r="BC60" s="2"/>
      <c r="BD60" s="2">
        <v>463182</v>
      </c>
      <c r="BE60" s="2">
        <v>638187</v>
      </c>
      <c r="BF60" s="2">
        <v>0.38</v>
      </c>
      <c r="BG60" s="2">
        <v>989434</v>
      </c>
      <c r="BH60" s="2">
        <v>0.55000000000000004</v>
      </c>
      <c r="BI60" s="2">
        <v>1378217</v>
      </c>
      <c r="BJ60" s="2">
        <v>0.39</v>
      </c>
      <c r="BK60" s="2">
        <v>1656998</v>
      </c>
      <c r="BL60" s="2">
        <v>0.2</v>
      </c>
      <c r="BM60" s="2">
        <v>1427828</v>
      </c>
      <c r="BN60" s="2">
        <v>-0.14000000000000001</v>
      </c>
      <c r="BO60" s="2">
        <v>57772</v>
      </c>
      <c r="BP60" s="2">
        <v>71055</v>
      </c>
      <c r="BQ60" s="2">
        <v>0.23</v>
      </c>
      <c r="BR60" s="2">
        <v>86318</v>
      </c>
      <c r="BS60" s="2">
        <v>0.21</v>
      </c>
      <c r="BT60" s="2">
        <v>152887</v>
      </c>
      <c r="BU60" s="2">
        <v>0.77</v>
      </c>
      <c r="BV60" s="2">
        <v>183233</v>
      </c>
      <c r="BW60" s="2">
        <v>0.2</v>
      </c>
      <c r="BX60" s="2">
        <v>125310</v>
      </c>
      <c r="BY60" s="2">
        <v>-0.32</v>
      </c>
      <c r="BZ60" s="2" t="s">
        <v>1223</v>
      </c>
      <c r="CA60" s="2" t="s">
        <v>1224</v>
      </c>
      <c r="CB60" s="43" t="s">
        <v>1225</v>
      </c>
      <c r="CC60" s="2" t="s">
        <v>1226</v>
      </c>
      <c r="CD60" s="2" t="s">
        <v>95</v>
      </c>
      <c r="CE60" s="2" t="s">
        <v>1137</v>
      </c>
    </row>
    <row r="61" spans="1:83" x14ac:dyDescent="0.2">
      <c r="A61" s="41" t="s">
        <v>143</v>
      </c>
      <c r="B61" s="41" t="s">
        <v>1563</v>
      </c>
      <c r="C61" s="2" t="s">
        <v>144</v>
      </c>
      <c r="D61" s="2">
        <v>731200</v>
      </c>
      <c r="E61" s="2" t="s">
        <v>73</v>
      </c>
      <c r="F61" s="2"/>
      <c r="G61" s="2"/>
      <c r="H61" s="2"/>
      <c r="I61" s="2"/>
      <c r="J61" s="2">
        <v>111707070</v>
      </c>
      <c r="K61" s="2" t="s">
        <v>145</v>
      </c>
      <c r="L61" s="2" t="s">
        <v>1564</v>
      </c>
      <c r="M61" s="2" t="s">
        <v>147</v>
      </c>
      <c r="N61" s="2" t="s">
        <v>77</v>
      </c>
      <c r="O61" s="2" t="s">
        <v>148</v>
      </c>
      <c r="P61" s="2" t="s">
        <v>149</v>
      </c>
      <c r="Q61" s="2"/>
      <c r="R61" s="2" t="s">
        <v>150</v>
      </c>
      <c r="S61" s="2" t="s">
        <v>151</v>
      </c>
      <c r="T61" s="3">
        <v>-0.11764705882352941</v>
      </c>
      <c r="U61" s="2" t="s">
        <v>151</v>
      </c>
      <c r="V61" s="3">
        <v>0</v>
      </c>
      <c r="W61" s="2" t="s">
        <v>152</v>
      </c>
      <c r="X61" s="3">
        <v>0.2</v>
      </c>
      <c r="Y61" s="2" t="s">
        <v>152</v>
      </c>
      <c r="Z61" s="3">
        <v>0</v>
      </c>
      <c r="AA61" s="2" t="s">
        <v>153</v>
      </c>
      <c r="AB61" s="3">
        <v>-2.7777777777777776E-2</v>
      </c>
      <c r="AC61" s="2">
        <v>39</v>
      </c>
      <c r="AD61" s="2" t="s">
        <v>154</v>
      </c>
      <c r="AE61" s="2">
        <f>_20250609_reklama_data[[#This Row],[Atlyginimų vidurkis 2019]]*_20250609_reklama_data[[#This Row],[Darbuotojai 2019]]*12</f>
        <v>1004904</v>
      </c>
      <c r="AF61" s="2">
        <f>(_20250609_reklama_data[[#This Row],[Apyvarta 2019]]-_20250609_reklama_data[[#This Row],[Atlyginimų sąnaudos 2019]])/_20250609_reklama_data[[#This Row],[Darbuotojai 2019]]</f>
        <v>290977.0882352941</v>
      </c>
      <c r="AG61" s="2" t="s">
        <v>155</v>
      </c>
      <c r="AH61" s="2">
        <f>_20250609_reklama_data[[#This Row],[Atlyginimų vidurkis 2020]]*_20250609_reklama_data[[#This Row],[Darbuotojai 2020]]*12</f>
        <v>921240</v>
      </c>
      <c r="AI61" s="2">
        <f>(_20250609_reklama_data[[#This Row],[Apyvarta 2020]]-_20250609_reklama_data[[#This Row],[Atlyginimų sąnaudos 2020]])/_20250609_reklama_data[[#This Row],[Darbuotojai 2020]]</f>
        <v>341375.06666666665</v>
      </c>
      <c r="AJ61" s="3">
        <v>3.8976857490864797E-2</v>
      </c>
      <c r="AK61" s="2" t="s">
        <v>156</v>
      </c>
      <c r="AL61" s="2">
        <f>_20250609_reklama_data[[#This Row],[Atlyginimų vidurkis 2021]]*_20250609_reklama_data[[#This Row],[Darbuotojai 2021]]*12</f>
        <v>972000</v>
      </c>
      <c r="AM61" s="2">
        <f>(_20250609_reklama_data[[#This Row],[Apyvarta 2021]]-_20250609_reklama_data[[#This Row],[Atlyginimų sąnaudos 2021]])/_20250609_reklama_data[[#This Row],[Darbuotojai 2021]]</f>
        <v>423610.63333333336</v>
      </c>
      <c r="AN61" s="3">
        <v>5.5099648300117231E-2</v>
      </c>
      <c r="AO61" s="2" t="s">
        <v>157</v>
      </c>
      <c r="AP61" s="2">
        <f>_20250609_reklama_data[[#This Row],[Atlyginimų vidurkis 2022]]*_20250609_reklama_data[[#This Row],[Darbuotojai 2022]]*12</f>
        <v>1228608</v>
      </c>
      <c r="AQ61" s="2">
        <f>(_20250609_reklama_data[[#This Row],[Apyvarta 2022]]-_20250609_reklama_data[[#This Row],[Atlyginimų sąnaudos 2022]])/_20250609_reklama_data[[#This Row],[Darbuotojai 2022]]</f>
        <v>382370.08333333331</v>
      </c>
      <c r="AR61" s="3">
        <v>5.3333333333333337E-2</v>
      </c>
      <c r="AS61" s="2" t="s">
        <v>158</v>
      </c>
      <c r="AT61" s="2">
        <f>_20250609_reklama_data[[#This Row],[Atlyginimų vidurkis 2023]]*_20250609_reklama_data[[#This Row],[Darbuotojai 2023]]*12</f>
        <v>1340496</v>
      </c>
      <c r="AU61" s="2">
        <f>(_20250609_reklama_data[[#This Row],[Apyvarta 2023]]-_20250609_reklama_data[[#This Row],[Atlyginimų sąnaudos 2023]])/_20250609_reklama_data[[#This Row],[Darbuotojai 2023]]</f>
        <v>511037.75</v>
      </c>
      <c r="AV61" s="3">
        <v>9.106891701828411E-2</v>
      </c>
      <c r="AW61" s="2" t="s">
        <v>159</v>
      </c>
      <c r="AX61" s="2">
        <f>_20250609_reklama_data[[#This Row],[Atlyginimų vidurkis 2024]]*_20250609_reklama_data[[#This Row],[Darbuotojai 2024]]*12</f>
        <v>1385160</v>
      </c>
      <c r="AY61" s="2">
        <f>(_20250609_reklama_data[[#This Row],[Apyvarta 2024]]-_20250609_reklama_data[[#This Row],[Atlyginimų sąnaudos 2024]])/_20250609_reklama_data[[#This Row],[Darbuotojai 2024]]</f>
        <v>401902.74285714288</v>
      </c>
      <c r="AZ61" s="3">
        <v>6.284241057041573E-2</v>
      </c>
      <c r="BA61" s="2" t="s">
        <v>160</v>
      </c>
      <c r="BB61" s="2">
        <f>_20250609_reklama_data[[#This Row],[Atlyginimų vidurkis 2025 04]]*_20250609_reklama_data[[#This Row],[Darbuotojai 2025 06 09]]*5</f>
        <v>676279.5</v>
      </c>
      <c r="BC61" s="2" t="s">
        <v>80</v>
      </c>
      <c r="BD61" s="2">
        <v>10898125</v>
      </c>
      <c r="BE61" s="2">
        <v>11162492</v>
      </c>
      <c r="BF61" s="3">
        <v>2.4258026036588862E-2</v>
      </c>
      <c r="BG61" s="2">
        <v>13680319</v>
      </c>
      <c r="BH61" s="3">
        <v>0.22556137106302068</v>
      </c>
      <c r="BI61" s="2">
        <v>14993931</v>
      </c>
      <c r="BJ61" s="3">
        <v>9.6022029895647898E-2</v>
      </c>
      <c r="BK61" s="2">
        <v>19737855</v>
      </c>
      <c r="BL61" s="3">
        <v>0.31638961123670639</v>
      </c>
      <c r="BM61" s="2">
        <v>15451756</v>
      </c>
      <c r="BN61" s="3">
        <v>-0.21715120513348588</v>
      </c>
      <c r="BO61" s="2">
        <v>203683</v>
      </c>
      <c r="BP61" s="2">
        <v>307350</v>
      </c>
      <c r="BQ61" s="3">
        <v>0.50896245636601978</v>
      </c>
      <c r="BR61" s="2">
        <v>391733</v>
      </c>
      <c r="BS61" s="3">
        <v>0.27455018708313</v>
      </c>
      <c r="BT61" s="2">
        <v>294380</v>
      </c>
      <c r="BU61" s="3">
        <v>-0.24851876150337091</v>
      </c>
      <c r="BV61" s="2">
        <v>385809</v>
      </c>
      <c r="BW61" s="3">
        <v>0.31058156124736735</v>
      </c>
      <c r="BX61" s="2">
        <v>244146</v>
      </c>
      <c r="BY61" s="3">
        <v>-0.36718428030450301</v>
      </c>
      <c r="BZ61" s="2" t="s">
        <v>162</v>
      </c>
      <c r="CA61" s="2" t="s">
        <v>163</v>
      </c>
      <c r="CB61" s="2" t="s">
        <v>80</v>
      </c>
      <c r="CC61" s="2" t="s">
        <v>1565</v>
      </c>
      <c r="CD61" s="2" t="s">
        <v>95</v>
      </c>
      <c r="CE61" s="2" t="s">
        <v>164</v>
      </c>
    </row>
    <row r="62" spans="1:83" ht="32" x14ac:dyDescent="0.2">
      <c r="A62" s="42" t="s">
        <v>1566</v>
      </c>
      <c r="B62" s="41" t="s">
        <v>1567</v>
      </c>
      <c r="C62" s="4" t="s">
        <v>1130</v>
      </c>
      <c r="D62" s="2">
        <v>731100</v>
      </c>
      <c r="E62" s="2" t="s">
        <v>508</v>
      </c>
      <c r="F62" s="2"/>
      <c r="G62" s="2"/>
      <c r="H62" s="2"/>
      <c r="I62" s="2"/>
      <c r="J62" s="2">
        <v>111632739</v>
      </c>
      <c r="K62" s="2" t="s">
        <v>1131</v>
      </c>
      <c r="L62" s="2" t="s">
        <v>1129</v>
      </c>
      <c r="M62" s="2" t="s">
        <v>1132</v>
      </c>
      <c r="N62" s="2" t="s">
        <v>77</v>
      </c>
      <c r="O62" s="43" t="s">
        <v>1133</v>
      </c>
      <c r="P62" s="43" t="s">
        <v>1134</v>
      </c>
      <c r="Q62" s="2">
        <v>37069820500</v>
      </c>
      <c r="R62" s="2">
        <v>21</v>
      </c>
      <c r="S62" s="2">
        <v>16</v>
      </c>
      <c r="T62" s="2">
        <v>-0.24</v>
      </c>
      <c r="U62" s="2">
        <v>13</v>
      </c>
      <c r="V62" s="2">
        <v>-0.19</v>
      </c>
      <c r="W62" s="2">
        <v>16</v>
      </c>
      <c r="X62" s="2">
        <v>0.23</v>
      </c>
      <c r="Y62" s="2">
        <v>16</v>
      </c>
      <c r="Z62" s="2">
        <v>0</v>
      </c>
      <c r="AA62" s="2">
        <v>24</v>
      </c>
      <c r="AB62" s="2">
        <v>0.5</v>
      </c>
      <c r="AC62" s="2">
        <v>23</v>
      </c>
      <c r="AD62" s="2">
        <v>2789</v>
      </c>
      <c r="AE62" s="2">
        <v>58569</v>
      </c>
      <c r="AF62" s="2">
        <v>353644.09519999998</v>
      </c>
      <c r="AG62" s="2">
        <v>2908</v>
      </c>
      <c r="AH62" s="2">
        <v>46528</v>
      </c>
      <c r="AI62" s="2">
        <v>409601.9375</v>
      </c>
      <c r="AJ62" s="2">
        <v>0.04</v>
      </c>
      <c r="AK62" s="2">
        <v>2982</v>
      </c>
      <c r="AL62" s="2">
        <v>38766</v>
      </c>
      <c r="AM62" s="2">
        <v>680507.84620000003</v>
      </c>
      <c r="AN62" s="2">
        <v>0.03</v>
      </c>
      <c r="AO62" s="2">
        <v>3321</v>
      </c>
      <c r="AP62" s="2">
        <v>53136</v>
      </c>
      <c r="AQ62" s="2">
        <v>460787.3125</v>
      </c>
      <c r="AR62" s="2">
        <v>0.11</v>
      </c>
      <c r="AS62" s="2">
        <v>3469</v>
      </c>
      <c r="AT62" s="2">
        <v>55504</v>
      </c>
      <c r="AU62" s="2">
        <v>455448.875</v>
      </c>
      <c r="AV62" s="2">
        <v>0.04</v>
      </c>
      <c r="AW62" s="2">
        <v>3549</v>
      </c>
      <c r="AX62" s="2">
        <v>85176</v>
      </c>
      <c r="AY62" s="2">
        <v>309557.625</v>
      </c>
      <c r="AZ62" s="2">
        <v>0.02</v>
      </c>
      <c r="BA62" s="2">
        <v>5094</v>
      </c>
      <c r="BB62" s="2">
        <v>117162</v>
      </c>
      <c r="BC62" s="2"/>
      <c r="BD62" s="2">
        <v>7485095</v>
      </c>
      <c r="BE62" s="2">
        <v>6600159</v>
      </c>
      <c r="BF62" s="2">
        <v>-0.12</v>
      </c>
      <c r="BG62" s="2">
        <v>8885368</v>
      </c>
      <c r="BH62" s="2">
        <v>0.35</v>
      </c>
      <c r="BI62" s="2">
        <v>7425733</v>
      </c>
      <c r="BJ62" s="2">
        <v>-0.16</v>
      </c>
      <c r="BK62" s="2">
        <v>7342686</v>
      </c>
      <c r="BL62" s="2">
        <v>-0.01</v>
      </c>
      <c r="BM62" s="43">
        <v>7514559</v>
      </c>
      <c r="BN62" s="43">
        <v>0.02</v>
      </c>
      <c r="BO62" s="2">
        <v>5460</v>
      </c>
      <c r="BP62" s="2">
        <v>113995</v>
      </c>
      <c r="BQ62" s="2">
        <v>19.88</v>
      </c>
      <c r="BR62" s="2">
        <v>358969</v>
      </c>
      <c r="BS62" s="43">
        <v>2.15</v>
      </c>
      <c r="BT62" s="2">
        <v>253547</v>
      </c>
      <c r="BU62" s="2">
        <v>-0.28999999999999998</v>
      </c>
      <c r="BV62" s="2">
        <v>96617</v>
      </c>
      <c r="BW62" s="2">
        <v>-0.62</v>
      </c>
      <c r="BX62" s="2">
        <v>72943</v>
      </c>
      <c r="BY62" s="2">
        <v>-0.25</v>
      </c>
      <c r="BZ62" s="2" t="s">
        <v>1136</v>
      </c>
      <c r="CA62" s="2"/>
      <c r="CB62" s="2"/>
      <c r="CC62" s="2"/>
      <c r="CD62" s="2" t="s">
        <v>95</v>
      </c>
      <c r="CE62" s="2" t="s">
        <v>1137</v>
      </c>
    </row>
    <row r="63" spans="1:83" x14ac:dyDescent="0.2">
      <c r="A63" s="41" t="s">
        <v>1568</v>
      </c>
      <c r="B63" s="41" t="s">
        <v>1569</v>
      </c>
      <c r="C63" s="4" t="s">
        <v>1124</v>
      </c>
      <c r="D63" s="2"/>
      <c r="E63" s="2"/>
      <c r="F63" s="2"/>
      <c r="G63" s="2"/>
      <c r="H63" s="2"/>
      <c r="I63" s="2"/>
      <c r="J63" s="44">
        <v>302837871</v>
      </c>
      <c r="K63" s="44" t="s">
        <v>1125</v>
      </c>
      <c r="L63" s="41"/>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4" t="s">
        <v>1570</v>
      </c>
      <c r="CA63" s="2"/>
      <c r="CB63" s="2"/>
      <c r="CC63" s="2" t="s">
        <v>1571</v>
      </c>
      <c r="CD63" s="2"/>
      <c r="CE63" s="2"/>
    </row>
    <row r="64" spans="1:83" x14ac:dyDescent="0.2">
      <c r="A64" s="41" t="s">
        <v>1045</v>
      </c>
      <c r="B64" s="41" t="s">
        <v>1572</v>
      </c>
      <c r="C64" s="2" t="s">
        <v>1573</v>
      </c>
      <c r="D64" s="2">
        <v>731100</v>
      </c>
      <c r="E64" s="2"/>
      <c r="F64" s="2" t="s">
        <v>280</v>
      </c>
      <c r="G64" s="2"/>
      <c r="H64" s="2"/>
      <c r="I64" s="2"/>
      <c r="J64" s="2">
        <v>300634324</v>
      </c>
      <c r="K64" s="2" t="s">
        <v>1046</v>
      </c>
      <c r="L64" s="2" t="s">
        <v>1045</v>
      </c>
      <c r="M64" s="2" t="s">
        <v>1029</v>
      </c>
      <c r="N64" s="2" t="s">
        <v>77</v>
      </c>
      <c r="O64" s="2" t="s">
        <v>1048</v>
      </c>
      <c r="P64" s="2" t="s">
        <v>1049</v>
      </c>
      <c r="Q64" s="2"/>
      <c r="R64" s="2" t="s">
        <v>174</v>
      </c>
      <c r="S64" s="2" t="s">
        <v>174</v>
      </c>
      <c r="T64" s="3">
        <v>0</v>
      </c>
      <c r="U64" s="2" t="s">
        <v>82</v>
      </c>
      <c r="V64" s="3">
        <v>0.11764705882352941</v>
      </c>
      <c r="W64" s="2" t="s">
        <v>175</v>
      </c>
      <c r="X64" s="3">
        <v>5.2631578947368418E-2</v>
      </c>
      <c r="Y64" s="2" t="s">
        <v>176</v>
      </c>
      <c r="Z64" s="3">
        <v>0.05</v>
      </c>
      <c r="AA64" s="2" t="s">
        <v>175</v>
      </c>
      <c r="AB64" s="3">
        <v>-4.7619047619047616E-2</v>
      </c>
      <c r="AC64" s="2">
        <v>14</v>
      </c>
      <c r="AD64" s="2" t="s">
        <v>1050</v>
      </c>
      <c r="AE64" s="2">
        <f>_20250609_reklama_data[[#This Row],[Atlyginimų vidurkis 2019]]*_20250609_reklama_data[[#This Row],[Darbuotojai 2019]]*12</f>
        <v>263976</v>
      </c>
      <c r="AF64" s="2">
        <f>(_20250609_reklama_data[[#This Row],[Apyvarta 2019]]-_20250609_reklama_data[[#This Row],[Atlyginimų sąnaudos 2019]])/_20250609_reklama_data[[#This Row],[Darbuotojai 2019]]</f>
        <v>50489.117647058825</v>
      </c>
      <c r="AG64" s="2" t="s">
        <v>1051</v>
      </c>
      <c r="AH64" s="2">
        <f>_20250609_reklama_data[[#This Row],[Atlyginimų vidurkis 2020]]*_20250609_reklama_data[[#This Row],[Darbuotojai 2020]]*12</f>
        <v>294576</v>
      </c>
      <c r="AI64" s="2">
        <f>(_20250609_reklama_data[[#This Row],[Apyvarta 2020]]-_20250609_reklama_data[[#This Row],[Atlyginimų sąnaudos 2020]])/_20250609_reklama_data[[#This Row],[Darbuotojai 2020]]</f>
        <v>77902.588235294112</v>
      </c>
      <c r="AJ64" s="3">
        <v>0.11591962905718702</v>
      </c>
      <c r="AK64" s="2" t="s">
        <v>676</v>
      </c>
      <c r="AL64" s="2">
        <f>_20250609_reklama_data[[#This Row],[Atlyginimų vidurkis 2021]]*_20250609_reklama_data[[#This Row],[Darbuotojai 2021]]*12</f>
        <v>362064</v>
      </c>
      <c r="AM64" s="2">
        <f>(_20250609_reklama_data[[#This Row],[Apyvarta 2021]]-_20250609_reklama_data[[#This Row],[Atlyginimų sąnaudos 2021]])/_20250609_reklama_data[[#This Row],[Darbuotojai 2021]]</f>
        <v>58675.789473684214</v>
      </c>
      <c r="AN64" s="3">
        <v>9.9722991689750698E-2</v>
      </c>
      <c r="AO64" s="2" t="s">
        <v>1052</v>
      </c>
      <c r="AP64" s="2">
        <f>_20250609_reklama_data[[#This Row],[Atlyginimų vidurkis 2022]]*_20250609_reklama_data[[#This Row],[Darbuotojai 2022]]*12</f>
        <v>434640</v>
      </c>
      <c r="AQ64" s="2">
        <f>(_20250609_reklama_data[[#This Row],[Apyvarta 2022]]-_20250609_reklama_data[[#This Row],[Atlyginimų sąnaudos 2022]])/_20250609_reklama_data[[#This Row],[Darbuotojai 2022]]</f>
        <v>80220.800000000003</v>
      </c>
      <c r="AR64" s="3">
        <v>0.14042821158690177</v>
      </c>
      <c r="AS64" s="2" t="s">
        <v>1053</v>
      </c>
      <c r="AT64" s="2">
        <f>_20250609_reklama_data[[#This Row],[Atlyginimų vidurkis 2023]]*_20250609_reklama_data[[#This Row],[Darbuotojai 2023]]*12</f>
        <v>492408</v>
      </c>
      <c r="AU64" s="2">
        <f>(_20250609_reklama_data[[#This Row],[Apyvarta 2023]]-_20250609_reklama_data[[#This Row],[Atlyginimų sąnaudos 2023]])/_20250609_reklama_data[[#This Row],[Darbuotojai 2023]]</f>
        <v>72763.904761904763</v>
      </c>
      <c r="AV64" s="3">
        <v>7.8961899503037003E-2</v>
      </c>
      <c r="AW64" s="2" t="s">
        <v>1034</v>
      </c>
      <c r="AX64" s="2">
        <f>_20250609_reklama_data[[#This Row],[Atlyginimų vidurkis 2024]]*_20250609_reklama_data[[#This Row],[Darbuotojai 2024]]*12</f>
        <v>556320</v>
      </c>
      <c r="AY64" s="2">
        <f>(_20250609_reklama_data[[#This Row],[Apyvarta 2024]]-_20250609_reklama_data[[#This Row],[Atlyginimų sąnaudos 2024]])/_20250609_reklama_data[[#This Row],[Darbuotojai 2024]]</f>
        <v>-27816</v>
      </c>
      <c r="AZ64" s="3">
        <v>0.18628454452405321</v>
      </c>
      <c r="BA64" s="2" t="s">
        <v>1054</v>
      </c>
      <c r="BB64" s="2">
        <f>_20250609_reklama_data[[#This Row],[Atlyginimų vidurkis 2025 04]]*_20250609_reklama_data[[#This Row],[Darbuotojai 2025 06 09]]*5</f>
        <v>179869.19999999998</v>
      </c>
      <c r="BC64" s="2" t="s">
        <v>80</v>
      </c>
      <c r="BD64" s="2">
        <v>1122291</v>
      </c>
      <c r="BE64" s="2">
        <v>1618920</v>
      </c>
      <c r="BF64" s="3">
        <v>0.44251357268302072</v>
      </c>
      <c r="BG64" s="2">
        <v>1476904</v>
      </c>
      <c r="BH64" s="3">
        <v>-8.7722679317075586E-2</v>
      </c>
      <c r="BI64" s="2">
        <v>2039056</v>
      </c>
      <c r="BJ64" s="3">
        <v>0.38062866645360838</v>
      </c>
      <c r="BK64" s="2">
        <v>2020450</v>
      </c>
      <c r="BL64" s="3">
        <v>-9.1248106967145581E-3</v>
      </c>
      <c r="BM64" s="2"/>
      <c r="BN64" s="2" t="s">
        <v>590</v>
      </c>
      <c r="BO64" s="2">
        <v>17360</v>
      </c>
      <c r="BP64" s="2">
        <v>34568</v>
      </c>
      <c r="BQ64" s="3">
        <v>0.99124423963133645</v>
      </c>
      <c r="BR64" s="2">
        <v>22379</v>
      </c>
      <c r="BS64" s="3">
        <v>-0.35260934968757235</v>
      </c>
      <c r="BT64" s="2">
        <v>22439</v>
      </c>
      <c r="BU64" s="3">
        <v>2.6810849457080299E-3</v>
      </c>
      <c r="BV64" s="2">
        <v>30160</v>
      </c>
      <c r="BW64" s="3">
        <v>0.34408841748741031</v>
      </c>
      <c r="BX64" s="2"/>
      <c r="BY64" s="2" t="s">
        <v>590</v>
      </c>
      <c r="BZ64" s="2" t="s">
        <v>1056</v>
      </c>
      <c r="CA64" s="2" t="s">
        <v>1057</v>
      </c>
      <c r="CB64" s="2" t="s">
        <v>1574</v>
      </c>
      <c r="CC64" s="2" t="s">
        <v>1575</v>
      </c>
      <c r="CD64" s="2" t="s">
        <v>891</v>
      </c>
      <c r="CE64" s="2" t="s">
        <v>1058</v>
      </c>
    </row>
    <row r="65" spans="1:83" x14ac:dyDescent="0.2">
      <c r="A65" s="41" t="s">
        <v>1576</v>
      </c>
      <c r="B65" s="41" t="s">
        <v>1577</v>
      </c>
      <c r="C65" s="2" t="s">
        <v>404</v>
      </c>
      <c r="D65" s="2">
        <v>731100</v>
      </c>
      <c r="E65" s="2"/>
      <c r="F65" s="2" t="s">
        <v>280</v>
      </c>
      <c r="G65" s="2"/>
      <c r="H65" s="2"/>
      <c r="I65" s="2"/>
      <c r="J65" s="2">
        <v>302704981</v>
      </c>
      <c r="K65" s="2" t="s">
        <v>405</v>
      </c>
      <c r="L65" s="2" t="s">
        <v>1576</v>
      </c>
      <c r="M65" s="2" t="s">
        <v>407</v>
      </c>
      <c r="N65" s="2" t="s">
        <v>77</v>
      </c>
      <c r="O65" s="2" t="s">
        <v>408</v>
      </c>
      <c r="P65" s="2" t="s">
        <v>80</v>
      </c>
      <c r="Q65" s="2">
        <v>37060870533</v>
      </c>
      <c r="R65" s="2" t="s">
        <v>218</v>
      </c>
      <c r="S65" s="2" t="s">
        <v>82</v>
      </c>
      <c r="T65" s="3">
        <v>0.1875</v>
      </c>
      <c r="U65" s="2" t="s">
        <v>409</v>
      </c>
      <c r="V65" s="3">
        <v>0.21052631578947367</v>
      </c>
      <c r="W65" s="2" t="s">
        <v>252</v>
      </c>
      <c r="X65" s="3">
        <v>0.13043478260869565</v>
      </c>
      <c r="Y65" s="2" t="s">
        <v>199</v>
      </c>
      <c r="Z65" s="3">
        <v>3.8461538461538464E-2</v>
      </c>
      <c r="AA65" s="2" t="s">
        <v>201</v>
      </c>
      <c r="AB65" s="3">
        <v>-7.407407407407407E-2</v>
      </c>
      <c r="AC65" s="2">
        <v>19</v>
      </c>
      <c r="AD65" s="2" t="s">
        <v>410</v>
      </c>
      <c r="AE65" s="2">
        <f>_20250609_reklama_data[[#This Row],[Atlyginimų vidurkis 2019]]*_20250609_reklama_data[[#This Row],[Darbuotojai 2019]]*12</f>
        <v>374784</v>
      </c>
      <c r="AF65" s="2">
        <f>(_20250609_reklama_data[[#This Row],[Apyvarta 2019]]-_20250609_reklama_data[[#This Row],[Atlyginimų sąnaudos 2019]])/_20250609_reklama_data[[#This Row],[Darbuotojai 2019]]</f>
        <v>79229.875</v>
      </c>
      <c r="AG65" s="2" t="s">
        <v>411</v>
      </c>
      <c r="AH65" s="2">
        <f>_20250609_reklama_data[[#This Row],[Atlyginimų vidurkis 2020]]*_20250609_reklama_data[[#This Row],[Darbuotojai 2020]]*12</f>
        <v>411084</v>
      </c>
      <c r="AI65" s="2">
        <f>(_20250609_reklama_data[[#This Row],[Apyvarta 2020]]-_20250609_reklama_data[[#This Row],[Atlyginimų sąnaudos 2020]])/_20250609_reklama_data[[#This Row],[Darbuotojai 2020]]</f>
        <v>92626.894736842107</v>
      </c>
      <c r="AJ65" s="3">
        <v>-7.6331967213114749E-2</v>
      </c>
      <c r="AK65" s="2" t="s">
        <v>412</v>
      </c>
      <c r="AL65" s="2">
        <f>_20250609_reklama_data[[#This Row],[Atlyginimų vidurkis 2021]]*_20250609_reklama_data[[#This Row],[Darbuotojai 2021]]*12</f>
        <v>543720</v>
      </c>
      <c r="AM65" s="2">
        <f>(_20250609_reklama_data[[#This Row],[Apyvarta 2021]]-_20250609_reklama_data[[#This Row],[Atlyginimų sąnaudos 2021]])/_20250609_reklama_data[[#This Row],[Darbuotojai 2021]]</f>
        <v>63846.260869565216</v>
      </c>
      <c r="AN65" s="3">
        <v>9.262340543538547E-2</v>
      </c>
      <c r="AO65" s="2" t="s">
        <v>413</v>
      </c>
      <c r="AP65" s="2">
        <f>_20250609_reklama_data[[#This Row],[Atlyginimų vidurkis 2022]]*_20250609_reklama_data[[#This Row],[Darbuotojai 2022]]*12</f>
        <v>783744</v>
      </c>
      <c r="AQ65" s="2">
        <f>(_20250609_reklama_data[[#This Row],[Apyvarta 2022]]-_20250609_reklama_data[[#This Row],[Atlyginimų sąnaudos 2022]])/_20250609_reklama_data[[#This Row],[Darbuotojai 2022]]</f>
        <v>79636.461538461532</v>
      </c>
      <c r="AR65" s="3">
        <v>0.2751269035532995</v>
      </c>
      <c r="AS65" s="2" t="s">
        <v>414</v>
      </c>
      <c r="AT65" s="2">
        <f>_20250609_reklama_data[[#This Row],[Atlyginimų vidurkis 2023]]*_20250609_reklama_data[[#This Row],[Darbuotojai 2023]]*12</f>
        <v>970380</v>
      </c>
      <c r="AU65" s="2">
        <f>(_20250609_reklama_data[[#This Row],[Apyvarta 2023]]-_20250609_reklama_data[[#This Row],[Atlyginimų sąnaudos 2023]])/_20250609_reklama_data[[#This Row],[Darbuotojai 2023]]</f>
        <v>76464.111111111109</v>
      </c>
      <c r="AV65" s="3">
        <v>0.19227707006369427</v>
      </c>
      <c r="AW65" s="2" t="s">
        <v>415</v>
      </c>
      <c r="AX65" s="2">
        <f>_20250609_reklama_data[[#This Row],[Atlyginimų vidurkis 2024]]*_20250609_reklama_data[[#This Row],[Darbuotojai 2024]]*12</f>
        <v>931500</v>
      </c>
      <c r="AY65" s="2">
        <f>(_20250609_reklama_data[[#This Row],[Apyvarta 2024]]-_20250609_reklama_data[[#This Row],[Atlyginimų sąnaudos 2024]])/_20250609_reklama_data[[#This Row],[Darbuotojai 2024]]</f>
        <v>93651.72</v>
      </c>
      <c r="AZ65" s="3">
        <v>3.6727879799666109E-2</v>
      </c>
      <c r="BA65" s="2" t="s">
        <v>416</v>
      </c>
      <c r="BB65" s="2">
        <f>_20250609_reklama_data[[#This Row],[Atlyginimų vidurkis 2025 04]]*_20250609_reklama_data[[#This Row],[Darbuotojai 2025 06 09]]*5</f>
        <v>325737.90000000002</v>
      </c>
      <c r="BC65" s="2" t="s">
        <v>80</v>
      </c>
      <c r="BD65" s="2">
        <v>1642462</v>
      </c>
      <c r="BE65" s="2">
        <v>2170995</v>
      </c>
      <c r="BF65" s="3">
        <v>0.32179313737547655</v>
      </c>
      <c r="BG65" s="2">
        <v>2012184</v>
      </c>
      <c r="BH65" s="3">
        <v>-7.3151250924115438E-2</v>
      </c>
      <c r="BI65" s="2">
        <v>2854292</v>
      </c>
      <c r="BJ65" s="3">
        <v>0.41850447076410507</v>
      </c>
      <c r="BK65" s="2">
        <v>3034911</v>
      </c>
      <c r="BL65" s="3">
        <v>6.3279790575035771E-2</v>
      </c>
      <c r="BM65" s="2">
        <v>3272793</v>
      </c>
      <c r="BN65" s="3">
        <v>7.8381870176753118E-2</v>
      </c>
      <c r="BO65" s="2">
        <v>5768</v>
      </c>
      <c r="BP65" s="2">
        <v>4980</v>
      </c>
      <c r="BQ65" s="3">
        <v>-0.13661581137309292</v>
      </c>
      <c r="BR65" s="2">
        <v>-93219</v>
      </c>
      <c r="BS65" s="3">
        <v>-19.71867469879518</v>
      </c>
      <c r="BT65" s="2">
        <v>68130</v>
      </c>
      <c r="BU65" s="3">
        <v>1.7308595887104601</v>
      </c>
      <c r="BV65" s="2">
        <v>-30674</v>
      </c>
      <c r="BW65" s="3">
        <v>-1.4502275062380743</v>
      </c>
      <c r="BX65" s="2">
        <v>30560</v>
      </c>
      <c r="BY65" s="3">
        <v>1.99628349742453</v>
      </c>
      <c r="BZ65" s="2" t="s">
        <v>418</v>
      </c>
      <c r="CA65" s="2" t="s">
        <v>419</v>
      </c>
      <c r="CB65" s="2" t="s">
        <v>1578</v>
      </c>
      <c r="CC65" s="2" t="s">
        <v>1579</v>
      </c>
      <c r="CD65" s="2" t="s">
        <v>189</v>
      </c>
      <c r="CE65" s="2" t="s">
        <v>386</v>
      </c>
    </row>
    <row r="66" spans="1:83" ht="14.5" customHeight="1" x14ac:dyDescent="0.2">
      <c r="A66" s="41" t="s">
        <v>683</v>
      </c>
      <c r="B66" s="41" t="s">
        <v>1580</v>
      </c>
      <c r="C66" s="2" t="s">
        <v>684</v>
      </c>
      <c r="D66" s="2">
        <v>721100</v>
      </c>
      <c r="E66" s="2" t="s">
        <v>685</v>
      </c>
      <c r="F66" s="2"/>
      <c r="G66" s="2"/>
      <c r="H66" s="2"/>
      <c r="I66" s="2"/>
      <c r="J66" s="2">
        <v>302441263</v>
      </c>
      <c r="K66" s="2" t="s">
        <v>686</v>
      </c>
      <c r="L66" s="2" t="s">
        <v>683</v>
      </c>
      <c r="M66" s="2" t="s">
        <v>688</v>
      </c>
      <c r="N66" s="2" t="s">
        <v>77</v>
      </c>
      <c r="O66" s="2" t="s">
        <v>590</v>
      </c>
      <c r="P66" s="2" t="s">
        <v>689</v>
      </c>
      <c r="Q66" s="2">
        <v>37067965278</v>
      </c>
      <c r="R66" s="2" t="s">
        <v>219</v>
      </c>
      <c r="S66" s="2" t="s">
        <v>219</v>
      </c>
      <c r="T66" s="3">
        <v>0</v>
      </c>
      <c r="U66" s="2" t="s">
        <v>219</v>
      </c>
      <c r="V66" s="3">
        <v>0</v>
      </c>
      <c r="W66" s="2" t="s">
        <v>219</v>
      </c>
      <c r="X66" s="3">
        <v>0</v>
      </c>
      <c r="Y66" s="2" t="s">
        <v>219</v>
      </c>
      <c r="Z66" s="3">
        <v>0</v>
      </c>
      <c r="AA66" s="2" t="s">
        <v>589</v>
      </c>
      <c r="AB66" s="3">
        <v>-0.36363636363636365</v>
      </c>
      <c r="AC66" s="2">
        <v>2</v>
      </c>
      <c r="AD66" s="2" t="s">
        <v>690</v>
      </c>
      <c r="AE66" s="2">
        <f>_20250609_reklama_data[[#This Row],[Atlyginimų vidurkis 2019]]*_20250609_reklama_data[[#This Row],[Darbuotojai 2019]]*12</f>
        <v>497508</v>
      </c>
      <c r="AF66" s="2">
        <f>(_20250609_reklama_data[[#This Row],[Apyvarta 2019]]-_20250609_reklama_data[[#This Row],[Atlyginimų sąnaudos 2019]])/_20250609_reklama_data[[#This Row],[Darbuotojai 2019]]</f>
        <v>-11591.636363636364</v>
      </c>
      <c r="AG66" s="2" t="s">
        <v>691</v>
      </c>
      <c r="AH66" s="2">
        <f>_20250609_reklama_data[[#This Row],[Atlyginimų vidurkis 2020]]*_20250609_reklama_data[[#This Row],[Darbuotojai 2020]]*12</f>
        <v>383196</v>
      </c>
      <c r="AI66" s="2">
        <f>(_20250609_reklama_data[[#This Row],[Apyvarta 2020]]-_20250609_reklama_data[[#This Row],[Atlyginimų sąnaudos 2020]])/_20250609_reklama_data[[#This Row],[Darbuotojai 2020]]</f>
        <v>-1198.5454545454545</v>
      </c>
      <c r="AJ66" s="3">
        <v>-0.2297691695409923</v>
      </c>
      <c r="AK66" s="2" t="s">
        <v>692</v>
      </c>
      <c r="AL66" s="2">
        <f>_20250609_reklama_data[[#This Row],[Atlyginimų vidurkis 2021]]*_20250609_reklama_data[[#This Row],[Darbuotojai 2021]]*12</f>
        <v>390720</v>
      </c>
      <c r="AM66" s="2">
        <f>(_20250609_reklama_data[[#This Row],[Apyvarta 2021]]-_20250609_reklama_data[[#This Row],[Atlyginimų sąnaudos 2021]])/_20250609_reklama_data[[#This Row],[Darbuotojai 2021]]</f>
        <v>-1855.8181818181818</v>
      </c>
      <c r="AN66" s="3">
        <v>1.9634860489149156E-2</v>
      </c>
      <c r="AO66" s="2" t="s">
        <v>693</v>
      </c>
      <c r="AP66" s="2">
        <f>_20250609_reklama_data[[#This Row],[Atlyginimų vidurkis 2022]]*_20250609_reklama_data[[#This Row],[Darbuotojai 2022]]*12</f>
        <v>408408</v>
      </c>
      <c r="AQ66" s="2">
        <f>(_20250609_reklama_data[[#This Row],[Apyvarta 2022]]-_20250609_reklama_data[[#This Row],[Atlyginimų sąnaudos 2022]])/_20250609_reklama_data[[#This Row],[Darbuotojai 2022]]</f>
        <v>-3490.7272727272725</v>
      </c>
      <c r="AR66" s="3">
        <v>4.5270270270270273E-2</v>
      </c>
      <c r="AS66" s="2" t="s">
        <v>694</v>
      </c>
      <c r="AT66" s="2">
        <f>_20250609_reklama_data[[#This Row],[Atlyginimų vidurkis 2023]]*_20250609_reklama_data[[#This Row],[Darbuotojai 2023]]*12</f>
        <v>401412</v>
      </c>
      <c r="AU66" s="2">
        <f>(_20250609_reklama_data[[#This Row],[Apyvarta 2023]]-_20250609_reklama_data[[#This Row],[Atlyginimų sąnaudos 2023]])/_20250609_reklama_data[[#This Row],[Darbuotojai 2023]]</f>
        <v>144.36363636363637</v>
      </c>
      <c r="AV66" s="3">
        <v>-1.7129928894634779E-2</v>
      </c>
      <c r="AW66" s="2" t="s">
        <v>695</v>
      </c>
      <c r="AX66" s="2">
        <f>_20250609_reklama_data[[#This Row],[Atlyginimų vidurkis 2024]]*_20250609_reklama_data[[#This Row],[Darbuotojai 2024]]*12</f>
        <v>249984</v>
      </c>
      <c r="AY66" s="2">
        <f>(_20250609_reklama_data[[#This Row],[Apyvarta 2024]]-_20250609_reklama_data[[#This Row],[Atlyginimų sąnaudos 2024]])/_20250609_reklama_data[[#This Row],[Darbuotojai 2024]]</f>
        <v>60804</v>
      </c>
      <c r="AZ66" s="3">
        <v>-2.1374547846103254E-2</v>
      </c>
      <c r="BA66" s="2" t="s">
        <v>590</v>
      </c>
      <c r="BB66" s="2" t="s">
        <v>590</v>
      </c>
      <c r="BC66" s="2" t="s">
        <v>80</v>
      </c>
      <c r="BD66" s="2">
        <v>370000</v>
      </c>
      <c r="BE66" s="2">
        <v>370012</v>
      </c>
      <c r="BF66" s="3">
        <v>3.2432432432432429E-5</v>
      </c>
      <c r="BG66" s="2">
        <v>370306</v>
      </c>
      <c r="BH66" s="3">
        <v>7.9456882479487156E-4</v>
      </c>
      <c r="BI66" s="2">
        <v>370010</v>
      </c>
      <c r="BJ66" s="3">
        <v>-7.9933892510518324E-4</v>
      </c>
      <c r="BK66" s="2">
        <v>403000</v>
      </c>
      <c r="BL66" s="3">
        <v>8.915975243912326E-2</v>
      </c>
      <c r="BM66" s="2">
        <v>675612</v>
      </c>
      <c r="BN66" s="3">
        <v>0.67645657568238216</v>
      </c>
      <c r="BO66" s="2">
        <v>3481</v>
      </c>
      <c r="BP66" s="2">
        <v>39130</v>
      </c>
      <c r="BQ66" s="3">
        <v>10.241022694627981</v>
      </c>
      <c r="BR66" s="2">
        <v>27424</v>
      </c>
      <c r="BS66" s="3">
        <v>-0.29915665729619217</v>
      </c>
      <c r="BT66" s="2">
        <v>-117809</v>
      </c>
      <c r="BU66" s="3">
        <v>-5.2958357642940488</v>
      </c>
      <c r="BV66" s="2">
        <v>-220748</v>
      </c>
      <c r="BW66" s="3">
        <v>-0.87377874355949003</v>
      </c>
      <c r="BX66" s="2">
        <v>146126</v>
      </c>
      <c r="BY66" s="3">
        <v>1.66195843223948</v>
      </c>
      <c r="BZ66" s="2" t="s">
        <v>696</v>
      </c>
      <c r="CA66" s="2" t="s">
        <v>80</v>
      </c>
      <c r="CB66" s="2" t="s">
        <v>80</v>
      </c>
      <c r="CC66" s="2" t="s">
        <v>80</v>
      </c>
      <c r="CD66" s="2" t="s">
        <v>95</v>
      </c>
      <c r="CE66" s="2" t="s">
        <v>697</v>
      </c>
    </row>
    <row r="67" spans="1:83" x14ac:dyDescent="0.2">
      <c r="A67" s="41" t="s">
        <v>420</v>
      </c>
      <c r="B67" s="41" t="s">
        <v>1581</v>
      </c>
      <c r="C67" s="2" t="s">
        <v>421</v>
      </c>
      <c r="D67" s="2">
        <v>731100</v>
      </c>
      <c r="E67" s="2"/>
      <c r="F67" s="2" t="s">
        <v>280</v>
      </c>
      <c r="G67" s="2"/>
      <c r="H67" s="2"/>
      <c r="I67" s="2"/>
      <c r="J67" s="2">
        <v>300529266</v>
      </c>
      <c r="K67" s="2" t="s">
        <v>422</v>
      </c>
      <c r="L67" s="2" t="s">
        <v>1582</v>
      </c>
      <c r="M67" s="2" t="s">
        <v>424</v>
      </c>
      <c r="N67" s="2" t="s">
        <v>77</v>
      </c>
      <c r="O67" s="2" t="s">
        <v>425</v>
      </c>
      <c r="P67" s="2" t="s">
        <v>80</v>
      </c>
      <c r="Q67" s="2">
        <v>37067344446</v>
      </c>
      <c r="R67" s="2" t="s">
        <v>221</v>
      </c>
      <c r="S67" s="2" t="s">
        <v>81</v>
      </c>
      <c r="T67" s="3">
        <v>0.38461538461538464</v>
      </c>
      <c r="U67" s="2" t="s">
        <v>151</v>
      </c>
      <c r="V67" s="3">
        <v>0.66666666666666663</v>
      </c>
      <c r="W67" s="2" t="s">
        <v>153</v>
      </c>
      <c r="X67" s="3">
        <v>0.16666666666666666</v>
      </c>
      <c r="Y67" s="2" t="s">
        <v>306</v>
      </c>
      <c r="Z67" s="3">
        <v>5.7142857142857141E-2</v>
      </c>
      <c r="AA67" s="2" t="s">
        <v>153</v>
      </c>
      <c r="AB67" s="3">
        <v>-5.4054054054054057E-2</v>
      </c>
      <c r="AC67" s="2">
        <v>31</v>
      </c>
      <c r="AD67" s="2" t="s">
        <v>426</v>
      </c>
      <c r="AE67" s="2">
        <f>_20250609_reklama_data[[#This Row],[Atlyginimų vidurkis 2019]]*_20250609_reklama_data[[#This Row],[Darbuotojai 2019]]*12</f>
        <v>222612</v>
      </c>
      <c r="AF67" s="2">
        <f>(_20250609_reklama_data[[#This Row],[Apyvarta 2019]]-_20250609_reklama_data[[#This Row],[Atlyginimų sąnaudos 2019]])/_20250609_reklama_data[[#This Row],[Darbuotojai 2019]]</f>
        <v>172216.76923076922</v>
      </c>
      <c r="AG67" s="2" t="s">
        <v>427</v>
      </c>
      <c r="AH67" s="2">
        <f>_20250609_reklama_data[[#This Row],[Atlyginimų vidurkis 2020]]*_20250609_reklama_data[[#This Row],[Darbuotojai 2020]]*12</f>
        <v>349272</v>
      </c>
      <c r="AI67" s="2">
        <f>(_20250609_reklama_data[[#This Row],[Apyvarta 2020]]-_20250609_reklama_data[[#This Row],[Atlyginimų sąnaudos 2020]])/_20250609_reklama_data[[#This Row],[Darbuotojai 2020]]</f>
        <v>97004.666666666672</v>
      </c>
      <c r="AJ67" s="3">
        <v>0.13314646110721795</v>
      </c>
      <c r="AK67" s="2" t="s">
        <v>428</v>
      </c>
      <c r="AL67" s="2">
        <f>_20250609_reklama_data[[#This Row],[Atlyginimų vidurkis 2021]]*_20250609_reklama_data[[#This Row],[Darbuotojai 2021]]*12</f>
        <v>798480</v>
      </c>
      <c r="AM67" s="2">
        <f>(_20250609_reklama_data[[#This Row],[Apyvarta 2021]]-_20250609_reklama_data[[#This Row],[Atlyginimų sąnaudos 2021]])/_20250609_reklama_data[[#This Row],[Darbuotojai 2021]]</f>
        <v>86933.5</v>
      </c>
      <c r="AN67" s="3">
        <v>0.37167594310451452</v>
      </c>
      <c r="AO67" s="2" t="s">
        <v>429</v>
      </c>
      <c r="AP67" s="2">
        <f>_20250609_reklama_data[[#This Row],[Atlyginimų vidurkis 2022]]*_20250609_reklama_data[[#This Row],[Darbuotojai 2022]]*12</f>
        <v>1104600</v>
      </c>
      <c r="AQ67" s="2">
        <f>(_20250609_reklama_data[[#This Row],[Apyvarta 2022]]-_20250609_reklama_data[[#This Row],[Atlyginimų sąnaudos 2022]])/_20250609_reklama_data[[#This Row],[Darbuotojai 2022]]</f>
        <v>61388.285714285717</v>
      </c>
      <c r="AR67" s="3">
        <v>0.18575293056807934</v>
      </c>
      <c r="AS67" s="2" t="s">
        <v>430</v>
      </c>
      <c r="AT67" s="2">
        <f>_20250609_reklama_data[[#This Row],[Atlyginimų vidurkis 2023]]*_20250609_reklama_data[[#This Row],[Darbuotojai 2023]]*12</f>
        <v>1426572</v>
      </c>
      <c r="AU67" s="2">
        <f>(_20250609_reklama_data[[#This Row],[Apyvarta 2023]]-_20250609_reklama_data[[#This Row],[Atlyginimų sąnaudos 2023]])/_20250609_reklama_data[[#This Row],[Darbuotojai 2023]]</f>
        <v>75345.891891891893</v>
      </c>
      <c r="AV67" s="3">
        <v>0.22167300380228136</v>
      </c>
      <c r="AW67" s="2" t="s">
        <v>431</v>
      </c>
      <c r="AX67" s="2">
        <f>_20250609_reklama_data[[#This Row],[Atlyginimų vidurkis 2024]]*_20250609_reklama_data[[#This Row],[Darbuotojai 2024]]*12</f>
        <v>1364160</v>
      </c>
      <c r="AY67" s="2">
        <f>(_20250609_reklama_data[[#This Row],[Apyvarta 2024]]-_20250609_reklama_data[[#This Row],[Atlyginimų sąnaudos 2024]])/_20250609_reklama_data[[#This Row],[Darbuotojai 2024]]</f>
        <v>51256.857142857145</v>
      </c>
      <c r="AZ67" s="3">
        <v>1.0893246187363835E-2</v>
      </c>
      <c r="BA67" s="2" t="s">
        <v>432</v>
      </c>
      <c r="BB67" s="2">
        <f>_20250609_reklama_data[[#This Row],[Atlyginimų vidurkis 2025 04]]*_20250609_reklama_data[[#This Row],[Darbuotojai 2025 06 09]]*5</f>
        <v>440851</v>
      </c>
      <c r="BC67" s="2" t="s">
        <v>80</v>
      </c>
      <c r="BD67" s="2">
        <v>2461430</v>
      </c>
      <c r="BE67" s="2">
        <v>2095356</v>
      </c>
      <c r="BF67" s="3">
        <v>-0.14872411565634611</v>
      </c>
      <c r="BG67" s="2">
        <v>3406485</v>
      </c>
      <c r="BH67" s="3">
        <v>0.62573090205196635</v>
      </c>
      <c r="BI67" s="2">
        <v>3253190</v>
      </c>
      <c r="BJ67" s="3">
        <v>-4.5000932045789137E-2</v>
      </c>
      <c r="BK67" s="2">
        <v>4214370</v>
      </c>
      <c r="BL67" s="3">
        <v>0.29545768922196369</v>
      </c>
      <c r="BM67" s="2">
        <v>3158150</v>
      </c>
      <c r="BN67" s="3">
        <v>-0.25062346210702907</v>
      </c>
      <c r="BO67" s="2">
        <v>118464</v>
      </c>
      <c r="BP67" s="2">
        <v>102345</v>
      </c>
      <c r="BQ67" s="3">
        <v>-0.1360666531604538</v>
      </c>
      <c r="BR67" s="2">
        <v>225233</v>
      </c>
      <c r="BS67" s="3">
        <v>1.2007230446040353</v>
      </c>
      <c r="BT67" s="2">
        <v>130725</v>
      </c>
      <c r="BU67" s="3">
        <v>-0.41960103537225896</v>
      </c>
      <c r="BV67" s="2">
        <v>50994</v>
      </c>
      <c r="BW67" s="3">
        <v>-0.6099139414802065</v>
      </c>
      <c r="BX67" s="2">
        <v>-73517</v>
      </c>
      <c r="BY67" s="3">
        <v>-2.4416794132643056</v>
      </c>
      <c r="BZ67" s="2" t="s">
        <v>434</v>
      </c>
      <c r="CA67" s="2" t="s">
        <v>1583</v>
      </c>
      <c r="CB67" s="2" t="s">
        <v>1584</v>
      </c>
      <c r="CC67" s="2" t="s">
        <v>1585</v>
      </c>
      <c r="CD67" s="2" t="s">
        <v>95</v>
      </c>
      <c r="CE67" s="2" t="s">
        <v>435</v>
      </c>
    </row>
    <row r="68" spans="1:83" x14ac:dyDescent="0.2">
      <c r="A68" s="41" t="s">
        <v>122</v>
      </c>
      <c r="B68" s="41" t="s">
        <v>1586</v>
      </c>
      <c r="C68" s="2" t="s">
        <v>123</v>
      </c>
      <c r="D68" s="2">
        <v>731100</v>
      </c>
      <c r="E68" s="2" t="s">
        <v>73</v>
      </c>
      <c r="F68" s="2"/>
      <c r="G68" s="2"/>
      <c r="H68" s="2"/>
      <c r="I68" s="2"/>
      <c r="J68" s="2">
        <v>302414298</v>
      </c>
      <c r="K68" s="2" t="s">
        <v>124</v>
      </c>
      <c r="L68" s="2" t="s">
        <v>122</v>
      </c>
      <c r="M68" s="2" t="s">
        <v>126</v>
      </c>
      <c r="N68" s="2" t="s">
        <v>77</v>
      </c>
      <c r="O68" s="2" t="s">
        <v>127</v>
      </c>
      <c r="P68" s="2" t="s">
        <v>128</v>
      </c>
      <c r="Q68" s="2"/>
      <c r="R68" s="2" t="s">
        <v>129</v>
      </c>
      <c r="S68" s="2" t="s">
        <v>130</v>
      </c>
      <c r="T68" s="3">
        <v>6.9767441860465115E-2</v>
      </c>
      <c r="U68" s="2" t="s">
        <v>104</v>
      </c>
      <c r="V68" s="3">
        <v>6.5217391304347824E-2</v>
      </c>
      <c r="W68" s="2" t="s">
        <v>131</v>
      </c>
      <c r="X68" s="3">
        <v>8.1632653061224483E-2</v>
      </c>
      <c r="Y68" s="2" t="s">
        <v>132</v>
      </c>
      <c r="Z68" s="3">
        <v>-1.8867924528301886E-2</v>
      </c>
      <c r="AA68" s="2" t="s">
        <v>131</v>
      </c>
      <c r="AB68" s="3">
        <v>1.9230769230769232E-2</v>
      </c>
      <c r="AC68" s="2">
        <v>54</v>
      </c>
      <c r="AD68" s="2" t="s">
        <v>133</v>
      </c>
      <c r="AE68" s="2">
        <f>_20250609_reklama_data[[#This Row],[Atlyginimų vidurkis 2019]]*_20250609_reklama_data[[#This Row],[Darbuotojai 2019]]*12</f>
        <v>1123848</v>
      </c>
      <c r="AF68" s="2">
        <f>(_20250609_reklama_data[[#This Row],[Apyvarta 2019]]-_20250609_reklama_data[[#This Row],[Atlyginimų sąnaudos 2019]])/_20250609_reklama_data[[#This Row],[Darbuotojai 2019]]</f>
        <v>316559.86046511628</v>
      </c>
      <c r="AG68" s="2" t="s">
        <v>134</v>
      </c>
      <c r="AH68" s="2">
        <f>_20250609_reklama_data[[#This Row],[Atlyginimų vidurkis 2020]]*_20250609_reklama_data[[#This Row],[Darbuotojai 2020]]*12</f>
        <v>1132704</v>
      </c>
      <c r="AI68" s="2">
        <f>(_20250609_reklama_data[[#This Row],[Apyvarta 2020]]-_20250609_reklama_data[[#This Row],[Atlyginimų sąnaudos 2020]])/_20250609_reklama_data[[#This Row],[Darbuotojai 2020]]</f>
        <v>259409.89130434784</v>
      </c>
      <c r="AJ68" s="3">
        <v>-5.7851239669421489E-2</v>
      </c>
      <c r="AK68" s="2" t="s">
        <v>135</v>
      </c>
      <c r="AL68" s="2">
        <f>_20250609_reklama_data[[#This Row],[Atlyginimų vidurkis 2021]]*_20250609_reklama_data[[#This Row],[Darbuotojai 2021]]*12</f>
        <v>1442364</v>
      </c>
      <c r="AM68" s="2">
        <f>(_20250609_reklama_data[[#This Row],[Apyvarta 2021]]-_20250609_reklama_data[[#This Row],[Atlyginimų sąnaudos 2021]])/_20250609_reklama_data[[#This Row],[Darbuotojai 2021]]</f>
        <v>298803.97959183675</v>
      </c>
      <c r="AN68" s="3">
        <v>0.19541910331384016</v>
      </c>
      <c r="AO68" s="2" t="s">
        <v>136</v>
      </c>
      <c r="AP68" s="2">
        <f>_20250609_reklama_data[[#This Row],[Atlyginimų vidurkis 2022]]*_20250609_reklama_data[[#This Row],[Darbuotojai 2022]]*12</f>
        <v>1670136</v>
      </c>
      <c r="AQ68" s="2">
        <f>(_20250609_reklama_data[[#This Row],[Apyvarta 2022]]-_20250609_reklama_data[[#This Row],[Atlyginimų sąnaudos 2022]])/_20250609_reklama_data[[#This Row],[Darbuotojai 2022]]</f>
        <v>264215.79245283018</v>
      </c>
      <c r="AR68" s="3">
        <v>7.0525886669384433E-2</v>
      </c>
      <c r="AS68" s="2" t="s">
        <v>137</v>
      </c>
      <c r="AT68" s="2">
        <f>_20250609_reklama_data[[#This Row],[Atlyginimų vidurkis 2023]]*_20250609_reklama_data[[#This Row],[Darbuotojai 2023]]*12</f>
        <v>1611792</v>
      </c>
      <c r="AU68" s="2">
        <f>(_20250609_reklama_data[[#This Row],[Apyvarta 2023]]-_20250609_reklama_data[[#This Row],[Atlyginimų sąnaudos 2023]])/_20250609_reklama_data[[#This Row],[Darbuotojai 2023]]</f>
        <v>261184.90384615384</v>
      </c>
      <c r="AV68" s="3">
        <v>-1.6374714394516376E-2</v>
      </c>
      <c r="AW68" s="2" t="s">
        <v>138</v>
      </c>
      <c r="AX68" s="2">
        <f>_20250609_reklama_data[[#This Row],[Atlyginimų vidurkis 2024]]*_20250609_reklama_data[[#This Row],[Darbuotojai 2024]]*12</f>
        <v>1681584</v>
      </c>
      <c r="AY68" s="2">
        <f>(_20250609_reklama_data[[#This Row],[Apyvarta 2024]]-_20250609_reklama_data[[#This Row],[Atlyginimų sąnaudos 2024]])/_20250609_reklama_data[[#This Row],[Darbuotojai 2024]]</f>
        <v>285430.60377358488</v>
      </c>
      <c r="AZ68" s="3">
        <v>2.3615950445218737E-2</v>
      </c>
      <c r="BA68" s="2" t="s">
        <v>139</v>
      </c>
      <c r="BB68" s="2">
        <f>_20250609_reklama_data[[#This Row],[Atlyginimų vidurkis 2025 04]]*_20250609_reklama_data[[#This Row],[Darbuotojai 2025 06 09]]*5</f>
        <v>760500.89999999991</v>
      </c>
      <c r="BC68" s="2" t="s">
        <v>80</v>
      </c>
      <c r="BD68" s="2">
        <v>14735922</v>
      </c>
      <c r="BE68" s="2">
        <v>13065559</v>
      </c>
      <c r="BF68" s="3">
        <v>-0.11335313799842317</v>
      </c>
      <c r="BG68" s="2">
        <v>16083759</v>
      </c>
      <c r="BH68" s="3">
        <v>0.23100427620433231</v>
      </c>
      <c r="BI68" s="2">
        <v>15673573</v>
      </c>
      <c r="BJ68" s="3">
        <v>-2.5503117772406315E-2</v>
      </c>
      <c r="BK68" s="2">
        <v>15193407</v>
      </c>
      <c r="BL68" s="3">
        <v>-3.063538862517181E-2</v>
      </c>
      <c r="BM68" s="2">
        <v>16809406</v>
      </c>
      <c r="BN68" s="3">
        <v>0.10636185814017883</v>
      </c>
      <c r="BO68" s="2">
        <v>447413</v>
      </c>
      <c r="BP68" s="2">
        <v>426889</v>
      </c>
      <c r="BQ68" s="3">
        <v>-4.5872605400379518E-2</v>
      </c>
      <c r="BR68" s="2">
        <v>501734</v>
      </c>
      <c r="BS68" s="3">
        <v>0.175326607150805</v>
      </c>
      <c r="BT68" s="2">
        <v>441594</v>
      </c>
      <c r="BU68" s="3">
        <v>-0.11986431057093998</v>
      </c>
      <c r="BV68" s="2">
        <v>411549</v>
      </c>
      <c r="BW68" s="3">
        <v>-6.8037609206646824E-2</v>
      </c>
      <c r="BX68" s="2">
        <v>478689</v>
      </c>
      <c r="BY68" s="3">
        <v>0.16313974763636893</v>
      </c>
      <c r="BZ68" s="2" t="s">
        <v>141</v>
      </c>
      <c r="CA68" s="2" t="s">
        <v>1587</v>
      </c>
      <c r="CB68" s="2" t="s">
        <v>1588</v>
      </c>
      <c r="CC68" s="2" t="s">
        <v>1589</v>
      </c>
      <c r="CD68" s="2" t="s">
        <v>95</v>
      </c>
      <c r="CE68" s="2" t="s">
        <v>142</v>
      </c>
    </row>
    <row r="69" spans="1:83" x14ac:dyDescent="0.2">
      <c r="A69" s="41" t="s">
        <v>1590</v>
      </c>
      <c r="B69" s="41" t="s">
        <v>1591</v>
      </c>
      <c r="C69" s="2" t="s">
        <v>746</v>
      </c>
      <c r="D69" s="2">
        <v>731100</v>
      </c>
      <c r="E69" s="2"/>
      <c r="F69" s="2"/>
      <c r="G69" s="2" t="s">
        <v>300</v>
      </c>
      <c r="H69" s="2"/>
      <c r="I69" s="2"/>
      <c r="J69" s="2">
        <v>305678883</v>
      </c>
      <c r="K69" s="2" t="s">
        <v>747</v>
      </c>
      <c r="L69" s="2" t="s">
        <v>1592</v>
      </c>
      <c r="M69" s="2" t="s">
        <v>749</v>
      </c>
      <c r="N69" s="2" t="s">
        <v>750</v>
      </c>
      <c r="O69" s="2" t="s">
        <v>751</v>
      </c>
      <c r="P69" s="2" t="s">
        <v>80</v>
      </c>
      <c r="Q69" s="2">
        <v>37064119828</v>
      </c>
      <c r="R69" s="2" t="s">
        <v>590</v>
      </c>
      <c r="S69" s="2" t="s">
        <v>590</v>
      </c>
      <c r="T69" s="2" t="s">
        <v>590</v>
      </c>
      <c r="U69" s="2" t="s">
        <v>752</v>
      </c>
      <c r="V69" s="2" t="s">
        <v>590</v>
      </c>
      <c r="W69" s="2" t="s">
        <v>636</v>
      </c>
      <c r="X69" s="3">
        <v>1</v>
      </c>
      <c r="Y69" s="2" t="s">
        <v>513</v>
      </c>
      <c r="Z69" s="3">
        <v>0.5</v>
      </c>
      <c r="AA69" s="2" t="s">
        <v>514</v>
      </c>
      <c r="AB69" s="3">
        <v>0.66666666666666663</v>
      </c>
      <c r="AC69" s="2">
        <v>8</v>
      </c>
      <c r="AD69" s="2" t="s">
        <v>590</v>
      </c>
      <c r="AE69" s="2" t="s">
        <v>590</v>
      </c>
      <c r="AF69" s="2" t="s">
        <v>590</v>
      </c>
      <c r="AG69" s="2" t="s">
        <v>590</v>
      </c>
      <c r="AH69" s="2" t="s">
        <v>590</v>
      </c>
      <c r="AI69" s="2" t="s">
        <v>590</v>
      </c>
      <c r="AJ69" s="2" t="s">
        <v>590</v>
      </c>
      <c r="AK69" s="2" t="s">
        <v>590</v>
      </c>
      <c r="AL69" s="2" t="s">
        <v>590</v>
      </c>
      <c r="AM69" s="2" t="s">
        <v>590</v>
      </c>
      <c r="AN69" s="2" t="s">
        <v>590</v>
      </c>
      <c r="AO69" s="2" t="s">
        <v>590</v>
      </c>
      <c r="AP69" s="2" t="s">
        <v>590</v>
      </c>
      <c r="AQ69" s="2" t="s">
        <v>590</v>
      </c>
      <c r="AR69" s="2" t="s">
        <v>590</v>
      </c>
      <c r="AS69" s="2" t="s">
        <v>753</v>
      </c>
      <c r="AT69" s="2">
        <f>_20250609_reklama_data[[#This Row],[Atlyginimų vidurkis 2023]]*_20250609_reklama_data[[#This Row],[Darbuotojai 2023]]*12</f>
        <v>51120</v>
      </c>
      <c r="AU69" s="2">
        <f>(_20250609_reklama_data[[#This Row],[Apyvarta 2023]]-_20250609_reklama_data[[#This Row],[Atlyginimų sąnaudos 2023]])/_20250609_reklama_data[[#This Row],[Darbuotojai 2023]]</f>
        <v>62859.333333333336</v>
      </c>
      <c r="AV69" s="2" t="s">
        <v>590</v>
      </c>
      <c r="AW69" s="2" t="s">
        <v>754</v>
      </c>
      <c r="AX69" s="2">
        <f>_20250609_reklama_data[[#This Row],[Atlyginimų vidurkis 2024]]*_20250609_reklama_data[[#This Row],[Darbuotojai 2024]]*12</f>
        <v>119700</v>
      </c>
      <c r="AY69" s="2">
        <f>(_20250609_reklama_data[[#This Row],[Apyvarta 2024]]-_20250609_reklama_data[[#This Row],[Atlyginimų sąnaudos 2024]])/_20250609_reklama_data[[#This Row],[Darbuotojai 2024]]</f>
        <v>57633</v>
      </c>
      <c r="AZ69" s="3">
        <v>0.40492957746478875</v>
      </c>
      <c r="BA69" s="2" t="s">
        <v>755</v>
      </c>
      <c r="BB69" s="2">
        <f>_20250609_reklama_data[[#This Row],[Atlyginimų vidurkis 2025 04]]*_20250609_reklama_data[[#This Row],[Darbuotojai 2025 06 09]]*5</f>
        <v>86375.200000000012</v>
      </c>
      <c r="BC69" s="2" t="s">
        <v>80</v>
      </c>
      <c r="BD69" s="2"/>
      <c r="BE69" s="2"/>
      <c r="BF69" s="2" t="s">
        <v>590</v>
      </c>
      <c r="BG69" s="2">
        <v>71239</v>
      </c>
      <c r="BH69" s="2" t="s">
        <v>590</v>
      </c>
      <c r="BI69" s="2">
        <v>187499</v>
      </c>
      <c r="BJ69" s="3">
        <v>1.6319712517020171</v>
      </c>
      <c r="BK69" s="2">
        <v>239698</v>
      </c>
      <c r="BL69" s="3">
        <v>0.27839615144614105</v>
      </c>
      <c r="BM69" s="2">
        <v>407865</v>
      </c>
      <c r="BN69" s="3">
        <v>0.70157865313853263</v>
      </c>
      <c r="BO69" s="2"/>
      <c r="BP69" s="2"/>
      <c r="BQ69" s="2" t="s">
        <v>590</v>
      </c>
      <c r="BR69" s="2">
        <v>8688</v>
      </c>
      <c r="BS69" s="2" t="s">
        <v>590</v>
      </c>
      <c r="BT69" s="2">
        <v>36059</v>
      </c>
      <c r="BU69" s="3">
        <v>3.1504373848987108</v>
      </c>
      <c r="BV69" s="2">
        <v>12907</v>
      </c>
      <c r="BW69" s="3">
        <v>-0.64205884799911261</v>
      </c>
      <c r="BX69" s="2">
        <v>60868</v>
      </c>
      <c r="BY69" s="3">
        <v>3.7158906019989155</v>
      </c>
      <c r="BZ69" s="2" t="s">
        <v>757</v>
      </c>
      <c r="CA69" s="2" t="s">
        <v>758</v>
      </c>
      <c r="CB69" s="2" t="s">
        <v>759</v>
      </c>
      <c r="CC69" s="2" t="s">
        <v>760</v>
      </c>
      <c r="CD69" s="2" t="s">
        <v>95</v>
      </c>
      <c r="CE69" s="2" t="s">
        <v>761</v>
      </c>
    </row>
    <row r="70" spans="1:83" x14ac:dyDescent="0.2">
      <c r="A70" s="41" t="s">
        <v>734</v>
      </c>
      <c r="B70" s="41" t="s">
        <v>1593</v>
      </c>
      <c r="C70" s="2" t="s">
        <v>735</v>
      </c>
      <c r="D70" s="2">
        <v>702100</v>
      </c>
      <c r="E70" s="2"/>
      <c r="F70" s="2"/>
      <c r="G70" s="2" t="s">
        <v>300</v>
      </c>
      <c r="H70" s="2"/>
      <c r="I70" s="2"/>
      <c r="J70" s="2">
        <v>306313364</v>
      </c>
      <c r="K70" s="2" t="s">
        <v>736</v>
      </c>
      <c r="L70" s="2" t="s">
        <v>1594</v>
      </c>
      <c r="M70" s="2" t="s">
        <v>738</v>
      </c>
      <c r="N70" s="2" t="s">
        <v>77</v>
      </c>
      <c r="O70" s="2" t="s">
        <v>739</v>
      </c>
      <c r="P70" s="2" t="s">
        <v>80</v>
      </c>
      <c r="Q70" s="2">
        <v>37060063171</v>
      </c>
      <c r="R70" s="2" t="s">
        <v>590</v>
      </c>
      <c r="S70" s="2" t="s">
        <v>590</v>
      </c>
      <c r="T70" s="2" t="s">
        <v>590</v>
      </c>
      <c r="U70" s="2" t="s">
        <v>590</v>
      </c>
      <c r="V70" s="2" t="s">
        <v>590</v>
      </c>
      <c r="W70" s="2" t="s">
        <v>590</v>
      </c>
      <c r="X70" s="2" t="s">
        <v>590</v>
      </c>
      <c r="Y70" s="2" t="s">
        <v>514</v>
      </c>
      <c r="Z70" s="2" t="s">
        <v>590</v>
      </c>
      <c r="AA70" s="2" t="s">
        <v>705</v>
      </c>
      <c r="AB70" s="3">
        <v>0.2</v>
      </c>
      <c r="AC70" s="2">
        <v>7</v>
      </c>
      <c r="AD70" s="2" t="s">
        <v>590</v>
      </c>
      <c r="AE70" s="2" t="s">
        <v>590</v>
      </c>
      <c r="AF70" s="2" t="s">
        <v>590</v>
      </c>
      <c r="AG70" s="2" t="s">
        <v>590</v>
      </c>
      <c r="AH70" s="2" t="s">
        <v>590</v>
      </c>
      <c r="AI70" s="2" t="s">
        <v>590</v>
      </c>
      <c r="AJ70" s="2" t="s">
        <v>590</v>
      </c>
      <c r="AK70" s="2" t="s">
        <v>590</v>
      </c>
      <c r="AL70" s="2" t="s">
        <v>590</v>
      </c>
      <c r="AM70" s="2" t="s">
        <v>590</v>
      </c>
      <c r="AN70" s="2" t="s">
        <v>590</v>
      </c>
      <c r="AO70" s="2" t="s">
        <v>590</v>
      </c>
      <c r="AP70" s="2" t="s">
        <v>590</v>
      </c>
      <c r="AQ70" s="2" t="s">
        <v>590</v>
      </c>
      <c r="AR70" s="2" t="s">
        <v>590</v>
      </c>
      <c r="AS70" s="2" t="s">
        <v>740</v>
      </c>
      <c r="AT70" s="2">
        <f>_20250609_reklama_data[[#This Row],[Atlyginimų vidurkis 2023]]*_20250609_reklama_data[[#This Row],[Darbuotojai 2023]]*12</f>
        <v>172260</v>
      </c>
      <c r="AU70" s="2">
        <f>(_20250609_reklama_data[[#This Row],[Apyvarta 2023]]-_20250609_reklama_data[[#This Row],[Atlyginimų sąnaudos 2023]])/_20250609_reklama_data[[#This Row],[Darbuotojai 2023]]</f>
        <v>-7716.4</v>
      </c>
      <c r="AV70" s="2" t="s">
        <v>590</v>
      </c>
      <c r="AW70" s="2" t="s">
        <v>741</v>
      </c>
      <c r="AX70" s="2">
        <f>_20250609_reklama_data[[#This Row],[Atlyginimų vidurkis 2024]]*_20250609_reklama_data[[#This Row],[Darbuotojai 2024]]*12</f>
        <v>211536</v>
      </c>
      <c r="AY70" s="2">
        <f>(_20250609_reklama_data[[#This Row],[Apyvarta 2024]]-_20250609_reklama_data[[#This Row],[Atlyginimų sąnaudos 2024]])/_20250609_reklama_data[[#This Row],[Darbuotojai 2024]]</f>
        <v>43886.5</v>
      </c>
      <c r="AZ70" s="3">
        <v>2.3336816440264717E-2</v>
      </c>
      <c r="BA70" s="2" t="s">
        <v>742</v>
      </c>
      <c r="BB70" s="2">
        <f>_20250609_reklama_data[[#This Row],[Atlyginimų vidurkis 2025 04]]*_20250609_reklama_data[[#This Row],[Darbuotojai 2025 06 09]]*5</f>
        <v>106491.35</v>
      </c>
      <c r="BC70" s="2" t="s">
        <v>80</v>
      </c>
      <c r="BD70" s="2"/>
      <c r="BE70" s="2"/>
      <c r="BF70" s="2" t="s">
        <v>590</v>
      </c>
      <c r="BG70" s="2"/>
      <c r="BH70" s="2" t="s">
        <v>590</v>
      </c>
      <c r="BI70" s="2"/>
      <c r="BJ70" s="2" t="s">
        <v>590</v>
      </c>
      <c r="BK70" s="2">
        <v>133678</v>
      </c>
      <c r="BL70" s="2" t="s">
        <v>590</v>
      </c>
      <c r="BM70" s="2">
        <v>474855</v>
      </c>
      <c r="BN70" s="3">
        <v>2.5522299854875148</v>
      </c>
      <c r="BO70" s="2"/>
      <c r="BP70" s="2"/>
      <c r="BQ70" s="2" t="s">
        <v>590</v>
      </c>
      <c r="BR70" s="2"/>
      <c r="BS70" s="2" t="s">
        <v>590</v>
      </c>
      <c r="BT70" s="2"/>
      <c r="BU70" s="2" t="s">
        <v>590</v>
      </c>
      <c r="BV70" s="2">
        <v>30861</v>
      </c>
      <c r="BW70" s="2" t="s">
        <v>590</v>
      </c>
      <c r="BX70" s="2">
        <v>74154</v>
      </c>
      <c r="BY70" s="3">
        <v>1.4028385340721299</v>
      </c>
      <c r="BZ70" s="2" t="s">
        <v>743</v>
      </c>
      <c r="CA70" s="2" t="s">
        <v>80</v>
      </c>
      <c r="CB70" s="2" t="s">
        <v>80</v>
      </c>
      <c r="CC70" s="2" t="s">
        <v>80</v>
      </c>
      <c r="CD70" s="2" t="s">
        <v>95</v>
      </c>
      <c r="CE70" s="2" t="s">
        <v>744</v>
      </c>
    </row>
    <row r="71" spans="1:83" x14ac:dyDescent="0.2">
      <c r="A71" s="41" t="s">
        <v>333</v>
      </c>
      <c r="B71" s="41" t="s">
        <v>1595</v>
      </c>
      <c r="C71" s="2" t="s">
        <v>334</v>
      </c>
      <c r="D71" s="2">
        <v>731100</v>
      </c>
      <c r="E71" s="2" t="s">
        <v>335</v>
      </c>
      <c r="F71" s="2"/>
      <c r="G71" s="2"/>
      <c r="H71" s="2"/>
      <c r="I71" s="2"/>
      <c r="J71" s="2">
        <v>300065271</v>
      </c>
      <c r="K71" s="2" t="s">
        <v>336</v>
      </c>
      <c r="L71" s="2" t="s">
        <v>1596</v>
      </c>
      <c r="M71" s="2" t="s">
        <v>338</v>
      </c>
      <c r="N71" s="2" t="s">
        <v>77</v>
      </c>
      <c r="O71" s="2" t="s">
        <v>339</v>
      </c>
      <c r="P71" s="2" t="s">
        <v>340</v>
      </c>
      <c r="Q71" s="2"/>
      <c r="R71" s="2" t="s">
        <v>152</v>
      </c>
      <c r="S71" s="2" t="s">
        <v>308</v>
      </c>
      <c r="T71" s="3">
        <v>0.22222222222222221</v>
      </c>
      <c r="U71" s="2" t="s">
        <v>341</v>
      </c>
      <c r="V71" s="3">
        <v>1.25</v>
      </c>
      <c r="W71" s="2" t="s">
        <v>342</v>
      </c>
      <c r="X71" s="3">
        <v>-0.17171717171717171</v>
      </c>
      <c r="Y71" s="2" t="s">
        <v>343</v>
      </c>
      <c r="Z71" s="3">
        <v>-4.878048780487805E-2</v>
      </c>
      <c r="AA71" s="2" t="s">
        <v>109</v>
      </c>
      <c r="AB71" s="3">
        <v>-0.60256410256410253</v>
      </c>
      <c r="AC71" s="2">
        <v>36</v>
      </c>
      <c r="AD71" s="2" t="s">
        <v>344</v>
      </c>
      <c r="AE71" s="2">
        <f>_20250609_reklama_data[[#This Row],[Atlyginimų vidurkis 2019]]*_20250609_reklama_data[[#This Row],[Darbuotojai 2019]]*12</f>
        <v>552960</v>
      </c>
      <c r="AF71" s="2">
        <f>(_20250609_reklama_data[[#This Row],[Apyvarta 2019]]-_20250609_reklama_data[[#This Row],[Atlyginimų sąnaudos 2019]])/_20250609_reklama_data[[#This Row],[Darbuotojai 2019]]</f>
        <v>69833.138888888891</v>
      </c>
      <c r="AG71" s="2" t="s">
        <v>345</v>
      </c>
      <c r="AH71" s="2">
        <f>_20250609_reklama_data[[#This Row],[Atlyginimų vidurkis 2020]]*_20250609_reklama_data[[#This Row],[Darbuotojai 2020]]*12</f>
        <v>745536</v>
      </c>
      <c r="AI71" s="2">
        <f>(_20250609_reklama_data[[#This Row],[Apyvarta 2020]]-_20250609_reklama_data[[#This Row],[Atlyginimų sąnaudos 2020]])/_20250609_reklama_data[[#This Row],[Darbuotojai 2020]]</f>
        <v>27642.659090909092</v>
      </c>
      <c r="AJ71" s="3">
        <v>0.10312499999999999</v>
      </c>
      <c r="AK71" s="2" t="s">
        <v>346</v>
      </c>
      <c r="AL71" s="2">
        <f>_20250609_reklama_data[[#This Row],[Atlyginimų vidurkis 2021]]*_20250609_reklama_data[[#This Row],[Darbuotojai 2021]]*12</f>
        <v>1960200</v>
      </c>
      <c r="AM71" s="2">
        <f>(_20250609_reklama_data[[#This Row],[Apyvarta 2021]]-_20250609_reklama_data[[#This Row],[Atlyginimų sąnaudos 2021]])/_20250609_reklama_data[[#This Row],[Darbuotojai 2021]]</f>
        <v>10933.919191919193</v>
      </c>
      <c r="AN71" s="3">
        <v>0.16855524079320114</v>
      </c>
      <c r="AO71" s="2" t="s">
        <v>347</v>
      </c>
      <c r="AP71" s="2">
        <f>_20250609_reklama_data[[#This Row],[Atlyginimų vidurkis 2022]]*_20250609_reklama_data[[#This Row],[Darbuotojai 2022]]*12</f>
        <v>2067384</v>
      </c>
      <c r="AQ71" s="2">
        <f>(_20250609_reklama_data[[#This Row],[Apyvarta 2022]]-_20250609_reklama_data[[#This Row],[Atlyginimų sąnaudos 2022]])/_20250609_reklama_data[[#This Row],[Darbuotojai 2022]]</f>
        <v>33010.939024390245</v>
      </c>
      <c r="AR71" s="3">
        <v>0.27333333333333332</v>
      </c>
      <c r="AS71" s="2" t="s">
        <v>348</v>
      </c>
      <c r="AT71" s="2">
        <f>_20250609_reklama_data[[#This Row],[Atlyginimų vidurkis 2023]]*_20250609_reklama_data[[#This Row],[Darbuotojai 2023]]*12</f>
        <v>2242656</v>
      </c>
      <c r="AU71" s="2">
        <f>(_20250609_reklama_data[[#This Row],[Apyvarta 2023]]-_20250609_reklama_data[[#This Row],[Atlyginimų sąnaudos 2023]])/_20250609_reklama_data[[#This Row],[Darbuotojai 2023]]</f>
        <v>46097.923076923078</v>
      </c>
      <c r="AV71" s="3">
        <v>0.14040932889100427</v>
      </c>
      <c r="AW71" s="2" t="s">
        <v>349</v>
      </c>
      <c r="AX71" s="2">
        <f>_20250609_reklama_data[[#This Row],[Atlyginimų vidurkis 2024]]*_20250609_reklama_data[[#This Row],[Darbuotojai 2024]]*12</f>
        <v>963852</v>
      </c>
      <c r="AY71" s="2">
        <f>(_20250609_reklama_data[[#This Row],[Apyvarta 2024]]-_20250609_reklama_data[[#This Row],[Atlyginimų sąnaudos 2024]])/_20250609_reklama_data[[#This Row],[Darbuotojai 2024]]</f>
        <v>123418.64516129032</v>
      </c>
      <c r="AZ71" s="3">
        <v>8.1385642737896488E-2</v>
      </c>
      <c r="BA71" s="2" t="s">
        <v>350</v>
      </c>
      <c r="BB71" s="2">
        <f>_20250609_reklama_data[[#This Row],[Atlyginimų vidurkis 2025 04]]*_20250609_reklama_data[[#This Row],[Darbuotojai 2025 06 09]]*5</f>
        <v>496643.4</v>
      </c>
      <c r="BC71" s="2" t="s">
        <v>80</v>
      </c>
      <c r="BD71" s="2">
        <v>3066953</v>
      </c>
      <c r="BE71" s="2">
        <v>1961813</v>
      </c>
      <c r="BF71" s="3">
        <v>-0.36033809451921828</v>
      </c>
      <c r="BG71" s="2">
        <v>3042658</v>
      </c>
      <c r="BH71" s="3">
        <v>0.55094190934609977</v>
      </c>
      <c r="BI71" s="2">
        <v>4774281</v>
      </c>
      <c r="BJ71" s="3">
        <v>0.56911522754118271</v>
      </c>
      <c r="BK71" s="2">
        <v>5838294</v>
      </c>
      <c r="BL71" s="3">
        <v>0.22286350552051712</v>
      </c>
      <c r="BM71" s="2">
        <v>4789830</v>
      </c>
      <c r="BN71" s="3">
        <v>-0.17958396750831665</v>
      </c>
      <c r="BO71" s="2">
        <v>212789</v>
      </c>
      <c r="BP71" s="2">
        <v>132198</v>
      </c>
      <c r="BQ71" s="3">
        <v>-0.37873668281725087</v>
      </c>
      <c r="BR71" s="2">
        <v>219867</v>
      </c>
      <c r="BS71" s="3">
        <v>0.66316434439250216</v>
      </c>
      <c r="BT71" s="2">
        <v>318475</v>
      </c>
      <c r="BU71" s="3">
        <v>0.44848931399436931</v>
      </c>
      <c r="BV71" s="2">
        <v>365605</v>
      </c>
      <c r="BW71" s="3">
        <v>0.14798649815527121</v>
      </c>
      <c r="BX71" s="2">
        <v>132820</v>
      </c>
      <c r="BY71" s="3">
        <v>-0.63671175175394212</v>
      </c>
      <c r="BZ71" s="2" t="s">
        <v>352</v>
      </c>
      <c r="CA71" s="2" t="s">
        <v>1597</v>
      </c>
      <c r="CB71" s="2" t="s">
        <v>1598</v>
      </c>
      <c r="CC71" s="2" t="s">
        <v>1599</v>
      </c>
      <c r="CD71" s="2" t="s">
        <v>95</v>
      </c>
      <c r="CE71" s="2" t="s">
        <v>353</v>
      </c>
    </row>
    <row r="72" spans="1:83" x14ac:dyDescent="0.2">
      <c r="A72" s="41" t="s">
        <v>834</v>
      </c>
      <c r="B72" s="41" t="s">
        <v>1600</v>
      </c>
      <c r="C72" s="2" t="s">
        <v>80</v>
      </c>
      <c r="D72" s="2">
        <v>702200</v>
      </c>
      <c r="E72" s="2"/>
      <c r="F72" s="2"/>
      <c r="G72" s="2" t="s">
        <v>300</v>
      </c>
      <c r="H72" s="2"/>
      <c r="I72" s="2"/>
      <c r="J72" s="2">
        <v>306725040</v>
      </c>
      <c r="K72" s="2" t="s">
        <v>835</v>
      </c>
      <c r="L72" s="2" t="s">
        <v>834</v>
      </c>
      <c r="M72" s="2" t="s">
        <v>837</v>
      </c>
      <c r="N72" s="2" t="s">
        <v>77</v>
      </c>
      <c r="O72" s="2" t="s">
        <v>838</v>
      </c>
      <c r="P72" s="2" t="s">
        <v>839</v>
      </c>
      <c r="Q72" s="2"/>
      <c r="R72" s="2" t="s">
        <v>590</v>
      </c>
      <c r="S72" s="2" t="s">
        <v>590</v>
      </c>
      <c r="T72" s="2" t="s">
        <v>590</v>
      </c>
      <c r="U72" s="2" t="s">
        <v>590</v>
      </c>
      <c r="V72" s="2" t="s">
        <v>590</v>
      </c>
      <c r="W72" s="2" t="s">
        <v>590</v>
      </c>
      <c r="X72" s="2" t="s">
        <v>590</v>
      </c>
      <c r="Y72" s="2" t="s">
        <v>590</v>
      </c>
      <c r="Z72" s="2" t="s">
        <v>590</v>
      </c>
      <c r="AA72" s="2" t="s">
        <v>590</v>
      </c>
      <c r="AB72" s="2" t="s">
        <v>590</v>
      </c>
      <c r="AC72" s="2"/>
      <c r="AD72" s="2" t="s">
        <v>590</v>
      </c>
      <c r="AE72" s="2" t="s">
        <v>590</v>
      </c>
      <c r="AF72" s="2" t="s">
        <v>590</v>
      </c>
      <c r="AG72" s="2" t="s">
        <v>590</v>
      </c>
      <c r="AH72" s="2" t="s">
        <v>590</v>
      </c>
      <c r="AI72" s="2" t="s">
        <v>590</v>
      </c>
      <c r="AJ72" s="2" t="s">
        <v>590</v>
      </c>
      <c r="AK72" s="2" t="s">
        <v>590</v>
      </c>
      <c r="AL72" s="2" t="s">
        <v>590</v>
      </c>
      <c r="AM72" s="2" t="s">
        <v>590</v>
      </c>
      <c r="AN72" s="2" t="s">
        <v>590</v>
      </c>
      <c r="AO72" s="2" t="s">
        <v>590</v>
      </c>
      <c r="AP72" s="2" t="s">
        <v>590</v>
      </c>
      <c r="AQ72" s="2" t="s">
        <v>590</v>
      </c>
      <c r="AR72" s="2" t="s">
        <v>590</v>
      </c>
      <c r="AS72" s="2" t="s">
        <v>590</v>
      </c>
      <c r="AT72" s="2" t="s">
        <v>590</v>
      </c>
      <c r="AU72" s="2" t="s">
        <v>590</v>
      </c>
      <c r="AV72" s="2" t="s">
        <v>590</v>
      </c>
      <c r="AW72" s="2" t="s">
        <v>590</v>
      </c>
      <c r="AX72" s="2" t="s">
        <v>590</v>
      </c>
      <c r="AY72" s="2" t="s">
        <v>590</v>
      </c>
      <c r="AZ72" s="2" t="s">
        <v>590</v>
      </c>
      <c r="BA72" s="2" t="s">
        <v>590</v>
      </c>
      <c r="BB72" s="2" t="s">
        <v>590</v>
      </c>
      <c r="BC72" s="2" t="s">
        <v>80</v>
      </c>
      <c r="BD72" s="2"/>
      <c r="BE72" s="2"/>
      <c r="BF72" s="2" t="s">
        <v>590</v>
      </c>
      <c r="BG72" s="2"/>
      <c r="BH72" s="2" t="s">
        <v>590</v>
      </c>
      <c r="BI72" s="2"/>
      <c r="BJ72" s="2" t="s">
        <v>590</v>
      </c>
      <c r="BK72" s="2"/>
      <c r="BL72" s="2" t="s">
        <v>590</v>
      </c>
      <c r="BM72" s="2">
        <v>168267</v>
      </c>
      <c r="BN72" s="2" t="s">
        <v>590</v>
      </c>
      <c r="BO72" s="2"/>
      <c r="BP72" s="2"/>
      <c r="BQ72" s="2" t="s">
        <v>590</v>
      </c>
      <c r="BR72" s="2"/>
      <c r="BS72" s="2" t="s">
        <v>590</v>
      </c>
      <c r="BT72" s="2"/>
      <c r="BU72" s="2" t="s">
        <v>590</v>
      </c>
      <c r="BV72" s="2"/>
      <c r="BW72" s="2" t="s">
        <v>590</v>
      </c>
      <c r="BX72" s="2">
        <v>66604</v>
      </c>
      <c r="BY72" s="2" t="s">
        <v>590</v>
      </c>
      <c r="BZ72" s="2" t="s">
        <v>840</v>
      </c>
      <c r="CA72" s="2" t="s">
        <v>80</v>
      </c>
      <c r="CB72" s="2" t="s">
        <v>80</v>
      </c>
      <c r="CC72" s="2" t="s">
        <v>80</v>
      </c>
      <c r="CD72" s="2" t="s">
        <v>95</v>
      </c>
      <c r="CE72" s="2" t="s">
        <v>841</v>
      </c>
    </row>
    <row r="73" spans="1:83" x14ac:dyDescent="0.2">
      <c r="A73" s="41" t="s">
        <v>1006</v>
      </c>
      <c r="B73" s="41" t="s">
        <v>1601</v>
      </c>
      <c r="C73" s="2" t="s">
        <v>1007</v>
      </c>
      <c r="D73" s="2">
        <v>702100</v>
      </c>
      <c r="E73" s="2"/>
      <c r="F73" s="2"/>
      <c r="G73" s="2" t="s">
        <v>300</v>
      </c>
      <c r="H73" s="2"/>
      <c r="I73" s="2"/>
      <c r="J73" s="2">
        <v>226018840</v>
      </c>
      <c r="K73" s="2" t="s">
        <v>1008</v>
      </c>
      <c r="L73" s="2" t="s">
        <v>1602</v>
      </c>
      <c r="M73" s="2" t="s">
        <v>1010</v>
      </c>
      <c r="N73" s="2" t="s">
        <v>77</v>
      </c>
      <c r="O73" s="2" t="s">
        <v>1011</v>
      </c>
      <c r="P73" s="2" t="s">
        <v>1012</v>
      </c>
      <c r="Q73" s="2">
        <v>37068632565</v>
      </c>
      <c r="R73" s="2" t="s">
        <v>605</v>
      </c>
      <c r="S73" s="2" t="s">
        <v>605</v>
      </c>
      <c r="T73" s="3">
        <v>0</v>
      </c>
      <c r="U73" s="2" t="s">
        <v>515</v>
      </c>
      <c r="V73" s="3">
        <v>-0.2</v>
      </c>
      <c r="W73" s="2" t="s">
        <v>589</v>
      </c>
      <c r="X73" s="3">
        <v>-0.125</v>
      </c>
      <c r="Y73" s="2" t="s">
        <v>705</v>
      </c>
      <c r="Z73" s="3">
        <v>-0.14285714285714285</v>
      </c>
      <c r="AA73" s="2" t="s">
        <v>705</v>
      </c>
      <c r="AB73" s="3">
        <v>0</v>
      </c>
      <c r="AC73" s="2">
        <v>5</v>
      </c>
      <c r="AD73" s="2" t="s">
        <v>1013</v>
      </c>
      <c r="AE73" s="2">
        <f>_20250609_reklama_data[[#This Row],[Atlyginimų vidurkis 2019]]*_20250609_reklama_data[[#This Row],[Darbuotojai 2019]]*12</f>
        <v>183240</v>
      </c>
      <c r="AF73" s="2">
        <f>(_20250609_reklama_data[[#This Row],[Apyvarta 2019]]-_20250609_reklama_data[[#This Row],[Atlyginimų sąnaudos 2019]])/_20250609_reklama_data[[#This Row],[Darbuotojai 2019]]</f>
        <v>20403.5</v>
      </c>
      <c r="AG73" s="2" t="s">
        <v>1014</v>
      </c>
      <c r="AH73" s="2">
        <f>_20250609_reklama_data[[#This Row],[Atlyginimų vidurkis 2020]]*_20250609_reklama_data[[#This Row],[Darbuotojai 2020]]*12</f>
        <v>196320</v>
      </c>
      <c r="AI73" s="2">
        <f>(_20250609_reklama_data[[#This Row],[Apyvarta 2020]]-_20250609_reklama_data[[#This Row],[Atlyginimų sąnaudos 2020]])/_20250609_reklama_data[[#This Row],[Darbuotojai 2020]]</f>
        <v>14272.7</v>
      </c>
      <c r="AJ73" s="3">
        <v>7.1381794368041915E-2</v>
      </c>
      <c r="AK73" s="2" t="s">
        <v>1015</v>
      </c>
      <c r="AL73" s="2">
        <f>_20250609_reklama_data[[#This Row],[Atlyginimų vidurkis 2021]]*_20250609_reklama_data[[#This Row],[Darbuotojai 2021]]*12</f>
        <v>156960</v>
      </c>
      <c r="AM73" s="2">
        <f>(_20250609_reklama_data[[#This Row],[Apyvarta 2021]]-_20250609_reklama_data[[#This Row],[Atlyginimų sąnaudos 2021]])/_20250609_reklama_data[[#This Row],[Darbuotojai 2021]]</f>
        <v>29748.25</v>
      </c>
      <c r="AN73" s="3">
        <v>-6.1124694376528117E-4</v>
      </c>
      <c r="AO73" s="2" t="s">
        <v>1016</v>
      </c>
      <c r="AP73" s="2">
        <f>_20250609_reklama_data[[#This Row],[Atlyginimų vidurkis 2022]]*_20250609_reklama_data[[#This Row],[Darbuotojai 2022]]*12</f>
        <v>132552</v>
      </c>
      <c r="AQ73" s="2">
        <f>(_20250609_reklama_data[[#This Row],[Apyvarta 2022]]-_20250609_reklama_data[[#This Row],[Atlyginimų sąnaudos 2022]])/_20250609_reklama_data[[#This Row],[Darbuotojai 2022]]</f>
        <v>32986.571428571428</v>
      </c>
      <c r="AR73" s="3">
        <v>-3.4862385321100919E-2</v>
      </c>
      <c r="AS73" s="2" t="s">
        <v>1017</v>
      </c>
      <c r="AT73" s="2">
        <f>_20250609_reklama_data[[#This Row],[Atlyginimų vidurkis 2023]]*_20250609_reklama_data[[#This Row],[Darbuotojai 2023]]*12</f>
        <v>149976</v>
      </c>
      <c r="AU73" s="2">
        <f>(_20250609_reklama_data[[#This Row],[Apyvarta 2023]]-_20250609_reklama_data[[#This Row],[Atlyginimų sąnaudos 2023]])/_20250609_reklama_data[[#This Row],[Darbuotojai 2023]]</f>
        <v>91422.166666666672</v>
      </c>
      <c r="AV73" s="3">
        <v>0.32002534854245879</v>
      </c>
      <c r="AW73" s="2" t="s">
        <v>1018</v>
      </c>
      <c r="AX73" s="2">
        <f>_20250609_reklama_data[[#This Row],[Atlyginimų vidurkis 2024]]*_20250609_reklama_data[[#This Row],[Darbuotojai 2024]]*12</f>
        <v>213480</v>
      </c>
      <c r="AY73" s="2">
        <f>(_20250609_reklama_data[[#This Row],[Apyvarta 2024]]-_20250609_reklama_data[[#This Row],[Atlyginimų sąnaudos 2024]])/_20250609_reklama_data[[#This Row],[Darbuotojai 2024]]</f>
        <v>-35580</v>
      </c>
      <c r="AZ73" s="3">
        <v>0.42342774843975034</v>
      </c>
      <c r="BA73" s="2" t="s">
        <v>1019</v>
      </c>
      <c r="BB73" s="2">
        <f>_20250609_reklama_data[[#This Row],[Atlyginimų vidurkis 2025 04]]*_20250609_reklama_data[[#This Row],[Darbuotojai 2025 06 09]]*5</f>
        <v>64596.500000000007</v>
      </c>
      <c r="BC73" s="2">
        <v>21.13</v>
      </c>
      <c r="BD73" s="2">
        <v>387275</v>
      </c>
      <c r="BE73" s="2">
        <v>339047</v>
      </c>
      <c r="BF73" s="3">
        <v>-0.12453166354657542</v>
      </c>
      <c r="BG73" s="2">
        <v>394946</v>
      </c>
      <c r="BH73" s="3">
        <v>0.16487094709583036</v>
      </c>
      <c r="BI73" s="2">
        <v>363458</v>
      </c>
      <c r="BJ73" s="3">
        <v>-7.9727355132094002E-2</v>
      </c>
      <c r="BK73" s="2">
        <v>698509</v>
      </c>
      <c r="BL73" s="3">
        <v>0.92184241370392173</v>
      </c>
      <c r="BM73" s="2"/>
      <c r="BN73" s="2" t="s">
        <v>590</v>
      </c>
      <c r="BO73" s="2">
        <v>7296</v>
      </c>
      <c r="BP73" s="2">
        <v>8555</v>
      </c>
      <c r="BQ73" s="3">
        <v>0.17256030701754385</v>
      </c>
      <c r="BR73" s="2">
        <v>2218</v>
      </c>
      <c r="BS73" s="3">
        <v>-0.74073641145528935</v>
      </c>
      <c r="BT73" s="2">
        <v>18163</v>
      </c>
      <c r="BU73" s="3">
        <v>7.1889089269612265</v>
      </c>
      <c r="BV73" s="2">
        <v>20193</v>
      </c>
      <c r="BW73" s="3">
        <v>0.11176567747618786</v>
      </c>
      <c r="BX73" s="2"/>
      <c r="BY73" s="2" t="s">
        <v>590</v>
      </c>
      <c r="BZ73" s="2" t="s">
        <v>1021</v>
      </c>
      <c r="CA73" s="2" t="s">
        <v>1022</v>
      </c>
      <c r="CB73" s="2" t="s">
        <v>80</v>
      </c>
      <c r="CC73" s="2" t="s">
        <v>1023</v>
      </c>
      <c r="CD73" s="2" t="s">
        <v>189</v>
      </c>
      <c r="CE73" s="2" t="s">
        <v>1024</v>
      </c>
    </row>
    <row r="74" spans="1:83" x14ac:dyDescent="0.2">
      <c r="A74" s="2" t="s">
        <v>1603</v>
      </c>
      <c r="B74" s="41" t="s">
        <v>1604</v>
      </c>
      <c r="C74" s="2" t="s">
        <v>668</v>
      </c>
      <c r="D74" s="2">
        <v>731100</v>
      </c>
      <c r="E74" s="2" t="s">
        <v>508</v>
      </c>
      <c r="F74" s="2"/>
      <c r="G74" s="2"/>
      <c r="H74" s="2"/>
      <c r="I74" s="2"/>
      <c r="J74" s="2">
        <v>126327871</v>
      </c>
      <c r="K74" s="2" t="s">
        <v>669</v>
      </c>
      <c r="L74" s="2" t="s">
        <v>1603</v>
      </c>
      <c r="M74" s="2" t="s">
        <v>671</v>
      </c>
      <c r="N74" s="2" t="s">
        <v>77</v>
      </c>
      <c r="O74" s="2" t="s">
        <v>672</v>
      </c>
      <c r="P74" s="2" t="s">
        <v>673</v>
      </c>
      <c r="Q74" s="2"/>
      <c r="R74" s="2" t="s">
        <v>174</v>
      </c>
      <c r="S74" s="2" t="s">
        <v>535</v>
      </c>
      <c r="T74" s="3">
        <v>-0.11764705882352941</v>
      </c>
      <c r="U74" s="2" t="s">
        <v>535</v>
      </c>
      <c r="V74" s="3">
        <v>0</v>
      </c>
      <c r="W74" s="2" t="s">
        <v>535</v>
      </c>
      <c r="X74" s="3">
        <v>0</v>
      </c>
      <c r="Y74" s="2" t="s">
        <v>222</v>
      </c>
      <c r="Z74" s="3">
        <v>-6.6666666666666666E-2</v>
      </c>
      <c r="AA74" s="2" t="s">
        <v>535</v>
      </c>
      <c r="AB74" s="3">
        <v>7.1428571428571425E-2</v>
      </c>
      <c r="AC74" s="2">
        <v>15</v>
      </c>
      <c r="AD74" s="2" t="s">
        <v>674</v>
      </c>
      <c r="AE74" s="2">
        <f>_20250609_reklama_data[[#This Row],[Atlyginimų vidurkis 2019]]*_20250609_reklama_data[[#This Row],[Darbuotojai 2019]]*12</f>
        <v>265200</v>
      </c>
      <c r="AF74" s="2">
        <f>(_20250609_reklama_data[[#This Row],[Apyvarta 2019]]-_20250609_reklama_data[[#This Row],[Atlyginimų sąnaudos 2019]])/_20250609_reklama_data[[#This Row],[Darbuotojai 2019]]</f>
        <v>19435.235294117647</v>
      </c>
      <c r="AG74" s="2" t="s">
        <v>675</v>
      </c>
      <c r="AH74" s="2">
        <f>_20250609_reklama_data[[#This Row],[Atlyginimų vidurkis 2020]]*_20250609_reklama_data[[#This Row],[Darbuotojai 2020]]*12</f>
        <v>224820</v>
      </c>
      <c r="AI74" s="2">
        <f>(_20250609_reklama_data[[#This Row],[Apyvarta 2020]]-_20250609_reklama_data[[#This Row],[Atlyginimų sąnaudos 2020]])/_20250609_reklama_data[[#This Row],[Darbuotojai 2020]]</f>
        <v>22446.333333333332</v>
      </c>
      <c r="AJ74" s="3">
        <v>-3.9230769230769229E-2</v>
      </c>
      <c r="AK74" s="2" t="s">
        <v>676</v>
      </c>
      <c r="AL74" s="2">
        <f>_20250609_reklama_data[[#This Row],[Atlyginimų vidurkis 2021]]*_20250609_reklama_data[[#This Row],[Darbuotojai 2021]]*12</f>
        <v>285840</v>
      </c>
      <c r="AM74" s="2">
        <f>(_20250609_reklama_data[[#This Row],[Apyvarta 2021]]-_20250609_reklama_data[[#This Row],[Atlyginimų sąnaudos 2021]])/_20250609_reklama_data[[#This Row],[Darbuotojai 2021]]</f>
        <v>31744.733333333334</v>
      </c>
      <c r="AN74" s="3">
        <v>0.27141713370696557</v>
      </c>
      <c r="AO74" s="2" t="s">
        <v>677</v>
      </c>
      <c r="AP74" s="2">
        <f>_20250609_reklama_data[[#This Row],[Atlyginimų vidurkis 2022]]*_20250609_reklama_data[[#This Row],[Darbuotojai 2022]]*12</f>
        <v>323100</v>
      </c>
      <c r="AQ74" s="2">
        <f>(_20250609_reklama_data[[#This Row],[Apyvarta 2022]]-_20250609_reklama_data[[#This Row],[Atlyginimų sąnaudos 2022]])/_20250609_reklama_data[[#This Row],[Darbuotojai 2022]]</f>
        <v>34340.800000000003</v>
      </c>
      <c r="AR74" s="3">
        <v>0.13035264483627204</v>
      </c>
      <c r="AS74" s="2" t="s">
        <v>678</v>
      </c>
      <c r="AT74" s="2">
        <f>_20250609_reklama_data[[#This Row],[Atlyginimų vidurkis 2023]]*_20250609_reklama_data[[#This Row],[Darbuotojai 2023]]*12</f>
        <v>300888</v>
      </c>
      <c r="AU74" s="2">
        <f>(_20250609_reklama_data[[#This Row],[Apyvarta 2023]]-_20250609_reklama_data[[#This Row],[Atlyginimų sąnaudos 2023]])/_20250609_reklama_data[[#This Row],[Darbuotojai 2023]]</f>
        <v>33441.714285714283</v>
      </c>
      <c r="AV74" s="3">
        <v>-2.2284122562674096E-3</v>
      </c>
      <c r="AW74" s="2" t="s">
        <v>180</v>
      </c>
      <c r="AX74" s="2">
        <f>_20250609_reklama_data[[#This Row],[Atlyginimų vidurkis 2024]]*_20250609_reklama_data[[#This Row],[Darbuotojai 2024]]*12</f>
        <v>348840</v>
      </c>
      <c r="AY74" s="2">
        <f>(_20250609_reklama_data[[#This Row],[Apyvarta 2024]]-_20250609_reklama_data[[#This Row],[Atlyginimų sąnaudos 2024]])/_20250609_reklama_data[[#This Row],[Darbuotojai 2024]]</f>
        <v>32454.799999999999</v>
      </c>
      <c r="AZ74" s="3">
        <v>8.2077051926298161E-2</v>
      </c>
      <c r="BA74" s="2" t="s">
        <v>679</v>
      </c>
      <c r="BB74" s="2">
        <f>_20250609_reklama_data[[#This Row],[Atlyginimų vidurkis 2025 04]]*_20250609_reklama_data[[#This Row],[Darbuotojai 2025 06 09]]*5</f>
        <v>165742.5</v>
      </c>
      <c r="BC74" s="2" t="s">
        <v>80</v>
      </c>
      <c r="BD74" s="2">
        <v>595599</v>
      </c>
      <c r="BE74" s="2">
        <v>561515</v>
      </c>
      <c r="BF74" s="3">
        <v>-5.722642247552464E-2</v>
      </c>
      <c r="BG74" s="2">
        <v>762011</v>
      </c>
      <c r="BH74" s="3">
        <v>0.35706258960134635</v>
      </c>
      <c r="BI74" s="2">
        <v>838212</v>
      </c>
      <c r="BJ74" s="3">
        <v>9.9999868768298625E-2</v>
      </c>
      <c r="BK74" s="2">
        <v>769072</v>
      </c>
      <c r="BL74" s="3">
        <v>-8.2485099235038398E-2</v>
      </c>
      <c r="BM74" s="2">
        <v>835662</v>
      </c>
      <c r="BN74" s="3">
        <v>8.6584871117398626E-2</v>
      </c>
      <c r="BO74" s="2">
        <v>35717</v>
      </c>
      <c r="BP74" s="2">
        <v>103404</v>
      </c>
      <c r="BQ74" s="3">
        <v>1.8950919730100513</v>
      </c>
      <c r="BR74" s="2">
        <v>77632</v>
      </c>
      <c r="BS74" s="3">
        <v>-0.24923600634404858</v>
      </c>
      <c r="BT74" s="2">
        <v>83201</v>
      </c>
      <c r="BU74" s="3">
        <v>7.1735882110469912E-2</v>
      </c>
      <c r="BV74" s="2">
        <v>67259</v>
      </c>
      <c r="BW74" s="3">
        <v>-0.19160827393901517</v>
      </c>
      <c r="BX74" s="2">
        <v>54979</v>
      </c>
      <c r="BY74" s="3">
        <v>-0.18257779628005175</v>
      </c>
      <c r="BZ74" s="2" t="s">
        <v>681</v>
      </c>
      <c r="CA74" s="2" t="s">
        <v>1605</v>
      </c>
      <c r="CB74" s="2" t="s">
        <v>80</v>
      </c>
      <c r="CC74" s="4" t="s">
        <v>1606</v>
      </c>
      <c r="CD74" s="2" t="s">
        <v>95</v>
      </c>
      <c r="CE74" s="2" t="s">
        <v>682</v>
      </c>
    </row>
    <row r="75" spans="1:83" x14ac:dyDescent="0.2">
      <c r="A75" s="41" t="s">
        <v>354</v>
      </c>
      <c r="B75" s="41" t="s">
        <v>1607</v>
      </c>
      <c r="C75" s="2" t="s">
        <v>355</v>
      </c>
      <c r="D75" s="2">
        <v>702100</v>
      </c>
      <c r="E75" s="2"/>
      <c r="F75" s="2"/>
      <c r="G75" s="2" t="s">
        <v>300</v>
      </c>
      <c r="H75" s="2"/>
      <c r="I75" s="2"/>
      <c r="J75" s="2">
        <v>125671759</v>
      </c>
      <c r="K75" s="2" t="s">
        <v>357</v>
      </c>
      <c r="L75" s="2" t="s">
        <v>1608</v>
      </c>
      <c r="M75" s="2" t="s">
        <v>215</v>
      </c>
      <c r="N75" s="2" t="s">
        <v>77</v>
      </c>
      <c r="O75" s="2" t="s">
        <v>359</v>
      </c>
      <c r="P75" s="2" t="s">
        <v>80</v>
      </c>
      <c r="Q75" s="2">
        <v>37061125839</v>
      </c>
      <c r="R75" s="2" t="s">
        <v>175</v>
      </c>
      <c r="S75" s="2" t="s">
        <v>175</v>
      </c>
      <c r="T75" s="3">
        <v>0</v>
      </c>
      <c r="U75" s="2" t="s">
        <v>237</v>
      </c>
      <c r="V75" s="3">
        <v>0.1</v>
      </c>
      <c r="W75" s="2" t="s">
        <v>201</v>
      </c>
      <c r="X75" s="3">
        <v>0.13636363636363635</v>
      </c>
      <c r="Y75" s="2" t="s">
        <v>252</v>
      </c>
      <c r="Z75" s="3">
        <v>0.04</v>
      </c>
      <c r="AA75" s="2" t="s">
        <v>238</v>
      </c>
      <c r="AB75" s="3">
        <v>-7.6923076923076927E-2</v>
      </c>
      <c r="AC75" s="2">
        <v>22</v>
      </c>
      <c r="AD75" s="2" t="s">
        <v>360</v>
      </c>
      <c r="AE75" s="2">
        <f>_20250609_reklama_data[[#This Row],[Atlyginimų vidurkis 2019]]*_20250609_reklama_data[[#This Row],[Darbuotojai 2019]]*12</f>
        <v>691920</v>
      </c>
      <c r="AF75" s="2">
        <f>(_20250609_reklama_data[[#This Row],[Apyvarta 2019]]-_20250609_reklama_data[[#This Row],[Atlyginimų sąnaudos 2019]])/_20250609_reklama_data[[#This Row],[Darbuotojai 2019]]</f>
        <v>144924.35</v>
      </c>
      <c r="AG75" s="2" t="s">
        <v>361</v>
      </c>
      <c r="AH75" s="2">
        <f>_20250609_reklama_data[[#This Row],[Atlyginimų vidurkis 2020]]*_20250609_reklama_data[[#This Row],[Darbuotojai 2020]]*12</f>
        <v>806640</v>
      </c>
      <c r="AI75" s="2">
        <f>(_20250609_reklama_data[[#This Row],[Apyvarta 2020]]-_20250609_reklama_data[[#This Row],[Atlyginimų sąnaudos 2020]])/_20250609_reklama_data[[#This Row],[Darbuotojai 2020]]</f>
        <v>111812.3</v>
      </c>
      <c r="AJ75" s="3">
        <v>0.1657995143947277</v>
      </c>
      <c r="AK75" s="2" t="s">
        <v>362</v>
      </c>
      <c r="AL75" s="2">
        <f>_20250609_reklama_data[[#This Row],[Atlyginimų vidurkis 2021]]*_20250609_reklama_data[[#This Row],[Darbuotojai 2021]]*12</f>
        <v>1026432</v>
      </c>
      <c r="AM75" s="2">
        <f>(_20250609_reklama_data[[#This Row],[Apyvarta 2021]]-_20250609_reklama_data[[#This Row],[Atlyginimų sąnaudos 2021]])/_20250609_reklama_data[[#This Row],[Darbuotojai 2021]]</f>
        <v>149357.45454545456</v>
      </c>
      <c r="AN75" s="3">
        <v>0.15679857185361498</v>
      </c>
      <c r="AO75" s="2" t="s">
        <v>363</v>
      </c>
      <c r="AP75" s="2">
        <f>_20250609_reklama_data[[#This Row],[Atlyginimų vidurkis 2022]]*_20250609_reklama_data[[#This Row],[Darbuotojai 2022]]*12</f>
        <v>1129500</v>
      </c>
      <c r="AQ75" s="2">
        <f>(_20250609_reklama_data[[#This Row],[Apyvarta 2022]]-_20250609_reklama_data[[#This Row],[Atlyginimų sąnaudos 2022]])/_20250609_reklama_data[[#This Row],[Darbuotojai 2022]]</f>
        <v>127306</v>
      </c>
      <c r="AR75" s="3">
        <v>-3.1635802469135804E-2</v>
      </c>
      <c r="AS75" s="2" t="s">
        <v>364</v>
      </c>
      <c r="AT75" s="2">
        <f>_20250609_reklama_data[[#This Row],[Atlyginimų vidurkis 2023]]*_20250609_reklama_data[[#This Row],[Darbuotojai 2023]]*12</f>
        <v>1369680</v>
      </c>
      <c r="AU75" s="2">
        <f>(_20250609_reklama_data[[#This Row],[Apyvarta 2023]]-_20250609_reklama_data[[#This Row],[Atlyginimų sąnaudos 2023]])/_20250609_reklama_data[[#This Row],[Darbuotojai 2023]]</f>
        <v>113317.84615384616</v>
      </c>
      <c r="AV75" s="3">
        <v>0.16600265604249667</v>
      </c>
      <c r="AW75" s="2" t="s">
        <v>365</v>
      </c>
      <c r="AX75" s="2">
        <f>_20250609_reklama_data[[#This Row],[Atlyginimų vidurkis 2024]]*_20250609_reklama_data[[#This Row],[Darbuotojai 2024]]*12</f>
        <v>1419552</v>
      </c>
      <c r="AY75" s="2">
        <f>(_20250609_reklama_data[[#This Row],[Apyvarta 2024]]-_20250609_reklama_data[[#This Row],[Atlyginimų sąnaudos 2024]])/_20250609_reklama_data[[#This Row],[Darbuotojai 2024]]</f>
        <v>138494.20833333334</v>
      </c>
      <c r="AZ75" s="3">
        <v>0.12277904328018223</v>
      </c>
      <c r="BA75" s="2" t="s">
        <v>366</v>
      </c>
      <c r="BB75" s="2">
        <f>_20250609_reklama_data[[#This Row],[Atlyginimų vidurkis 2025 04]]*_20250609_reklama_data[[#This Row],[Darbuotojai 2025 06 09]]*5</f>
        <v>540874.4</v>
      </c>
      <c r="BC75" s="2" t="s">
        <v>80</v>
      </c>
      <c r="BD75" s="2">
        <v>3590407</v>
      </c>
      <c r="BE75" s="2">
        <v>3042886</v>
      </c>
      <c r="BF75" s="3">
        <v>-0.15249552488060547</v>
      </c>
      <c r="BG75" s="2">
        <v>4312296</v>
      </c>
      <c r="BH75" s="3">
        <v>0.41717303901624969</v>
      </c>
      <c r="BI75" s="2">
        <v>4312150</v>
      </c>
      <c r="BJ75" s="3">
        <v>-3.3856674031652747E-5</v>
      </c>
      <c r="BK75" s="2">
        <v>4315944</v>
      </c>
      <c r="BL75" s="3">
        <v>8.7983952320768062E-4</v>
      </c>
      <c r="BM75" s="2">
        <v>4743413</v>
      </c>
      <c r="BN75" s="3">
        <v>9.9044148858279904E-2</v>
      </c>
      <c r="BO75" s="2">
        <v>678081</v>
      </c>
      <c r="BP75" s="2">
        <v>361920</v>
      </c>
      <c r="BQ75" s="3">
        <v>-0.46625845584819514</v>
      </c>
      <c r="BR75" s="2">
        <v>728377</v>
      </c>
      <c r="BS75" s="3">
        <v>1.0125359195402299</v>
      </c>
      <c r="BT75" s="2">
        <v>759242</v>
      </c>
      <c r="BU75" s="3">
        <v>4.2375033808041716E-2</v>
      </c>
      <c r="BV75" s="2">
        <v>828689</v>
      </c>
      <c r="BW75" s="3">
        <v>9.1468859731152916E-2</v>
      </c>
      <c r="BX75" s="2">
        <v>684359</v>
      </c>
      <c r="BY75" s="3">
        <v>-0.17416666566106223</v>
      </c>
      <c r="BZ75" s="2" t="s">
        <v>368</v>
      </c>
      <c r="CA75" s="2" t="s">
        <v>1609</v>
      </c>
      <c r="CB75" s="2" t="s">
        <v>80</v>
      </c>
      <c r="CC75" s="2" t="s">
        <v>1610</v>
      </c>
      <c r="CD75" s="2" t="s">
        <v>95</v>
      </c>
      <c r="CE75" s="2" t="s">
        <v>369</v>
      </c>
    </row>
    <row r="76" spans="1:83" x14ac:dyDescent="0.2">
      <c r="A76" s="41" t="s">
        <v>649</v>
      </c>
      <c r="B76" s="41" t="s">
        <v>1611</v>
      </c>
      <c r="C76" s="2" t="s">
        <v>650</v>
      </c>
      <c r="D76" s="2">
        <v>620100</v>
      </c>
      <c r="E76" s="2" t="s">
        <v>651</v>
      </c>
      <c r="F76" s="2"/>
      <c r="G76" s="2"/>
      <c r="H76" s="2"/>
      <c r="I76" s="2"/>
      <c r="J76" s="2">
        <v>148508931</v>
      </c>
      <c r="K76" s="2" t="s">
        <v>652</v>
      </c>
      <c r="L76" s="2" t="s">
        <v>1612</v>
      </c>
      <c r="M76" s="2" t="s">
        <v>654</v>
      </c>
      <c r="N76" s="2" t="s">
        <v>655</v>
      </c>
      <c r="O76" s="2" t="s">
        <v>656</v>
      </c>
      <c r="P76" s="2" t="s">
        <v>80</v>
      </c>
      <c r="Q76" s="2">
        <v>37063000933</v>
      </c>
      <c r="R76" s="2" t="s">
        <v>515</v>
      </c>
      <c r="S76" s="2" t="s">
        <v>515</v>
      </c>
      <c r="T76" s="3">
        <v>0</v>
      </c>
      <c r="U76" s="2" t="s">
        <v>514</v>
      </c>
      <c r="V76" s="3">
        <v>-0.375</v>
      </c>
      <c r="W76" s="2" t="s">
        <v>514</v>
      </c>
      <c r="X76" s="3">
        <v>0</v>
      </c>
      <c r="Y76" s="2" t="s">
        <v>589</v>
      </c>
      <c r="Z76" s="3">
        <v>0.4</v>
      </c>
      <c r="AA76" s="2" t="s">
        <v>589</v>
      </c>
      <c r="AB76" s="3">
        <v>0</v>
      </c>
      <c r="AC76" s="2">
        <v>9</v>
      </c>
      <c r="AD76" s="2" t="s">
        <v>657</v>
      </c>
      <c r="AE76" s="2">
        <f>_20250609_reklama_data[[#This Row],[Atlyginimų vidurkis 2019]]*_20250609_reklama_data[[#This Row],[Darbuotojai 2019]]*12</f>
        <v>138720</v>
      </c>
      <c r="AF76" s="2">
        <f>(_20250609_reklama_data[[#This Row],[Apyvarta 2019]]-_20250609_reklama_data[[#This Row],[Atlyginimų sąnaudos 2019]])/_20250609_reklama_data[[#This Row],[Darbuotojai 2019]]</f>
        <v>31224.625</v>
      </c>
      <c r="AG76" s="2" t="s">
        <v>658</v>
      </c>
      <c r="AH76" s="2">
        <f>_20250609_reklama_data[[#This Row],[Atlyginimų vidurkis 2020]]*_20250609_reklama_data[[#This Row],[Darbuotojai 2020]]*12</f>
        <v>178560</v>
      </c>
      <c r="AI76" s="2">
        <f>(_20250609_reklama_data[[#This Row],[Apyvarta 2020]]-_20250609_reklama_data[[#This Row],[Atlyginimų sąnaudos 2020]])/_20250609_reklama_data[[#This Row],[Darbuotojai 2020]]</f>
        <v>37859.5</v>
      </c>
      <c r="AJ76" s="3">
        <v>0.28719723183391005</v>
      </c>
      <c r="AK76" s="2" t="s">
        <v>659</v>
      </c>
      <c r="AL76" s="2">
        <f>_20250609_reklama_data[[#This Row],[Atlyginimų vidurkis 2021]]*_20250609_reklama_data[[#This Row],[Darbuotojai 2021]]*12</f>
        <v>130080</v>
      </c>
      <c r="AM76" s="2">
        <f>(_20250609_reklama_data[[#This Row],[Apyvarta 2021]]-_20250609_reklama_data[[#This Row],[Atlyginimų sąnaudos 2021]])/_20250609_reklama_data[[#This Row],[Darbuotojai 2021]]</f>
        <v>83075</v>
      </c>
      <c r="AN76" s="3">
        <v>0.16559139784946236</v>
      </c>
      <c r="AO76" s="2" t="s">
        <v>660</v>
      </c>
      <c r="AP76" s="2">
        <f>_20250609_reklama_data[[#This Row],[Atlyginimų vidurkis 2022]]*_20250609_reklama_data[[#This Row],[Darbuotojai 2022]]*12</f>
        <v>167160</v>
      </c>
      <c r="AQ76" s="2">
        <f>(_20250609_reklama_data[[#This Row],[Apyvarta 2022]]-_20250609_reklama_data[[#This Row],[Atlyginimų sąnaudos 2022]])/_20250609_reklama_data[[#This Row],[Darbuotojai 2022]]</f>
        <v>77692.399999999994</v>
      </c>
      <c r="AR76" s="3">
        <v>0.28505535055350556</v>
      </c>
      <c r="AS76" s="2" t="s">
        <v>661</v>
      </c>
      <c r="AT76" s="2">
        <f>_20250609_reklama_data[[#This Row],[Atlyginimų vidurkis 2023]]*_20250609_reklama_data[[#This Row],[Darbuotojai 2023]]*12</f>
        <v>201600</v>
      </c>
      <c r="AU76" s="2">
        <f>(_20250609_reklama_data[[#This Row],[Apyvarta 2023]]-_20250609_reklama_data[[#This Row],[Atlyginimų sąnaudos 2023]])/_20250609_reklama_data[[#This Row],[Darbuotojai 2023]]</f>
        <v>48339.571428571428</v>
      </c>
      <c r="AV76" s="3">
        <v>-0.13854989231873654</v>
      </c>
      <c r="AW76" s="2" t="s">
        <v>662</v>
      </c>
      <c r="AX76" s="2">
        <f>_20250609_reklama_data[[#This Row],[Atlyginimų vidurkis 2024]]*_20250609_reklama_data[[#This Row],[Darbuotojai 2024]]*12</f>
        <v>247632</v>
      </c>
      <c r="AY76" s="2">
        <f>(_20250609_reklama_data[[#This Row],[Apyvarta 2024]]-_20250609_reklama_data[[#This Row],[Atlyginimų sąnaudos 2024]])/_20250609_reklama_data[[#This Row],[Darbuotojai 2024]]</f>
        <v>85088.142857142855</v>
      </c>
      <c r="AZ76" s="3">
        <v>0.22833333333333333</v>
      </c>
      <c r="BA76" s="2" t="s">
        <v>663</v>
      </c>
      <c r="BB76" s="2">
        <f>_20250609_reklama_data[[#This Row],[Atlyginimų vidurkis 2025 04]]*_20250609_reklama_data[[#This Row],[Darbuotojai 2025 06 09]]*5</f>
        <v>151412.85</v>
      </c>
      <c r="BC76" s="2" t="s">
        <v>80</v>
      </c>
      <c r="BD76" s="2">
        <v>388517</v>
      </c>
      <c r="BE76" s="2">
        <v>481436</v>
      </c>
      <c r="BF76" s="3">
        <v>0.23916327985647989</v>
      </c>
      <c r="BG76" s="2">
        <v>545455</v>
      </c>
      <c r="BH76" s="3">
        <v>0.13297509949401373</v>
      </c>
      <c r="BI76" s="2">
        <v>555622</v>
      </c>
      <c r="BJ76" s="3">
        <v>1.8639484467096276E-2</v>
      </c>
      <c r="BK76" s="2">
        <v>539977</v>
      </c>
      <c r="BL76" s="3">
        <v>-2.815763234717128E-2</v>
      </c>
      <c r="BM76" s="2">
        <v>843249</v>
      </c>
      <c r="BN76" s="3">
        <v>0.5616387364647013</v>
      </c>
      <c r="BO76" s="2">
        <v>-35923</v>
      </c>
      <c r="BP76" s="2">
        <v>-31585</v>
      </c>
      <c r="BQ76" s="3">
        <v>0.120758288561646</v>
      </c>
      <c r="BR76" s="2">
        <v>47420</v>
      </c>
      <c r="BS76" s="3">
        <v>2.50134557543138</v>
      </c>
      <c r="BT76" s="2">
        <v>-7750</v>
      </c>
      <c r="BU76" s="3">
        <v>-1.16343315056938</v>
      </c>
      <c r="BV76" s="2">
        <v>3530</v>
      </c>
      <c r="BW76" s="3">
        <v>1.45548387096774</v>
      </c>
      <c r="BX76" s="2">
        <v>2897</v>
      </c>
      <c r="BY76" s="3">
        <v>-0.17932011331444758</v>
      </c>
      <c r="BZ76" s="2" t="s">
        <v>665</v>
      </c>
      <c r="CA76" s="2" t="s">
        <v>80</v>
      </c>
      <c r="CB76" s="2" t="s">
        <v>80</v>
      </c>
      <c r="CC76" s="2" t="s">
        <v>80</v>
      </c>
      <c r="CD76" s="2" t="s">
        <v>95</v>
      </c>
      <c r="CE76" s="2" t="s">
        <v>666</v>
      </c>
    </row>
    <row r="77" spans="1:83" x14ac:dyDescent="0.2">
      <c r="A77" s="41" t="s">
        <v>191</v>
      </c>
      <c r="B77" s="41" t="s">
        <v>1613</v>
      </c>
      <c r="C77" s="2" t="s">
        <v>192</v>
      </c>
      <c r="D77" s="2">
        <v>731100</v>
      </c>
      <c r="E77" s="2"/>
      <c r="F77" s="2"/>
      <c r="G77" s="2"/>
      <c r="H77" s="2" t="s">
        <v>193</v>
      </c>
      <c r="I77" s="2"/>
      <c r="J77" s="2">
        <v>304737161</v>
      </c>
      <c r="K77" s="2" t="s">
        <v>194</v>
      </c>
      <c r="L77" s="2" t="s">
        <v>191</v>
      </c>
      <c r="M77" s="2" t="s">
        <v>196</v>
      </c>
      <c r="N77" s="2" t="s">
        <v>77</v>
      </c>
      <c r="O77" s="2" t="s">
        <v>197</v>
      </c>
      <c r="P77" s="2" t="s">
        <v>80</v>
      </c>
      <c r="Q77" s="2">
        <v>37068465990</v>
      </c>
      <c r="R77" s="2" t="s">
        <v>174</v>
      </c>
      <c r="S77" s="2" t="s">
        <v>176</v>
      </c>
      <c r="T77" s="3">
        <v>0.23529411764705882</v>
      </c>
      <c r="U77" s="2" t="s">
        <v>199</v>
      </c>
      <c r="V77" s="3">
        <v>0.2857142857142857</v>
      </c>
      <c r="W77" s="2" t="s">
        <v>151</v>
      </c>
      <c r="X77" s="3">
        <v>0.1111111111111111</v>
      </c>
      <c r="Y77" s="2" t="s">
        <v>200</v>
      </c>
      <c r="Z77" s="3">
        <v>-3.3333333333333333E-2</v>
      </c>
      <c r="AA77" s="2" t="s">
        <v>201</v>
      </c>
      <c r="AB77" s="3">
        <v>-0.13793103448275862</v>
      </c>
      <c r="AC77" s="2">
        <v>25</v>
      </c>
      <c r="AD77" s="2" t="s">
        <v>202</v>
      </c>
      <c r="AE77" s="2">
        <f>_20250609_reklama_data[[#This Row],[Atlyginimų vidurkis 2019]]*_20250609_reklama_data[[#This Row],[Darbuotojai 2019]]*12</f>
        <v>455532</v>
      </c>
      <c r="AF77" s="2">
        <f>(_20250609_reklama_data[[#This Row],[Apyvarta 2019]]-_20250609_reklama_data[[#This Row],[Atlyginimų sąnaudos 2019]])/_20250609_reklama_data[[#This Row],[Darbuotojai 2019]]</f>
        <v>207571.9411764706</v>
      </c>
      <c r="AG77" s="2" t="s">
        <v>203</v>
      </c>
      <c r="AH77" s="2">
        <f>_20250609_reklama_data[[#This Row],[Atlyginimų vidurkis 2020]]*_20250609_reklama_data[[#This Row],[Darbuotojai 2020]]*12</f>
        <v>554148</v>
      </c>
      <c r="AI77" s="2">
        <f>(_20250609_reklama_data[[#This Row],[Apyvarta 2020]]-_20250609_reklama_data[[#This Row],[Atlyginimų sąnaudos 2020]])/_20250609_reklama_data[[#This Row],[Darbuotojai 2020]]</f>
        <v>242089.04761904763</v>
      </c>
      <c r="AJ77" s="3">
        <v>-1.5226153157187641E-2</v>
      </c>
      <c r="AK77" s="2" t="s">
        <v>204</v>
      </c>
      <c r="AL77" s="2">
        <f>_20250609_reklama_data[[#This Row],[Atlyginimų vidurkis 2021]]*_20250609_reklama_data[[#This Row],[Darbuotojai 2021]]*12</f>
        <v>804492</v>
      </c>
      <c r="AM77" s="2">
        <f>(_20250609_reklama_data[[#This Row],[Apyvarta 2021]]-_20250609_reklama_data[[#This Row],[Atlyginimų sąnaudos 2021]])/_20250609_reklama_data[[#This Row],[Darbuotojai 2021]]</f>
        <v>235968.25925925927</v>
      </c>
      <c r="AN77" s="3">
        <v>0.12914961346066395</v>
      </c>
      <c r="AO77" s="2" t="s">
        <v>205</v>
      </c>
      <c r="AP77" s="2">
        <f>_20250609_reklama_data[[#This Row],[Atlyginimų vidurkis 2022]]*_20250609_reklama_data[[#This Row],[Darbuotojai 2022]]*12</f>
        <v>1010880</v>
      </c>
      <c r="AQ77" s="2">
        <f>(_20250609_reklama_data[[#This Row],[Apyvarta 2022]]-_20250609_reklama_data[[#This Row],[Atlyginimų sąnaudos 2022]])/_20250609_reklama_data[[#This Row],[Darbuotojai 2022]]</f>
        <v>347425.96666666667</v>
      </c>
      <c r="AR77" s="3">
        <v>0.13089005235602094</v>
      </c>
      <c r="AS77" s="2" t="s">
        <v>206</v>
      </c>
      <c r="AT77" s="2">
        <f>_20250609_reklama_data[[#This Row],[Atlyginimų vidurkis 2023]]*_20250609_reklama_data[[#This Row],[Darbuotojai 2023]]*12</f>
        <v>1150836</v>
      </c>
      <c r="AU77" s="2">
        <f>(_20250609_reklama_data[[#This Row],[Apyvarta 2023]]-_20250609_reklama_data[[#This Row],[Atlyginimų sąnaudos 2023]])/_20250609_reklama_data[[#This Row],[Darbuotojai 2023]]</f>
        <v>641203.51724137936</v>
      </c>
      <c r="AV77" s="3">
        <v>0.1777065527065527</v>
      </c>
      <c r="AW77" s="2" t="s">
        <v>207</v>
      </c>
      <c r="AX77" s="2">
        <f>_20250609_reklama_data[[#This Row],[Atlyginimų vidurkis 2024]]*_20250609_reklama_data[[#This Row],[Darbuotojai 2024]]*12</f>
        <v>1073400</v>
      </c>
      <c r="AY77" s="2">
        <f>(_20250609_reklama_data[[#This Row],[Apyvarta 2024]]-_20250609_reklama_data[[#This Row],[Atlyginimų sąnaudos 2024]])/_20250609_reklama_data[[#This Row],[Darbuotojai 2024]]</f>
        <v>418132.47999999998</v>
      </c>
      <c r="AZ77" s="3">
        <v>8.1947384336256424E-2</v>
      </c>
      <c r="BA77" s="2" t="s">
        <v>208</v>
      </c>
      <c r="BB77" s="2">
        <f>_20250609_reklama_data[[#This Row],[Atlyginimų vidurkis 2025 04]]*_20250609_reklama_data[[#This Row],[Darbuotojai 2025 06 09]]*5</f>
        <v>522730</v>
      </c>
      <c r="BC77" s="2" t="s">
        <v>80</v>
      </c>
      <c r="BD77" s="2">
        <v>3984255</v>
      </c>
      <c r="BE77" s="2">
        <v>5638018</v>
      </c>
      <c r="BF77" s="3">
        <v>0.41507458734443453</v>
      </c>
      <c r="BG77" s="2">
        <v>7175635</v>
      </c>
      <c r="BH77" s="3">
        <v>0.27272296753930192</v>
      </c>
      <c r="BI77" s="2">
        <v>11433659</v>
      </c>
      <c r="BJ77" s="3">
        <v>0.59340030533883059</v>
      </c>
      <c r="BK77" s="2">
        <v>19745738</v>
      </c>
      <c r="BL77" s="3">
        <v>0.72698328680258872</v>
      </c>
      <c r="BM77" s="2">
        <v>11526712</v>
      </c>
      <c r="BN77" s="3">
        <v>-0.41624303938399265</v>
      </c>
      <c r="BO77" s="2">
        <v>211408</v>
      </c>
      <c r="BP77" s="2">
        <v>565438</v>
      </c>
      <c r="BQ77" s="3">
        <v>1.6746291531067887</v>
      </c>
      <c r="BR77" s="2">
        <v>468860</v>
      </c>
      <c r="BS77" s="3">
        <v>-0.17080210385577199</v>
      </c>
      <c r="BT77" s="2">
        <v>587419</v>
      </c>
      <c r="BU77" s="3">
        <v>0.25286652732158854</v>
      </c>
      <c r="BV77" s="2">
        <v>345373</v>
      </c>
      <c r="BW77" s="3">
        <v>-0.41205000178748047</v>
      </c>
      <c r="BX77" s="2">
        <v>95363</v>
      </c>
      <c r="BY77" s="3">
        <v>-0.72388403262559609</v>
      </c>
      <c r="BZ77" s="2" t="s">
        <v>210</v>
      </c>
      <c r="CA77" s="2" t="s">
        <v>80</v>
      </c>
      <c r="CB77" s="2" t="s">
        <v>80</v>
      </c>
      <c r="CC77" s="2" t="s">
        <v>80</v>
      </c>
      <c r="CD77" s="2" t="s">
        <v>95</v>
      </c>
      <c r="CE77" s="2" t="s">
        <v>211</v>
      </c>
    </row>
    <row r="78" spans="1:83" x14ac:dyDescent="0.2">
      <c r="A78" s="42" t="s">
        <v>1614</v>
      </c>
      <c r="B78" s="41" t="s">
        <v>1615</v>
      </c>
      <c r="C78" s="2"/>
      <c r="D78" s="2"/>
      <c r="E78" s="2"/>
      <c r="F78" s="2"/>
      <c r="G78" s="2"/>
      <c r="H78" s="2"/>
      <c r="I78" s="2"/>
      <c r="J78" s="2">
        <v>302928919</v>
      </c>
      <c r="K78" s="2" t="s">
        <v>1275</v>
      </c>
      <c r="L78" s="2" t="s">
        <v>1273</v>
      </c>
      <c r="M78" s="2" t="s">
        <v>1276</v>
      </c>
      <c r="N78" s="2" t="s">
        <v>171</v>
      </c>
      <c r="O78" s="2" t="s">
        <v>1277</v>
      </c>
      <c r="P78" s="2"/>
      <c r="Q78" s="2">
        <v>37060274432</v>
      </c>
      <c r="R78" s="2">
        <v>6</v>
      </c>
      <c r="S78" s="2">
        <v>5</v>
      </c>
      <c r="T78" s="2">
        <v>-0.17</v>
      </c>
      <c r="U78" s="2">
        <v>7</v>
      </c>
      <c r="V78" s="2">
        <v>0.4</v>
      </c>
      <c r="W78" s="2">
        <v>9</v>
      </c>
      <c r="X78" s="2">
        <v>0.28999999999999998</v>
      </c>
      <c r="Y78" s="2">
        <v>9</v>
      </c>
      <c r="Z78" s="2">
        <v>0</v>
      </c>
      <c r="AA78" s="2">
        <v>9</v>
      </c>
      <c r="AB78" s="2">
        <v>0</v>
      </c>
      <c r="AC78" s="2">
        <v>11</v>
      </c>
      <c r="AD78" s="2">
        <v>1122</v>
      </c>
      <c r="AE78" s="2">
        <v>6732</v>
      </c>
      <c r="AF78" s="2">
        <v>28962.833330000001</v>
      </c>
      <c r="AG78" s="2">
        <v>1681</v>
      </c>
      <c r="AH78" s="2">
        <v>8405</v>
      </c>
      <c r="AI78" s="2">
        <v>47585</v>
      </c>
      <c r="AJ78" s="2">
        <v>0.5</v>
      </c>
      <c r="AK78" s="2">
        <v>1944</v>
      </c>
      <c r="AL78" s="2">
        <v>13608</v>
      </c>
      <c r="AM78" s="2">
        <v>52023</v>
      </c>
      <c r="AN78" s="2">
        <v>0.16</v>
      </c>
      <c r="AO78" s="2">
        <v>2381</v>
      </c>
      <c r="AP78" s="2">
        <v>21429</v>
      </c>
      <c r="AQ78" s="2">
        <v>67418.777780000004</v>
      </c>
      <c r="AR78" s="2">
        <v>0.22</v>
      </c>
      <c r="AS78" s="2">
        <v>2815</v>
      </c>
      <c r="AT78" s="2">
        <v>25335</v>
      </c>
      <c r="AU78" s="2">
        <v>68906.555559999993</v>
      </c>
      <c r="AV78" s="2">
        <v>0.18</v>
      </c>
      <c r="AW78" s="2">
        <v>3161</v>
      </c>
      <c r="AX78" s="2">
        <v>28449</v>
      </c>
      <c r="AY78" s="2">
        <v>82426.222219999996</v>
      </c>
      <c r="AZ78" s="2">
        <v>0.12</v>
      </c>
      <c r="BA78" s="2">
        <v>2836</v>
      </c>
      <c r="BB78" s="2">
        <v>31196</v>
      </c>
      <c r="BC78" s="2"/>
      <c r="BD78" s="2">
        <v>180509</v>
      </c>
      <c r="BE78" s="2">
        <v>246330</v>
      </c>
      <c r="BF78" s="2">
        <v>0.36</v>
      </c>
      <c r="BG78" s="2">
        <v>377769</v>
      </c>
      <c r="BH78" s="2">
        <v>0.53</v>
      </c>
      <c r="BI78" s="2">
        <v>628198</v>
      </c>
      <c r="BJ78" s="2">
        <v>0.66</v>
      </c>
      <c r="BK78" s="2">
        <v>645494</v>
      </c>
      <c r="BL78" s="2">
        <v>0.03</v>
      </c>
      <c r="BM78" s="2">
        <v>770285</v>
      </c>
      <c r="BN78" s="2">
        <v>0.19</v>
      </c>
      <c r="BO78" s="2">
        <v>14970</v>
      </c>
      <c r="BP78" s="2">
        <v>36249</v>
      </c>
      <c r="BQ78" s="2">
        <v>1.42</v>
      </c>
      <c r="BR78" s="2">
        <v>44305</v>
      </c>
      <c r="BS78" s="2">
        <v>0.22</v>
      </c>
      <c r="BT78" s="2">
        <v>85709</v>
      </c>
      <c r="BU78" s="2">
        <v>0.93</v>
      </c>
      <c r="BV78" s="2">
        <v>61795</v>
      </c>
      <c r="BW78" s="2">
        <v>-0.28000000000000003</v>
      </c>
      <c r="BX78" s="2">
        <v>86675</v>
      </c>
      <c r="BY78" s="2">
        <v>0.4</v>
      </c>
      <c r="BZ78" s="2" t="s">
        <v>1278</v>
      </c>
      <c r="CA78" s="2"/>
      <c r="CB78" s="2"/>
      <c r="CC78" s="2"/>
      <c r="CD78" s="2" t="s">
        <v>95</v>
      </c>
      <c r="CE78" s="2" t="s">
        <v>1137</v>
      </c>
    </row>
    <row r="79" spans="1:83" x14ac:dyDescent="0.2">
      <c r="A79" s="42" t="s">
        <v>1616</v>
      </c>
      <c r="B79" s="41" t="s">
        <v>1617</v>
      </c>
      <c r="C79" s="2"/>
      <c r="D79" s="2"/>
      <c r="E79" s="2"/>
      <c r="F79" s="2"/>
      <c r="G79" s="2"/>
      <c r="H79" s="2"/>
      <c r="I79" s="2"/>
      <c r="J79" s="2">
        <v>304009850</v>
      </c>
      <c r="K79" s="2" t="s">
        <v>1317</v>
      </c>
      <c r="L79" s="2" t="s">
        <v>1315</v>
      </c>
      <c r="M79" s="2" t="s">
        <v>1318</v>
      </c>
      <c r="N79" s="2" t="s">
        <v>77</v>
      </c>
      <c r="O79" s="2" t="s">
        <v>1319</v>
      </c>
      <c r="P79" s="2"/>
      <c r="Q79" s="2">
        <v>37060146765</v>
      </c>
      <c r="R79" s="2">
        <v>6</v>
      </c>
      <c r="S79" s="2">
        <v>7</v>
      </c>
      <c r="T79" s="2">
        <v>0.17</v>
      </c>
      <c r="U79" s="2">
        <v>6</v>
      </c>
      <c r="V79" s="2">
        <v>-0.14000000000000001</v>
      </c>
      <c r="W79" s="2">
        <v>7</v>
      </c>
      <c r="X79" s="2">
        <v>0.17</v>
      </c>
      <c r="Y79" s="2">
        <v>6</v>
      </c>
      <c r="Z79" s="2">
        <v>-0.14000000000000001</v>
      </c>
      <c r="AA79" s="2">
        <v>6</v>
      </c>
      <c r="AB79" s="2">
        <v>0</v>
      </c>
      <c r="AC79" s="2">
        <v>6</v>
      </c>
      <c r="AD79" s="2">
        <v>2858</v>
      </c>
      <c r="AE79" s="2">
        <v>17148</v>
      </c>
      <c r="AF79" s="2">
        <v>162596.1667</v>
      </c>
      <c r="AG79" s="2">
        <v>3139</v>
      </c>
      <c r="AH79" s="2">
        <v>21973</v>
      </c>
      <c r="AI79" s="2">
        <v>152044.14290000001</v>
      </c>
      <c r="AJ79" s="2">
        <v>0.1</v>
      </c>
      <c r="AK79" s="2">
        <v>4661</v>
      </c>
      <c r="AL79" s="2">
        <v>27966</v>
      </c>
      <c r="AM79" s="2">
        <v>218966</v>
      </c>
      <c r="AN79" s="2">
        <v>0.48</v>
      </c>
      <c r="AO79" s="2">
        <v>4471</v>
      </c>
      <c r="AP79" s="2">
        <v>31297</v>
      </c>
      <c r="AQ79" s="2">
        <v>279560.85710000002</v>
      </c>
      <c r="AR79" s="2">
        <v>-0.04</v>
      </c>
      <c r="AS79" s="2">
        <v>5086</v>
      </c>
      <c r="AT79" s="2">
        <v>30516</v>
      </c>
      <c r="AU79" s="2">
        <v>437521.6667</v>
      </c>
      <c r="AV79" s="2">
        <v>0.14000000000000001</v>
      </c>
      <c r="AW79" s="2">
        <v>5911</v>
      </c>
      <c r="AX79" s="2">
        <v>35466</v>
      </c>
      <c r="AY79" s="2">
        <v>414323.8333</v>
      </c>
      <c r="AZ79" s="2">
        <v>0.16</v>
      </c>
      <c r="BA79" s="2">
        <v>5556</v>
      </c>
      <c r="BB79" s="2">
        <v>33336</v>
      </c>
      <c r="BC79" s="2"/>
      <c r="BD79" s="2">
        <v>992725</v>
      </c>
      <c r="BE79" s="2">
        <v>1086282</v>
      </c>
      <c r="BF79" s="2">
        <v>0.09</v>
      </c>
      <c r="BG79" s="2">
        <v>1341762</v>
      </c>
      <c r="BH79" s="2">
        <v>0.24</v>
      </c>
      <c r="BI79" s="2">
        <v>1988223</v>
      </c>
      <c r="BJ79" s="2">
        <v>0.48</v>
      </c>
      <c r="BK79" s="2">
        <v>2655646</v>
      </c>
      <c r="BL79" s="2">
        <v>0.34</v>
      </c>
      <c r="BM79" s="2">
        <v>2521409</v>
      </c>
      <c r="BN79" s="2">
        <v>-0.05</v>
      </c>
      <c r="BO79" s="2">
        <v>66749</v>
      </c>
      <c r="BP79" s="2">
        <v>66481</v>
      </c>
      <c r="BQ79" s="2">
        <v>0</v>
      </c>
      <c r="BR79" s="2">
        <v>47495</v>
      </c>
      <c r="BS79" s="2">
        <v>-0.28999999999999998</v>
      </c>
      <c r="BT79" s="2">
        <v>87884</v>
      </c>
      <c r="BU79" s="2">
        <v>0.85</v>
      </c>
      <c r="BV79" s="2">
        <v>32475</v>
      </c>
      <c r="BW79" s="2">
        <v>-0.63</v>
      </c>
      <c r="BX79" s="2">
        <v>80127</v>
      </c>
      <c r="BY79" s="2">
        <v>1.47</v>
      </c>
      <c r="BZ79" s="2" t="s">
        <v>1320</v>
      </c>
      <c r="CA79" s="2"/>
      <c r="CB79" s="2"/>
      <c r="CC79" s="2"/>
      <c r="CD79" s="2" t="s">
        <v>95</v>
      </c>
      <c r="CE79" s="2" t="s">
        <v>1137</v>
      </c>
    </row>
    <row r="80" spans="1:83" x14ac:dyDescent="0.2">
      <c r="A80" s="42" t="s">
        <v>1618</v>
      </c>
      <c r="B80" s="41" t="s">
        <v>1619</v>
      </c>
      <c r="C80" s="2"/>
      <c r="D80" s="2"/>
      <c r="E80" s="2"/>
      <c r="F80" s="2"/>
      <c r="G80" s="2"/>
      <c r="H80" s="2"/>
      <c r="I80" s="2"/>
      <c r="J80" s="2">
        <v>305678310</v>
      </c>
      <c r="K80" s="2" t="s">
        <v>1367</v>
      </c>
      <c r="L80" s="2" t="s">
        <v>1618</v>
      </c>
      <c r="M80" s="2" t="s">
        <v>1368</v>
      </c>
      <c r="N80" s="2" t="s">
        <v>77</v>
      </c>
      <c r="O80" s="2" t="s">
        <v>1369</v>
      </c>
      <c r="P80" s="2"/>
      <c r="Q80" s="2">
        <v>37069658987</v>
      </c>
      <c r="R80" s="2" t="s">
        <v>590</v>
      </c>
      <c r="S80" s="2" t="s">
        <v>590</v>
      </c>
      <c r="T80" s="2" t="s">
        <v>590</v>
      </c>
      <c r="U80" s="2">
        <v>2</v>
      </c>
      <c r="V80" s="2" t="s">
        <v>590</v>
      </c>
      <c r="W80" s="2">
        <v>3</v>
      </c>
      <c r="X80" s="2">
        <v>0.5</v>
      </c>
      <c r="Y80" s="2">
        <v>3</v>
      </c>
      <c r="Z80" s="2">
        <v>0</v>
      </c>
      <c r="AA80" s="2">
        <v>3</v>
      </c>
      <c r="AB80" s="2">
        <v>0</v>
      </c>
      <c r="AC80" s="2">
        <v>3</v>
      </c>
      <c r="AD80" s="2" t="s">
        <v>590</v>
      </c>
      <c r="AE80" s="2" t="e">
        <v>#VALUE!</v>
      </c>
      <c r="AF80" s="2" t="e">
        <v>#VALUE!</v>
      </c>
      <c r="AG80" s="2" t="s">
        <v>590</v>
      </c>
      <c r="AH80" s="2" t="e">
        <v>#VALUE!</v>
      </c>
      <c r="AI80" s="2" t="e">
        <v>#VALUE!</v>
      </c>
      <c r="AJ80" s="2" t="s">
        <v>590</v>
      </c>
      <c r="AK80" s="2" t="s">
        <v>590</v>
      </c>
      <c r="AL80" s="2" t="e">
        <v>#VALUE!</v>
      </c>
      <c r="AM80" s="2" t="e">
        <v>#VALUE!</v>
      </c>
      <c r="AN80" s="2" t="s">
        <v>590</v>
      </c>
      <c r="AO80" s="2" t="s">
        <v>590</v>
      </c>
      <c r="AP80" s="2" t="e">
        <v>#VALUE!</v>
      </c>
      <c r="AQ80" s="2" t="e">
        <v>#VALUE!</v>
      </c>
      <c r="AR80" s="2" t="s">
        <v>590</v>
      </c>
      <c r="AS80" s="2" t="s">
        <v>590</v>
      </c>
      <c r="AT80" s="2" t="e">
        <v>#VALUE!</v>
      </c>
      <c r="AU80" s="2" t="e">
        <v>#VALUE!</v>
      </c>
      <c r="AV80" s="2" t="s">
        <v>590</v>
      </c>
      <c r="AW80" s="2" t="s">
        <v>590</v>
      </c>
      <c r="AX80" s="2" t="e">
        <v>#VALUE!</v>
      </c>
      <c r="AY80" s="2" t="e">
        <v>#VALUE!</v>
      </c>
      <c r="AZ80" s="2" t="s">
        <v>590</v>
      </c>
      <c r="BA80" s="2" t="s">
        <v>590</v>
      </c>
      <c r="BB80" s="2" t="e">
        <v>#VALUE!</v>
      </c>
      <c r="BC80" s="2"/>
      <c r="BD80" s="2" t="s">
        <v>590</v>
      </c>
      <c r="BE80" s="2" t="s">
        <v>590</v>
      </c>
      <c r="BF80" s="2" t="s">
        <v>590</v>
      </c>
      <c r="BG80" s="2">
        <v>56983</v>
      </c>
      <c r="BH80" s="2" t="s">
        <v>590</v>
      </c>
      <c r="BI80" s="2">
        <v>129939</v>
      </c>
      <c r="BJ80" s="2">
        <v>1.28</v>
      </c>
      <c r="BK80" s="2">
        <v>235676</v>
      </c>
      <c r="BL80" s="2">
        <v>0.81</v>
      </c>
      <c r="BM80" s="2">
        <v>201743</v>
      </c>
      <c r="BN80" s="2">
        <v>-0.14000000000000001</v>
      </c>
      <c r="BO80" s="2" t="s">
        <v>590</v>
      </c>
      <c r="BP80" s="2" t="s">
        <v>590</v>
      </c>
      <c r="BQ80" s="2" t="s">
        <v>590</v>
      </c>
      <c r="BR80" s="2">
        <v>40177</v>
      </c>
      <c r="BS80" s="2" t="s">
        <v>590</v>
      </c>
      <c r="BT80" s="2">
        <v>50125</v>
      </c>
      <c r="BU80" s="2">
        <v>0.25</v>
      </c>
      <c r="BV80" s="2">
        <v>105197</v>
      </c>
      <c r="BW80" s="2">
        <v>1.1000000000000001</v>
      </c>
      <c r="BX80" s="2">
        <v>93993</v>
      </c>
      <c r="BY80" s="2">
        <v>-0.11</v>
      </c>
      <c r="BZ80" s="2" t="s">
        <v>1370</v>
      </c>
      <c r="CA80" s="2"/>
      <c r="CB80" s="2"/>
      <c r="CC80" s="2"/>
      <c r="CD80" s="2" t="s">
        <v>95</v>
      </c>
      <c r="CE80" s="2" t="s">
        <v>1137</v>
      </c>
    </row>
    <row r="81" spans="1:83" x14ac:dyDescent="0.2">
      <c r="A81" s="41" t="s">
        <v>318</v>
      </c>
      <c r="B81" s="41" t="s">
        <v>1620</v>
      </c>
      <c r="C81" s="2" t="s">
        <v>319</v>
      </c>
      <c r="D81" s="2">
        <v>731100</v>
      </c>
      <c r="E81" s="2"/>
      <c r="F81" s="2" t="s">
        <v>280</v>
      </c>
      <c r="G81" s="2"/>
      <c r="H81" s="2" t="s">
        <v>193</v>
      </c>
      <c r="I81" s="2"/>
      <c r="J81" s="2">
        <v>302713051</v>
      </c>
      <c r="K81" s="2" t="s">
        <v>321</v>
      </c>
      <c r="L81" s="2" t="s">
        <v>322</v>
      </c>
      <c r="M81" s="2" t="s">
        <v>215</v>
      </c>
      <c r="N81" s="2" t="s">
        <v>77</v>
      </c>
      <c r="O81" s="2" t="s">
        <v>323</v>
      </c>
      <c r="P81" s="2" t="s">
        <v>80</v>
      </c>
      <c r="Q81" s="2">
        <v>37061676777</v>
      </c>
      <c r="R81" s="2" t="s">
        <v>251</v>
      </c>
      <c r="S81" s="2" t="s">
        <v>252</v>
      </c>
      <c r="T81" s="3">
        <v>-7.1428571428571425E-2</v>
      </c>
      <c r="U81" s="2" t="s">
        <v>151</v>
      </c>
      <c r="V81" s="3">
        <v>0.15384615384615385</v>
      </c>
      <c r="W81" s="2" t="s">
        <v>129</v>
      </c>
      <c r="X81" s="3">
        <v>0.43333333333333335</v>
      </c>
      <c r="Y81" s="2" t="s">
        <v>107</v>
      </c>
      <c r="Z81" s="3">
        <v>-6.9767441860465115E-2</v>
      </c>
      <c r="AA81" s="2" t="s">
        <v>129</v>
      </c>
      <c r="AB81" s="3">
        <v>7.4999999999999997E-2</v>
      </c>
      <c r="AC81" s="2">
        <v>35</v>
      </c>
      <c r="AD81" s="2" t="s">
        <v>324</v>
      </c>
      <c r="AE81" s="2">
        <f>_20250609_reklama_data[[#This Row],[Atlyginimų vidurkis 2019]]*_20250609_reklama_data[[#This Row],[Darbuotojai 2019]]*12</f>
        <v>646128</v>
      </c>
      <c r="AF81" s="2">
        <f>(_20250609_reklama_data[[#This Row],[Apyvarta 2019]]-_20250609_reklama_data[[#This Row],[Atlyginimų sąnaudos 2019]])/_20250609_reklama_data[[#This Row],[Darbuotojai 2019]]</f>
        <v>67738</v>
      </c>
      <c r="AG81" s="2" t="s">
        <v>325</v>
      </c>
      <c r="AH81" s="2">
        <f>_20250609_reklama_data[[#This Row],[Atlyginimų vidurkis 2020]]*_20250609_reklama_data[[#This Row],[Darbuotojai 2020]]*12</f>
        <v>650208</v>
      </c>
      <c r="AI81" s="2">
        <f>(_20250609_reklama_data[[#This Row],[Apyvarta 2020]]-_20250609_reklama_data[[#This Row],[Atlyginimų sąnaudos 2020]])/_20250609_reklama_data[[#This Row],[Darbuotojai 2020]]</f>
        <v>78812.307692307688</v>
      </c>
      <c r="AJ81" s="3">
        <v>8.3723348933957359E-2</v>
      </c>
      <c r="AK81" s="2" t="s">
        <v>326</v>
      </c>
      <c r="AL81" s="2">
        <f>_20250609_reklama_data[[#This Row],[Atlyginimų vidurkis 2021]]*_20250609_reklama_data[[#This Row],[Darbuotojai 2021]]*12</f>
        <v>802440</v>
      </c>
      <c r="AM81" s="2">
        <f>(_20250609_reklama_data[[#This Row],[Apyvarta 2021]]-_20250609_reklama_data[[#This Row],[Atlyginimų sąnaudos 2021]])/_20250609_reklama_data[[#This Row],[Darbuotojai 2021]]</f>
        <v>91416.5</v>
      </c>
      <c r="AN81" s="3">
        <v>6.9577735124760079E-2</v>
      </c>
      <c r="AO81" s="2" t="s">
        <v>327</v>
      </c>
      <c r="AP81" s="2">
        <f>_20250609_reklama_data[[#This Row],[Atlyginimų vidurkis 2022]]*_20250609_reklama_data[[#This Row],[Darbuotojai 2022]]*12</f>
        <v>1417968</v>
      </c>
      <c r="AQ81" s="2">
        <f>(_20250609_reklama_data[[#This Row],[Apyvarta 2022]]-_20250609_reklama_data[[#This Row],[Atlyginimų sąnaudos 2022]])/_20250609_reklama_data[[#This Row],[Darbuotojai 2022]]</f>
        <v>90160.255813953481</v>
      </c>
      <c r="AR81" s="3">
        <v>0.23283983849259757</v>
      </c>
      <c r="AS81" s="2" t="s">
        <v>328</v>
      </c>
      <c r="AT81" s="2">
        <f>_20250609_reklama_data[[#This Row],[Atlyginimų vidurkis 2023]]*_20250609_reklama_data[[#This Row],[Darbuotojai 2023]]*12</f>
        <v>1528800</v>
      </c>
      <c r="AU81" s="2">
        <f>(_20250609_reklama_data[[#This Row],[Apyvarta 2023]]-_20250609_reklama_data[[#This Row],[Atlyginimų sąnaudos 2023]])/_20250609_reklama_data[[#This Row],[Darbuotojai 2023]]</f>
        <v>89149.925000000003</v>
      </c>
      <c r="AV81" s="3">
        <v>0.15902474526928675</v>
      </c>
      <c r="AW81" s="2" t="s">
        <v>329</v>
      </c>
      <c r="AX81" s="2">
        <f>_20250609_reklama_data[[#This Row],[Atlyginimų vidurkis 2024]]*_20250609_reklama_data[[#This Row],[Darbuotojai 2024]]*12</f>
        <v>1692996</v>
      </c>
      <c r="AY81" s="2">
        <f>(_20250609_reklama_data[[#This Row],[Apyvarta 2024]]-_20250609_reklama_data[[#This Row],[Atlyginimų sąnaudos 2024]])/_20250609_reklama_data[[#This Row],[Darbuotojai 2024]]</f>
        <v>77528.023255813954</v>
      </c>
      <c r="AZ81" s="3">
        <v>3.0141287284144426E-2</v>
      </c>
      <c r="BA81" s="2" t="s">
        <v>330</v>
      </c>
      <c r="BB81" s="2">
        <f>_20250609_reklama_data[[#This Row],[Atlyginimų vidurkis 2025 04]]*_20250609_reklama_data[[#This Row],[Darbuotojai 2025 06 09]]*5</f>
        <v>586358.5</v>
      </c>
      <c r="BC81" s="2" t="s">
        <v>80</v>
      </c>
      <c r="BD81" s="2">
        <v>2542792</v>
      </c>
      <c r="BE81" s="2">
        <v>2699328</v>
      </c>
      <c r="BF81" s="3">
        <v>6.1560678183665826E-2</v>
      </c>
      <c r="BG81" s="2">
        <v>3544935</v>
      </c>
      <c r="BH81" s="3">
        <v>0.31326574614126185</v>
      </c>
      <c r="BI81" s="2">
        <v>5294859</v>
      </c>
      <c r="BJ81" s="3">
        <v>0.49364064503298366</v>
      </c>
      <c r="BK81" s="2">
        <v>5094797</v>
      </c>
      <c r="BL81" s="3">
        <v>-3.7784197841717784E-2</v>
      </c>
      <c r="BM81" s="2">
        <v>5026701</v>
      </c>
      <c r="BN81" s="3">
        <v>-1.3365792591932515E-2</v>
      </c>
      <c r="BO81" s="2">
        <v>229725</v>
      </c>
      <c r="BP81" s="2">
        <v>38351</v>
      </c>
      <c r="BQ81" s="3">
        <v>-0.83305691587767983</v>
      </c>
      <c r="BR81" s="2">
        <v>230336</v>
      </c>
      <c r="BS81" s="3">
        <v>5.0059972360564258</v>
      </c>
      <c r="BT81" s="2">
        <v>140814</v>
      </c>
      <c r="BU81" s="3">
        <v>-0.38865830786329536</v>
      </c>
      <c r="BV81" s="2">
        <v>80642</v>
      </c>
      <c r="BW81" s="3">
        <v>-0.42731546579175367</v>
      </c>
      <c r="BX81" s="2">
        <v>-152937</v>
      </c>
      <c r="BY81" s="3">
        <v>-2.8964931425311873</v>
      </c>
      <c r="BZ81" s="4" t="s">
        <v>331</v>
      </c>
      <c r="CA81" s="2" t="s">
        <v>1621</v>
      </c>
      <c r="CB81" s="2" t="s">
        <v>1622</v>
      </c>
      <c r="CC81" s="2" t="s">
        <v>1623</v>
      </c>
      <c r="CD81" s="2" t="s">
        <v>95</v>
      </c>
      <c r="CE81" s="2" t="s">
        <v>332</v>
      </c>
    </row>
    <row r="82" spans="1:83" x14ac:dyDescent="0.2">
      <c r="A82" s="42" t="s">
        <v>1624</v>
      </c>
      <c r="B82" s="41" t="s">
        <v>1625</v>
      </c>
      <c r="C82" s="2"/>
      <c r="D82" s="2"/>
      <c r="E82" s="2"/>
      <c r="F82" s="2"/>
      <c r="G82" s="2"/>
      <c r="H82" s="2"/>
      <c r="I82" s="2"/>
      <c r="J82" s="2">
        <v>302735546</v>
      </c>
      <c r="K82" s="2" t="s">
        <v>1269</v>
      </c>
      <c r="L82" s="2" t="s">
        <v>1267</v>
      </c>
      <c r="M82" s="2" t="s">
        <v>1270</v>
      </c>
      <c r="N82" s="2" t="s">
        <v>77</v>
      </c>
      <c r="O82" s="2" t="s">
        <v>1271</v>
      </c>
      <c r="P82" s="2"/>
      <c r="Q82" s="2">
        <v>37061146406</v>
      </c>
      <c r="R82" s="2">
        <v>3</v>
      </c>
      <c r="S82" s="2">
        <v>3</v>
      </c>
      <c r="T82" s="2">
        <v>0</v>
      </c>
      <c r="U82" s="2">
        <v>4</v>
      </c>
      <c r="V82" s="2">
        <v>0.33</v>
      </c>
      <c r="W82" s="2">
        <v>4</v>
      </c>
      <c r="X82" s="2">
        <v>0</v>
      </c>
      <c r="Y82" s="2">
        <v>3</v>
      </c>
      <c r="Z82" s="2">
        <v>-0.25</v>
      </c>
      <c r="AA82" s="2">
        <v>3</v>
      </c>
      <c r="AB82" s="2">
        <v>0</v>
      </c>
      <c r="AC82" s="2">
        <v>4</v>
      </c>
      <c r="AD82" s="2" t="s">
        <v>590</v>
      </c>
      <c r="AE82" s="2" t="e">
        <v>#VALUE!</v>
      </c>
      <c r="AF82" s="2" t="e">
        <v>#VALUE!</v>
      </c>
      <c r="AG82" s="2">
        <v>464</v>
      </c>
      <c r="AH82" s="2">
        <v>1392</v>
      </c>
      <c r="AI82" s="2">
        <v>512667.6667</v>
      </c>
      <c r="AJ82" s="2" t="s">
        <v>590</v>
      </c>
      <c r="AK82" s="2">
        <v>443</v>
      </c>
      <c r="AL82" s="2">
        <v>1772</v>
      </c>
      <c r="AM82" s="2">
        <v>364050.75</v>
      </c>
      <c r="AN82" s="2">
        <v>-0.05</v>
      </c>
      <c r="AO82" s="2">
        <v>727</v>
      </c>
      <c r="AP82" s="2">
        <v>2908</v>
      </c>
      <c r="AQ82" s="2">
        <v>389384</v>
      </c>
      <c r="AR82" s="2">
        <v>0.64</v>
      </c>
      <c r="AS82" s="2">
        <v>824</v>
      </c>
      <c r="AT82" s="2">
        <v>2472</v>
      </c>
      <c r="AU82" s="2">
        <v>579597</v>
      </c>
      <c r="AV82" s="2">
        <v>0.13</v>
      </c>
      <c r="AW82" s="2" t="s">
        <v>590</v>
      </c>
      <c r="AX82" s="2" t="e">
        <v>#VALUE!</v>
      </c>
      <c r="AY82" s="2" t="e">
        <v>#VALUE!</v>
      </c>
      <c r="AZ82" s="2" t="s">
        <v>590</v>
      </c>
      <c r="BA82" s="2">
        <v>1055</v>
      </c>
      <c r="BB82" s="2">
        <v>4220</v>
      </c>
      <c r="BC82" s="2"/>
      <c r="BD82" s="2">
        <v>1507524</v>
      </c>
      <c r="BE82" s="2">
        <v>1539395</v>
      </c>
      <c r="BF82" s="2">
        <v>0.02</v>
      </c>
      <c r="BG82" s="2">
        <v>1457975</v>
      </c>
      <c r="BH82" s="2">
        <v>-0.05</v>
      </c>
      <c r="BI82" s="2">
        <v>1560444</v>
      </c>
      <c r="BJ82" s="2">
        <v>7.0000000000000007E-2</v>
      </c>
      <c r="BK82" s="2">
        <v>1741263</v>
      </c>
      <c r="BL82" s="2">
        <v>0.12</v>
      </c>
      <c r="BM82" s="2" t="s">
        <v>590</v>
      </c>
      <c r="BN82" s="2" t="s">
        <v>590</v>
      </c>
      <c r="BO82" s="2">
        <v>112348</v>
      </c>
      <c r="BP82" s="2">
        <v>109993</v>
      </c>
      <c r="BQ82" s="2">
        <v>-0.02</v>
      </c>
      <c r="BR82" s="2">
        <v>72955</v>
      </c>
      <c r="BS82" s="2">
        <v>-0.34</v>
      </c>
      <c r="BT82" s="2">
        <v>62888</v>
      </c>
      <c r="BU82" s="2">
        <v>-0.14000000000000001</v>
      </c>
      <c r="BV82" s="2">
        <v>53987</v>
      </c>
      <c r="BW82" s="2">
        <v>-0.14000000000000001</v>
      </c>
      <c r="BX82" s="2" t="s">
        <v>590</v>
      </c>
      <c r="BY82" s="2" t="s">
        <v>590</v>
      </c>
      <c r="BZ82" s="2" t="s">
        <v>1272</v>
      </c>
      <c r="CA82" s="2"/>
      <c r="CB82" s="2"/>
      <c r="CC82" s="2"/>
      <c r="CD82" s="2" t="s">
        <v>891</v>
      </c>
      <c r="CE82" s="2" t="s">
        <v>1137</v>
      </c>
    </row>
    <row r="83" spans="1:83" x14ac:dyDescent="0.2">
      <c r="A83" s="41" t="s">
        <v>549</v>
      </c>
      <c r="B83" s="41" t="s">
        <v>1626</v>
      </c>
      <c r="C83" s="2" t="s">
        <v>1627</v>
      </c>
      <c r="D83" s="2">
        <v>731100</v>
      </c>
      <c r="E83" s="2"/>
      <c r="F83" s="2" t="s">
        <v>280</v>
      </c>
      <c r="G83" s="2"/>
      <c r="H83" s="2"/>
      <c r="I83" s="2"/>
      <c r="J83" s="2">
        <v>111621671</v>
      </c>
      <c r="K83" s="2" t="s">
        <v>550</v>
      </c>
      <c r="L83" s="2" t="s">
        <v>549</v>
      </c>
      <c r="M83" s="2" t="s">
        <v>552</v>
      </c>
      <c r="N83" s="2" t="s">
        <v>77</v>
      </c>
      <c r="O83" s="2" t="s">
        <v>553</v>
      </c>
      <c r="P83" s="2" t="s">
        <v>554</v>
      </c>
      <c r="Q83" s="2"/>
      <c r="R83" s="2" t="s">
        <v>535</v>
      </c>
      <c r="S83" s="2" t="s">
        <v>222</v>
      </c>
      <c r="T83" s="3">
        <v>-6.6666666666666666E-2</v>
      </c>
      <c r="U83" s="2" t="s">
        <v>535</v>
      </c>
      <c r="V83" s="3">
        <v>7.1428571428571425E-2</v>
      </c>
      <c r="W83" s="2" t="s">
        <v>218</v>
      </c>
      <c r="X83" s="3">
        <v>6.6666666666666666E-2</v>
      </c>
      <c r="Y83" s="2" t="s">
        <v>81</v>
      </c>
      <c r="Z83" s="3">
        <v>0.125</v>
      </c>
      <c r="AA83" s="2" t="s">
        <v>81</v>
      </c>
      <c r="AB83" s="3">
        <v>0</v>
      </c>
      <c r="AC83" s="2">
        <v>17</v>
      </c>
      <c r="AD83" s="2" t="s">
        <v>555</v>
      </c>
      <c r="AE83" s="2">
        <f>_20250609_reklama_data[[#This Row],[Atlyginimų vidurkis 2019]]*_20250609_reklama_data[[#This Row],[Darbuotojai 2019]]*12</f>
        <v>368100</v>
      </c>
      <c r="AF83" s="2">
        <f>(_20250609_reklama_data[[#This Row],[Apyvarta 2019]]-_20250609_reklama_data[[#This Row],[Atlyginimų sąnaudos 2019]])/_20250609_reklama_data[[#This Row],[Darbuotojai 2019]]</f>
        <v>74735.866666666669</v>
      </c>
      <c r="AG83" s="2" t="s">
        <v>556</v>
      </c>
      <c r="AH83" s="2">
        <f>_20250609_reklama_data[[#This Row],[Atlyginimų vidurkis 2020]]*_20250609_reklama_data[[#This Row],[Darbuotojai 2020]]*12</f>
        <v>278376</v>
      </c>
      <c r="AI83" s="2">
        <f>(_20250609_reklama_data[[#This Row],[Apyvarta 2020]]-_20250609_reklama_data[[#This Row],[Atlyginimų sąnaudos 2020]])/_20250609_reklama_data[[#This Row],[Darbuotojai 2020]]</f>
        <v>46131.785714285717</v>
      </c>
      <c r="AJ83" s="3">
        <v>-0.18973105134474327</v>
      </c>
      <c r="AK83" s="2" t="s">
        <v>557</v>
      </c>
      <c r="AL83" s="2">
        <f>_20250609_reklama_data[[#This Row],[Atlyginimų vidurkis 2021]]*_20250609_reklama_data[[#This Row],[Darbuotojai 2021]]*12</f>
        <v>368280</v>
      </c>
      <c r="AM83" s="2">
        <f>(_20250609_reklama_data[[#This Row],[Apyvarta 2021]]-_20250609_reklama_data[[#This Row],[Atlyginimų sąnaudos 2021]])/_20250609_reklama_data[[#This Row],[Darbuotojai 2021]]</f>
        <v>18244.2</v>
      </c>
      <c r="AN83" s="3">
        <v>0.2347616173808087</v>
      </c>
      <c r="AO83" s="2" t="s">
        <v>558</v>
      </c>
      <c r="AP83" s="2">
        <f>_20250609_reklama_data[[#This Row],[Atlyginimų vidurkis 2022]]*_20250609_reklama_data[[#This Row],[Darbuotojai 2022]]*12</f>
        <v>435648</v>
      </c>
      <c r="AQ83" s="2">
        <f>(_20250609_reklama_data[[#This Row],[Apyvarta 2022]]-_20250609_reklama_data[[#This Row],[Atlyginimų sąnaudos 2022]])/_20250609_reklama_data[[#This Row],[Darbuotojai 2022]]</f>
        <v>91259.875</v>
      </c>
      <c r="AR83" s="3">
        <v>0.10899315738025415</v>
      </c>
      <c r="AS83" s="2" t="s">
        <v>559</v>
      </c>
      <c r="AT83" s="2">
        <f>_20250609_reklama_data[[#This Row],[Atlyginimų vidurkis 2023]]*_20250609_reklama_data[[#This Row],[Darbuotojai 2023]]*12</f>
        <v>620784</v>
      </c>
      <c r="AU83" s="2">
        <f>(_20250609_reklama_data[[#This Row],[Apyvarta 2023]]-_20250609_reklama_data[[#This Row],[Atlyginimų sąnaudos 2023]])/_20250609_reklama_data[[#This Row],[Darbuotojai 2023]]</f>
        <v>70252.777777777781</v>
      </c>
      <c r="AV83" s="3">
        <v>0.26663728514764212</v>
      </c>
      <c r="AW83" s="2" t="s">
        <v>560</v>
      </c>
      <c r="AX83" s="2">
        <f>_20250609_reklama_data[[#This Row],[Atlyginimų vidurkis 2024]]*_20250609_reklama_data[[#This Row],[Darbuotojai 2024]]*12</f>
        <v>704160</v>
      </c>
      <c r="AY83" s="2">
        <f>(_20250609_reklama_data[[#This Row],[Apyvarta 2024]]-_20250609_reklama_data[[#This Row],[Atlyginimų sąnaudos 2024]])/_20250609_reklama_data[[#This Row],[Darbuotojai 2024]]</f>
        <v>60635</v>
      </c>
      <c r="AZ83" s="3">
        <v>0.13430758524704245</v>
      </c>
      <c r="BA83" s="2" t="s">
        <v>561</v>
      </c>
      <c r="BB83" s="2">
        <f>_20250609_reklama_data[[#This Row],[Atlyginimų vidurkis 2025 04]]*_20250609_reklama_data[[#This Row],[Darbuotojai 2025 06 09]]*5</f>
        <v>287678.25</v>
      </c>
      <c r="BC83" s="2" t="s">
        <v>80</v>
      </c>
      <c r="BD83" s="2">
        <v>1489138</v>
      </c>
      <c r="BE83" s="2">
        <v>924221</v>
      </c>
      <c r="BF83" s="3">
        <v>-0.37935839391648052</v>
      </c>
      <c r="BG83" s="2">
        <v>641943</v>
      </c>
      <c r="BH83" s="3">
        <v>-0.3054226207800948</v>
      </c>
      <c r="BI83" s="2">
        <v>1895806</v>
      </c>
      <c r="BJ83" s="3">
        <v>1.9532310501088104</v>
      </c>
      <c r="BK83" s="2">
        <v>1885334</v>
      </c>
      <c r="BL83" s="3">
        <v>-5.5237719471296111E-3</v>
      </c>
      <c r="BM83" s="2">
        <v>1795590</v>
      </c>
      <c r="BN83" s="3">
        <v>-4.7601114709648264E-2</v>
      </c>
      <c r="BO83" s="2">
        <v>40764</v>
      </c>
      <c r="BP83" s="2">
        <v>31004</v>
      </c>
      <c r="BQ83" s="3">
        <v>-0.23942694534393091</v>
      </c>
      <c r="BR83" s="2">
        <v>-69609</v>
      </c>
      <c r="BS83" s="3">
        <v>-3.2451619145916655</v>
      </c>
      <c r="BT83" s="2">
        <v>39446</v>
      </c>
      <c r="BU83" s="3">
        <v>1.5666795960292501</v>
      </c>
      <c r="BV83" s="2">
        <v>41716</v>
      </c>
      <c r="BW83" s="3">
        <v>5.7547026314455206E-2</v>
      </c>
      <c r="BX83" s="2">
        <v>14732</v>
      </c>
      <c r="BY83" s="3">
        <v>-0.64685012944673503</v>
      </c>
      <c r="BZ83" s="2" t="s">
        <v>563</v>
      </c>
      <c r="CA83" s="2" t="s">
        <v>564</v>
      </c>
      <c r="CB83" s="4" t="s">
        <v>1628</v>
      </c>
      <c r="CC83" s="2" t="s">
        <v>1629</v>
      </c>
      <c r="CD83" s="2" t="s">
        <v>95</v>
      </c>
      <c r="CE83" s="2" t="s">
        <v>565</v>
      </c>
    </row>
    <row r="84" spans="1:83" ht="16" x14ac:dyDescent="0.2">
      <c r="A84" s="42" t="s">
        <v>1630</v>
      </c>
      <c r="B84" s="41" t="s">
        <v>1631</v>
      </c>
      <c r="C84" s="2"/>
      <c r="D84" s="2"/>
      <c r="E84" s="2"/>
      <c r="F84" s="2"/>
      <c r="G84" s="2"/>
      <c r="H84" s="2"/>
      <c r="I84" s="2"/>
      <c r="J84" s="2">
        <v>302930418</v>
      </c>
      <c r="K84" s="2" t="s">
        <v>1281</v>
      </c>
      <c r="L84" s="2" t="s">
        <v>1279</v>
      </c>
      <c r="M84" s="2" t="s">
        <v>1282</v>
      </c>
      <c r="N84" s="2" t="s">
        <v>77</v>
      </c>
      <c r="O84" s="2" t="s">
        <v>1283</v>
      </c>
      <c r="P84" s="43" t="s">
        <v>1284</v>
      </c>
      <c r="Q84" s="2"/>
      <c r="R84" s="2">
        <v>4</v>
      </c>
      <c r="S84" s="2">
        <v>4</v>
      </c>
      <c r="T84" s="2">
        <v>0</v>
      </c>
      <c r="U84" s="2">
        <v>3</v>
      </c>
      <c r="V84" s="2">
        <v>-0.25</v>
      </c>
      <c r="W84" s="2">
        <v>4</v>
      </c>
      <c r="X84" s="2">
        <v>0.33</v>
      </c>
      <c r="Y84" s="2">
        <v>4</v>
      </c>
      <c r="Z84" s="2">
        <v>0</v>
      </c>
      <c r="AA84" s="2">
        <v>4</v>
      </c>
      <c r="AB84" s="2">
        <v>0</v>
      </c>
      <c r="AC84" s="2">
        <v>4</v>
      </c>
      <c r="AD84" s="2">
        <v>1062</v>
      </c>
      <c r="AE84" s="2">
        <v>4248</v>
      </c>
      <c r="AF84" s="2">
        <v>162432</v>
      </c>
      <c r="AG84" s="2">
        <v>1060</v>
      </c>
      <c r="AH84" s="2">
        <v>4240</v>
      </c>
      <c r="AI84" s="2">
        <v>48037.25</v>
      </c>
      <c r="AJ84" s="2">
        <v>0</v>
      </c>
      <c r="AK84" s="2">
        <v>1055</v>
      </c>
      <c r="AL84" s="2">
        <v>3165</v>
      </c>
      <c r="AM84" s="2">
        <v>132260.3333</v>
      </c>
      <c r="AN84" s="2">
        <v>0</v>
      </c>
      <c r="AO84" s="2">
        <v>1559</v>
      </c>
      <c r="AP84" s="2">
        <v>6236</v>
      </c>
      <c r="AQ84" s="2">
        <v>230448.75</v>
      </c>
      <c r="AR84" s="2">
        <v>0.48</v>
      </c>
      <c r="AS84" s="2">
        <v>1982</v>
      </c>
      <c r="AT84" s="2">
        <v>7928</v>
      </c>
      <c r="AU84" s="2">
        <v>305018.25</v>
      </c>
      <c r="AV84" s="2">
        <v>0.27</v>
      </c>
      <c r="AW84" s="2">
        <v>2195</v>
      </c>
      <c r="AX84" s="2">
        <v>8780</v>
      </c>
      <c r="AY84" s="2">
        <v>263917</v>
      </c>
      <c r="AZ84" s="2">
        <v>0.11</v>
      </c>
      <c r="BA84" s="2">
        <v>2386</v>
      </c>
      <c r="BB84" s="2">
        <v>9544</v>
      </c>
      <c r="BC84" s="2"/>
      <c r="BD84" s="2">
        <v>653976</v>
      </c>
      <c r="BE84" s="2">
        <v>196389</v>
      </c>
      <c r="BF84" s="2">
        <v>-0.7</v>
      </c>
      <c r="BG84" s="2">
        <v>399946</v>
      </c>
      <c r="BH84" s="2">
        <v>1.04</v>
      </c>
      <c r="BI84" s="2">
        <v>928031</v>
      </c>
      <c r="BJ84" s="2">
        <v>1.32</v>
      </c>
      <c r="BK84" s="2">
        <v>1228001</v>
      </c>
      <c r="BL84" s="2">
        <v>0.32</v>
      </c>
      <c r="BM84" s="2">
        <v>1064448</v>
      </c>
      <c r="BN84" s="2">
        <v>-0.13</v>
      </c>
      <c r="BO84" s="2">
        <v>60565</v>
      </c>
      <c r="BP84" s="2">
        <v>-2971</v>
      </c>
      <c r="BQ84" s="2">
        <v>-1.05</v>
      </c>
      <c r="BR84" s="2">
        <v>19717</v>
      </c>
      <c r="BS84" s="2">
        <v>7.64</v>
      </c>
      <c r="BT84" s="2">
        <v>155375</v>
      </c>
      <c r="BU84" s="2">
        <v>6.88</v>
      </c>
      <c r="BV84" s="2">
        <v>156397</v>
      </c>
      <c r="BW84" s="2">
        <v>0.01</v>
      </c>
      <c r="BX84" s="2">
        <v>83018</v>
      </c>
      <c r="BY84" s="2">
        <v>-0.47</v>
      </c>
      <c r="BZ84" s="2" t="s">
        <v>1285</v>
      </c>
      <c r="CA84" s="2" t="s">
        <v>1286</v>
      </c>
      <c r="CB84" s="2"/>
      <c r="CC84" s="2"/>
      <c r="CD84" s="2" t="s">
        <v>95</v>
      </c>
      <c r="CE84" s="2" t="s">
        <v>1137</v>
      </c>
    </row>
    <row r="85" spans="1:83" x14ac:dyDescent="0.2">
      <c r="A85" s="41" t="s">
        <v>370</v>
      </c>
      <c r="B85" s="41" t="s">
        <v>1632</v>
      </c>
      <c r="C85" s="2" t="s">
        <v>371</v>
      </c>
      <c r="D85" s="2">
        <v>731100</v>
      </c>
      <c r="E85" s="2"/>
      <c r="F85" s="2"/>
      <c r="G85" s="2"/>
      <c r="H85" s="2" t="s">
        <v>193</v>
      </c>
      <c r="I85" s="2"/>
      <c r="J85" s="2">
        <v>302705193</v>
      </c>
      <c r="K85" s="2" t="s">
        <v>372</v>
      </c>
      <c r="L85" s="2" t="s">
        <v>370</v>
      </c>
      <c r="M85" s="2" t="s">
        <v>374</v>
      </c>
      <c r="N85" s="2" t="s">
        <v>77</v>
      </c>
      <c r="O85" s="2" t="s">
        <v>375</v>
      </c>
      <c r="P85" s="2" t="s">
        <v>80</v>
      </c>
      <c r="Q85" s="2">
        <v>37068646164</v>
      </c>
      <c r="R85" s="2" t="s">
        <v>218</v>
      </c>
      <c r="S85" s="2" t="s">
        <v>199</v>
      </c>
      <c r="T85" s="3">
        <v>0.6875</v>
      </c>
      <c r="U85" s="2" t="s">
        <v>376</v>
      </c>
      <c r="V85" s="3">
        <v>0.51851851851851849</v>
      </c>
      <c r="W85" s="2" t="s">
        <v>132</v>
      </c>
      <c r="X85" s="3">
        <v>0.26829268292682928</v>
      </c>
      <c r="Y85" s="2" t="s">
        <v>377</v>
      </c>
      <c r="Z85" s="3">
        <v>7.6923076923076927E-2</v>
      </c>
      <c r="AA85" s="2" t="s">
        <v>287</v>
      </c>
      <c r="AB85" s="3">
        <v>-0.10714285714285714</v>
      </c>
      <c r="AC85" s="2">
        <v>41</v>
      </c>
      <c r="AD85" s="2" t="s">
        <v>239</v>
      </c>
      <c r="AE85" s="2">
        <f>_20250609_reklama_data[[#This Row],[Atlyginimų vidurkis 2019]]*_20250609_reklama_data[[#This Row],[Darbuotojai 2019]]*12</f>
        <v>421248</v>
      </c>
      <c r="AF85" s="2">
        <f>(_20250609_reklama_data[[#This Row],[Apyvarta 2019]]-_20250609_reklama_data[[#This Row],[Atlyginimų sąnaudos 2019]])/_20250609_reklama_data[[#This Row],[Darbuotojai 2019]]</f>
        <v>46276.75</v>
      </c>
      <c r="AG85" s="2" t="s">
        <v>378</v>
      </c>
      <c r="AH85" s="2">
        <f>_20250609_reklama_data[[#This Row],[Atlyginimų vidurkis 2020]]*_20250609_reklama_data[[#This Row],[Darbuotojai 2020]]*12</f>
        <v>706968</v>
      </c>
      <c r="AI85" s="2">
        <f>(_20250609_reklama_data[[#This Row],[Apyvarta 2020]]-_20250609_reklama_data[[#This Row],[Atlyginimų sąnaudos 2020]])/_20250609_reklama_data[[#This Row],[Darbuotojai 2020]]</f>
        <v>43504.962962962964</v>
      </c>
      <c r="AJ85" s="3">
        <v>-5.4694621695533276E-3</v>
      </c>
      <c r="AK85" s="2" t="s">
        <v>379</v>
      </c>
      <c r="AL85" s="2">
        <f>_20250609_reklama_data[[#This Row],[Atlyginimų vidurkis 2021]]*_20250609_reklama_data[[#This Row],[Darbuotojai 2021]]*12</f>
        <v>1184244</v>
      </c>
      <c r="AM85" s="2">
        <f>(_20250609_reklama_data[[#This Row],[Apyvarta 2021]]-_20250609_reklama_data[[#This Row],[Atlyginimų sąnaudos 2021]])/_20250609_reklama_data[[#This Row],[Darbuotojai 2021]]</f>
        <v>38075.219512195123</v>
      </c>
      <c r="AN85" s="3">
        <v>0.10311640696608616</v>
      </c>
      <c r="AO85" s="2" t="s">
        <v>380</v>
      </c>
      <c r="AP85" s="2">
        <f>_20250609_reklama_data[[#This Row],[Atlyginimų vidurkis 2022]]*_20250609_reklama_data[[#This Row],[Darbuotojai 2022]]*12</f>
        <v>1606176</v>
      </c>
      <c r="AQ85" s="2">
        <f>(_20250609_reklama_data[[#This Row],[Apyvarta 2022]]-_20250609_reklama_data[[#This Row],[Atlyginimų sąnaudos 2022]])/_20250609_reklama_data[[#This Row],[Darbuotojai 2022]]</f>
        <v>30448.98076923077</v>
      </c>
      <c r="AR85" s="3">
        <v>6.9380972164520147E-2</v>
      </c>
      <c r="AS85" s="2" t="s">
        <v>381</v>
      </c>
      <c r="AT85" s="2">
        <f>_20250609_reklama_data[[#This Row],[Atlyginimų vidurkis 2023]]*_20250609_reklama_data[[#This Row],[Darbuotojai 2023]]*12</f>
        <v>1872864</v>
      </c>
      <c r="AU85" s="2">
        <f>(_20250609_reklama_data[[#This Row],[Apyvarta 2023]]-_20250609_reklama_data[[#This Row],[Atlyginimų sąnaudos 2023]])/_20250609_reklama_data[[#This Row],[Darbuotojai 2023]]</f>
        <v>22927.696428571428</v>
      </c>
      <c r="AV85" s="3">
        <v>8.2750582750582752E-2</v>
      </c>
      <c r="AW85" s="2" t="s">
        <v>382</v>
      </c>
      <c r="AX85" s="2">
        <f>_20250609_reklama_data[[#This Row],[Atlyginimų vidurkis 2024]]*_20250609_reklama_data[[#This Row],[Darbuotojai 2024]]*12</f>
        <v>1803000</v>
      </c>
      <c r="AY85" s="2">
        <f>(_20250609_reklama_data[[#This Row],[Apyvarta 2024]]-_20250609_reklama_data[[#This Row],[Atlyginimų sąnaudos 2024]])/_20250609_reklama_data[[#This Row],[Darbuotojai 2024]]</f>
        <v>33099.32</v>
      </c>
      <c r="AZ85" s="3">
        <v>7.8220308575529238E-2</v>
      </c>
      <c r="BA85" s="2" t="s">
        <v>383</v>
      </c>
      <c r="BB85" s="2">
        <f>_20250609_reklama_data[[#This Row],[Atlyginimų vidurkis 2025 04]]*_20250609_reklama_data[[#This Row],[Darbuotojai 2025 06 09]]*5</f>
        <v>626730.1</v>
      </c>
      <c r="BC85" s="2" t="s">
        <v>80</v>
      </c>
      <c r="BD85" s="2">
        <v>1161676</v>
      </c>
      <c r="BE85" s="2">
        <v>1881602</v>
      </c>
      <c r="BF85" s="3">
        <v>0.61973045840664698</v>
      </c>
      <c r="BG85" s="2">
        <v>2745328</v>
      </c>
      <c r="BH85" s="3">
        <v>0.45903756479850683</v>
      </c>
      <c r="BI85" s="2">
        <v>3189523</v>
      </c>
      <c r="BJ85" s="3">
        <v>0.16180033861163401</v>
      </c>
      <c r="BK85" s="2">
        <v>3156815</v>
      </c>
      <c r="BL85" s="3">
        <v>-1.0254824937772827E-2</v>
      </c>
      <c r="BM85" s="2">
        <v>3457966</v>
      </c>
      <c r="BN85" s="3">
        <v>9.5397101192182629E-2</v>
      </c>
      <c r="BO85" s="2">
        <v>15451</v>
      </c>
      <c r="BP85" s="2">
        <v>76484</v>
      </c>
      <c r="BQ85" s="3">
        <v>3.9501003171315774</v>
      </c>
      <c r="BR85" s="2">
        <v>28066</v>
      </c>
      <c r="BS85" s="3">
        <v>-0.63304743475759639</v>
      </c>
      <c r="BT85" s="2">
        <v>44871</v>
      </c>
      <c r="BU85" s="3">
        <v>0.59876719161975345</v>
      </c>
      <c r="BV85" s="2">
        <v>8499</v>
      </c>
      <c r="BW85" s="3">
        <v>-0.81059035902921706</v>
      </c>
      <c r="BX85" s="2">
        <v>10004</v>
      </c>
      <c r="BY85" s="3">
        <v>0.17707965643016826</v>
      </c>
      <c r="BZ85" s="2" t="s">
        <v>385</v>
      </c>
      <c r="CA85" s="2" t="s">
        <v>1633</v>
      </c>
      <c r="CB85" s="2" t="s">
        <v>1634</v>
      </c>
      <c r="CC85" s="2" t="s">
        <v>1635</v>
      </c>
      <c r="CD85" s="2" t="s">
        <v>189</v>
      </c>
      <c r="CE85" s="2" t="s">
        <v>386</v>
      </c>
    </row>
    <row r="86" spans="1:83" x14ac:dyDescent="0.2">
      <c r="A86" s="41" t="s">
        <v>581</v>
      </c>
      <c r="B86" s="41" t="s">
        <v>1636</v>
      </c>
      <c r="C86" s="2" t="s">
        <v>582</v>
      </c>
      <c r="D86" s="2">
        <v>731100</v>
      </c>
      <c r="E86" s="2" t="s">
        <v>508</v>
      </c>
      <c r="F86" s="2"/>
      <c r="G86" s="2"/>
      <c r="H86" s="2"/>
      <c r="I86" s="2"/>
      <c r="J86" s="2">
        <v>304229686</v>
      </c>
      <c r="K86" s="2" t="s">
        <v>583</v>
      </c>
      <c r="L86" s="2" t="s">
        <v>581</v>
      </c>
      <c r="M86" s="2" t="s">
        <v>585</v>
      </c>
      <c r="N86" s="2" t="s">
        <v>77</v>
      </c>
      <c r="O86" s="2" t="s">
        <v>586</v>
      </c>
      <c r="P86" s="2" t="s">
        <v>80</v>
      </c>
      <c r="Q86" s="2"/>
      <c r="R86" s="2" t="s">
        <v>513</v>
      </c>
      <c r="S86" s="2" t="s">
        <v>588</v>
      </c>
      <c r="T86" s="3">
        <v>0.33333333333333331</v>
      </c>
      <c r="U86" s="2" t="s">
        <v>588</v>
      </c>
      <c r="V86" s="3">
        <v>0</v>
      </c>
      <c r="W86" s="2" t="s">
        <v>514</v>
      </c>
      <c r="X86" s="3">
        <v>0.25</v>
      </c>
      <c r="Y86" s="2" t="s">
        <v>589</v>
      </c>
      <c r="Z86" s="3">
        <v>0.4</v>
      </c>
      <c r="AA86" s="2" t="s">
        <v>219</v>
      </c>
      <c r="AB86" s="3">
        <v>0.5714285714285714</v>
      </c>
      <c r="AC86" s="2">
        <v>18</v>
      </c>
      <c r="AD86" s="2" t="s">
        <v>590</v>
      </c>
      <c r="AE86" s="2" t="s">
        <v>590</v>
      </c>
      <c r="AF86" s="2" t="s">
        <v>590</v>
      </c>
      <c r="AG86" s="2" t="s">
        <v>591</v>
      </c>
      <c r="AH86" s="2">
        <f>_20250609_reklama_data[[#This Row],[Atlyginimų vidurkis 2020]]*_20250609_reklama_data[[#This Row],[Darbuotojai 2020]]*12</f>
        <v>57360</v>
      </c>
      <c r="AI86" s="2">
        <f>(_20250609_reklama_data[[#This Row],[Apyvarta 2020]]-_20250609_reklama_data[[#This Row],[Atlyginimų sąnaudos 2020]])/_20250609_reklama_data[[#This Row],[Darbuotojai 2020]]</f>
        <v>98633.25</v>
      </c>
      <c r="AJ86" s="2" t="s">
        <v>590</v>
      </c>
      <c r="AK86" s="2" t="s">
        <v>592</v>
      </c>
      <c r="AL86" s="2">
        <f>_20250609_reklama_data[[#This Row],[Atlyginimų vidurkis 2021]]*_20250609_reklama_data[[#This Row],[Darbuotojai 2021]]*12</f>
        <v>50880</v>
      </c>
      <c r="AM86" s="2">
        <f>(_20250609_reklama_data[[#This Row],[Apyvarta 2021]]-_20250609_reklama_data[[#This Row],[Atlyginimų sąnaudos 2021]])/_20250609_reklama_data[[#This Row],[Darbuotojai 2021]]</f>
        <v>140920</v>
      </c>
      <c r="AN86" s="3">
        <v>-0.11297071129707113</v>
      </c>
      <c r="AO86" s="2" t="s">
        <v>593</v>
      </c>
      <c r="AP86" s="2">
        <f>_20250609_reklama_data[[#This Row],[Atlyginimų vidurkis 2022]]*_20250609_reklama_data[[#This Row],[Darbuotojai 2022]]*12</f>
        <v>76140</v>
      </c>
      <c r="AQ86" s="2">
        <f>(_20250609_reklama_data[[#This Row],[Apyvarta 2022]]-_20250609_reklama_data[[#This Row],[Atlyginimų sąnaudos 2022]])/_20250609_reklama_data[[#This Row],[Darbuotojai 2022]]</f>
        <v>138079.20000000001</v>
      </c>
      <c r="AR86" s="3">
        <v>0.19716981132075473</v>
      </c>
      <c r="AS86" s="2" t="s">
        <v>594</v>
      </c>
      <c r="AT86" s="2">
        <f>_20250609_reklama_data[[#This Row],[Atlyginimų vidurkis 2023]]*_20250609_reklama_data[[#This Row],[Darbuotojai 2023]]*12</f>
        <v>159516</v>
      </c>
      <c r="AU86" s="2">
        <f>(_20250609_reklama_data[[#This Row],[Apyvarta 2023]]-_20250609_reklama_data[[#This Row],[Atlyginimų sąnaudos 2023]])/_20250609_reklama_data[[#This Row],[Darbuotojai 2023]]</f>
        <v>127859.85714285714</v>
      </c>
      <c r="AV86" s="3">
        <v>0.49645390070921985</v>
      </c>
      <c r="AW86" s="2" t="s">
        <v>595</v>
      </c>
      <c r="AX86" s="2">
        <f>_20250609_reklama_data[[#This Row],[Atlyginimų vidurkis 2024]]*_20250609_reklama_data[[#This Row],[Darbuotojai 2024]]*12</f>
        <v>357852</v>
      </c>
      <c r="AY86" s="2">
        <f>(_20250609_reklama_data[[#This Row],[Apyvarta 2024]]-_20250609_reklama_data[[#This Row],[Atlyginimų sąnaudos 2024]])/_20250609_reklama_data[[#This Row],[Darbuotojai 2024]]</f>
        <v>96139.363636363632</v>
      </c>
      <c r="AZ86" s="3">
        <v>0.42759347024749866</v>
      </c>
      <c r="BA86" s="2" t="s">
        <v>596</v>
      </c>
      <c r="BB86" s="2">
        <f>_20250609_reklama_data[[#This Row],[Atlyginimų vidurkis 2025 04]]*_20250609_reklama_data[[#This Row],[Darbuotojai 2025 06 09]]*5</f>
        <v>287955.90000000002</v>
      </c>
      <c r="BC86" s="2" t="s">
        <v>80</v>
      </c>
      <c r="BD86" s="2">
        <v>328025</v>
      </c>
      <c r="BE86" s="2">
        <v>451893</v>
      </c>
      <c r="BF86" s="3">
        <v>0.37761755963722277</v>
      </c>
      <c r="BG86" s="2">
        <v>614560</v>
      </c>
      <c r="BH86" s="3">
        <v>0.35996795701637335</v>
      </c>
      <c r="BI86" s="2">
        <v>766536</v>
      </c>
      <c r="BJ86" s="3">
        <v>0.24729237177818275</v>
      </c>
      <c r="BK86" s="2">
        <v>1054535</v>
      </c>
      <c r="BL86" s="3">
        <v>0.37571490445328071</v>
      </c>
      <c r="BM86" s="2">
        <v>1415385</v>
      </c>
      <c r="BN86" s="3">
        <v>0.3421887372159293</v>
      </c>
      <c r="BO86" s="2">
        <v>107649</v>
      </c>
      <c r="BP86" s="2">
        <v>167397</v>
      </c>
      <c r="BQ86" s="3">
        <v>0.55502605690717055</v>
      </c>
      <c r="BR86" s="2">
        <v>293105</v>
      </c>
      <c r="BS86" s="3">
        <v>0.75095730508909952</v>
      </c>
      <c r="BT86" s="2">
        <v>365575</v>
      </c>
      <c r="BU86" s="3">
        <v>0.24724927926852153</v>
      </c>
      <c r="BV86" s="2">
        <v>486355</v>
      </c>
      <c r="BW86" s="3">
        <v>0.33038364220748134</v>
      </c>
      <c r="BX86" s="2">
        <v>518099</v>
      </c>
      <c r="BY86" s="3">
        <v>6.5269196368907489E-2</v>
      </c>
      <c r="BZ86" s="2" t="s">
        <v>598</v>
      </c>
      <c r="CA86" s="2" t="s">
        <v>1637</v>
      </c>
      <c r="CB86" s="2" t="s">
        <v>1638</v>
      </c>
      <c r="CC86" s="2" t="s">
        <v>1639</v>
      </c>
      <c r="CD86" s="2" t="s">
        <v>95</v>
      </c>
      <c r="CE86" s="2" t="s">
        <v>599</v>
      </c>
    </row>
    <row r="87" spans="1:83" x14ac:dyDescent="0.2">
      <c r="A87" s="41" t="s">
        <v>777</v>
      </c>
      <c r="B87" s="41" t="s">
        <v>1640</v>
      </c>
      <c r="C87" s="2" t="s">
        <v>778</v>
      </c>
      <c r="D87" s="2">
        <v>731100</v>
      </c>
      <c r="E87" s="2"/>
      <c r="F87" s="2" t="s">
        <v>280</v>
      </c>
      <c r="G87" s="2"/>
      <c r="H87" s="2"/>
      <c r="I87" s="2"/>
      <c r="J87" s="2">
        <v>124257787</v>
      </c>
      <c r="K87" s="2" t="s">
        <v>779</v>
      </c>
      <c r="L87" s="2" t="s">
        <v>1641</v>
      </c>
      <c r="M87" s="2" t="s">
        <v>781</v>
      </c>
      <c r="N87" s="2" t="s">
        <v>77</v>
      </c>
      <c r="O87" s="2" t="s">
        <v>782</v>
      </c>
      <c r="P87" s="2" t="s">
        <v>80</v>
      </c>
      <c r="Q87" s="2">
        <v>37065927112</v>
      </c>
      <c r="R87" s="2" t="s">
        <v>515</v>
      </c>
      <c r="S87" s="2" t="s">
        <v>589</v>
      </c>
      <c r="T87" s="3">
        <v>-0.125</v>
      </c>
      <c r="U87" s="2" t="s">
        <v>589</v>
      </c>
      <c r="V87" s="3">
        <v>0</v>
      </c>
      <c r="W87" s="2" t="s">
        <v>589</v>
      </c>
      <c r="X87" s="3">
        <v>0</v>
      </c>
      <c r="Y87" s="2" t="s">
        <v>705</v>
      </c>
      <c r="Z87" s="3">
        <v>-0.14285714285714285</v>
      </c>
      <c r="AA87" s="2" t="s">
        <v>705</v>
      </c>
      <c r="AB87" s="3">
        <v>0</v>
      </c>
      <c r="AC87" s="2">
        <v>7</v>
      </c>
      <c r="AD87" s="2" t="s">
        <v>783</v>
      </c>
      <c r="AE87" s="2">
        <f>_20250609_reklama_data[[#This Row],[Atlyginimų vidurkis 2019]]*_20250609_reklama_data[[#This Row],[Darbuotojai 2019]]*12</f>
        <v>129408</v>
      </c>
      <c r="AF87" s="2">
        <f>(_20250609_reklama_data[[#This Row],[Apyvarta 2019]]-_20250609_reklama_data[[#This Row],[Atlyginimų sąnaudos 2019]])/_20250609_reklama_data[[#This Row],[Darbuotojai 2019]]</f>
        <v>22652.125</v>
      </c>
      <c r="AG87" s="2" t="s">
        <v>784</v>
      </c>
      <c r="AH87" s="2">
        <f>_20250609_reklama_data[[#This Row],[Atlyginimų vidurkis 2020]]*_20250609_reklama_data[[#This Row],[Darbuotojai 2020]]*12</f>
        <v>114324</v>
      </c>
      <c r="AI87" s="2">
        <f>(_20250609_reklama_data[[#This Row],[Apyvarta 2020]]-_20250609_reklama_data[[#This Row],[Atlyginimų sąnaudos 2020]])/_20250609_reklama_data[[#This Row],[Darbuotojai 2020]]</f>
        <v>19937.142857142859</v>
      </c>
      <c r="AJ87" s="3">
        <v>9.6439169139465875E-3</v>
      </c>
      <c r="AK87" s="2" t="s">
        <v>785</v>
      </c>
      <c r="AL87" s="2">
        <f>_20250609_reklama_data[[#This Row],[Atlyginimų vidurkis 2021]]*_20250609_reklama_data[[#This Row],[Darbuotojai 2021]]*12</f>
        <v>127344</v>
      </c>
      <c r="AM87" s="2">
        <f>(_20250609_reklama_data[[#This Row],[Apyvarta 2021]]-_20250609_reklama_data[[#This Row],[Atlyginimų sąnaudos 2021]])/_20250609_reklama_data[[#This Row],[Darbuotojai 2021]]</f>
        <v>32026.142857142859</v>
      </c>
      <c r="AN87" s="3">
        <v>0.11388684790595151</v>
      </c>
      <c r="AO87" s="2" t="s">
        <v>539</v>
      </c>
      <c r="AP87" s="2">
        <f>_20250609_reklama_data[[#This Row],[Atlyginimų vidurkis 2022]]*_20250609_reklama_data[[#This Row],[Darbuotojai 2022]]*12</f>
        <v>139440</v>
      </c>
      <c r="AQ87" s="2">
        <f>(_20250609_reklama_data[[#This Row],[Apyvarta 2022]]-_20250609_reklama_data[[#This Row],[Atlyginimų sąnaudos 2022]])/_20250609_reklama_data[[#This Row],[Darbuotojai 2022]]</f>
        <v>26190.714285714286</v>
      </c>
      <c r="AR87" s="3">
        <v>9.498680738786279E-2</v>
      </c>
      <c r="AS87" s="2" t="s">
        <v>786</v>
      </c>
      <c r="AT87" s="2">
        <f>_20250609_reklama_data[[#This Row],[Atlyginimų vidurkis 2023]]*_20250609_reklama_data[[#This Row],[Darbuotojai 2023]]*12</f>
        <v>129096</v>
      </c>
      <c r="AU87" s="2">
        <f>(_20250609_reklama_data[[#This Row],[Apyvarta 2023]]-_20250609_reklama_data[[#This Row],[Atlyginimų sąnaudos 2023]])/_20250609_reklama_data[[#This Row],[Darbuotojai 2023]]</f>
        <v>92556</v>
      </c>
      <c r="AV87" s="3">
        <v>8.0120481927710846E-2</v>
      </c>
      <c r="AW87" s="2" t="s">
        <v>787</v>
      </c>
      <c r="AX87" s="2">
        <f>_20250609_reklama_data[[#This Row],[Atlyginimų vidurkis 2024]]*_20250609_reklama_data[[#This Row],[Darbuotojai 2024]]*12</f>
        <v>142344</v>
      </c>
      <c r="AY87" s="2">
        <f>(_20250609_reklama_data[[#This Row],[Apyvarta 2024]]-_20250609_reklama_data[[#This Row],[Atlyginimų sąnaudos 2024]])/_20250609_reklama_data[[#This Row],[Darbuotojai 2024]]</f>
        <v>29027.166666666668</v>
      </c>
      <c r="AZ87" s="3">
        <v>0.10262130507529281</v>
      </c>
      <c r="BA87" s="2" t="s">
        <v>788</v>
      </c>
      <c r="BB87" s="2">
        <f>_20250609_reklama_data[[#This Row],[Atlyginimų vidurkis 2025 04]]*_20250609_reklama_data[[#This Row],[Darbuotojai 2025 06 09]]*5</f>
        <v>71970.500000000015</v>
      </c>
      <c r="BC87" s="2" t="s">
        <v>80</v>
      </c>
      <c r="BD87" s="2">
        <v>310625</v>
      </c>
      <c r="BE87" s="2">
        <v>253884</v>
      </c>
      <c r="BF87" s="3">
        <v>-0.1826672032193159</v>
      </c>
      <c r="BG87" s="2">
        <v>351527</v>
      </c>
      <c r="BH87" s="3">
        <v>0.3845969025224118</v>
      </c>
      <c r="BI87" s="2">
        <v>322775</v>
      </c>
      <c r="BJ87" s="3">
        <v>-8.1791725813379915E-2</v>
      </c>
      <c r="BK87" s="2">
        <v>684432</v>
      </c>
      <c r="BL87" s="3">
        <v>1.1204616218728216</v>
      </c>
      <c r="BM87" s="2">
        <v>316507</v>
      </c>
      <c r="BN87" s="3">
        <v>-0.53756253360450712</v>
      </c>
      <c r="BO87" s="2">
        <v>-82276</v>
      </c>
      <c r="BP87" s="2">
        <v>2481</v>
      </c>
      <c r="BQ87" s="3">
        <v>1.0301546015849099</v>
      </c>
      <c r="BR87" s="2">
        <v>17604</v>
      </c>
      <c r="BS87" s="3">
        <v>6.0955259975816203</v>
      </c>
      <c r="BT87" s="2">
        <v>-7985</v>
      </c>
      <c r="BU87" s="3">
        <v>-1.4535900931606454</v>
      </c>
      <c r="BV87" s="2">
        <v>59173</v>
      </c>
      <c r="BW87" s="3">
        <v>8.4105197244834091</v>
      </c>
      <c r="BX87" s="2">
        <v>-2233</v>
      </c>
      <c r="BY87" s="3">
        <v>-1.0377368056377063</v>
      </c>
      <c r="BZ87" s="2" t="s">
        <v>790</v>
      </c>
      <c r="CA87" s="2" t="s">
        <v>791</v>
      </c>
      <c r="CB87" s="2" t="s">
        <v>792</v>
      </c>
      <c r="CC87" s="2" t="s">
        <v>793</v>
      </c>
      <c r="CD87" s="2" t="s">
        <v>95</v>
      </c>
      <c r="CE87" s="2" t="s">
        <v>794</v>
      </c>
    </row>
    <row r="88" spans="1:83" x14ac:dyDescent="0.2">
      <c r="A88" s="42" t="s">
        <v>1642</v>
      </c>
      <c r="B88" s="41" t="s">
        <v>1643</v>
      </c>
      <c r="C88" s="2"/>
      <c r="D88" s="2"/>
      <c r="E88" s="2"/>
      <c r="F88" s="2"/>
      <c r="G88" s="2"/>
      <c r="H88" s="2"/>
      <c r="I88" s="2"/>
      <c r="J88" s="2">
        <v>302248937</v>
      </c>
      <c r="K88" s="2" t="s">
        <v>1194</v>
      </c>
      <c r="L88" s="2" t="s">
        <v>1191</v>
      </c>
      <c r="M88" s="2" t="s">
        <v>1195</v>
      </c>
      <c r="N88" s="2" t="s">
        <v>77</v>
      </c>
      <c r="O88" s="2" t="s">
        <v>1196</v>
      </c>
      <c r="P88" s="2"/>
      <c r="Q88" s="2">
        <v>37061115351</v>
      </c>
      <c r="R88" s="2">
        <v>5</v>
      </c>
      <c r="S88" s="2">
        <v>4</v>
      </c>
      <c r="T88" s="2">
        <v>-0.2</v>
      </c>
      <c r="U88" s="2">
        <v>3</v>
      </c>
      <c r="V88" s="2">
        <v>-0.25</v>
      </c>
      <c r="W88" s="2">
        <v>5</v>
      </c>
      <c r="X88" s="2">
        <v>0.67</v>
      </c>
      <c r="Y88" s="2">
        <v>4</v>
      </c>
      <c r="Z88" s="2">
        <v>-0.2</v>
      </c>
      <c r="AA88" s="2">
        <v>3</v>
      </c>
      <c r="AB88" s="2">
        <v>-0.25</v>
      </c>
      <c r="AC88" s="2">
        <v>4</v>
      </c>
      <c r="AD88" s="2">
        <v>1330</v>
      </c>
      <c r="AE88" s="2">
        <v>6650</v>
      </c>
      <c r="AF88" s="2">
        <v>162932.79999999999</v>
      </c>
      <c r="AG88" s="2">
        <v>991</v>
      </c>
      <c r="AH88" s="2">
        <v>3964</v>
      </c>
      <c r="AI88" s="2">
        <v>93232.75</v>
      </c>
      <c r="AJ88" s="2">
        <v>-0.25</v>
      </c>
      <c r="AK88" s="2" t="s">
        <v>590</v>
      </c>
      <c r="AL88" s="2" t="e">
        <v>#VALUE!</v>
      </c>
      <c r="AM88" s="2" t="e">
        <v>#VALUE!</v>
      </c>
      <c r="AN88" s="2" t="s">
        <v>590</v>
      </c>
      <c r="AO88" s="2">
        <v>2720</v>
      </c>
      <c r="AP88" s="2">
        <v>13600</v>
      </c>
      <c r="AQ88" s="2">
        <v>247165.8</v>
      </c>
      <c r="AR88" s="2" t="s">
        <v>590</v>
      </c>
      <c r="AS88" s="2">
        <v>3087</v>
      </c>
      <c r="AT88" s="2">
        <v>12348</v>
      </c>
      <c r="AU88" s="2">
        <v>309247.5</v>
      </c>
      <c r="AV88" s="2">
        <v>0.13</v>
      </c>
      <c r="AW88" s="2">
        <v>3618</v>
      </c>
      <c r="AX88" s="2">
        <v>10854</v>
      </c>
      <c r="AY88" s="2">
        <v>350987.6667</v>
      </c>
      <c r="AZ88" s="2">
        <v>0.17</v>
      </c>
      <c r="BA88" s="2">
        <v>3590</v>
      </c>
      <c r="BB88" s="2">
        <v>14360</v>
      </c>
      <c r="BC88" s="2"/>
      <c r="BD88" s="2">
        <v>821314</v>
      </c>
      <c r="BE88" s="2">
        <v>376895</v>
      </c>
      <c r="BF88" s="2">
        <v>-0.54</v>
      </c>
      <c r="BG88" s="2">
        <v>930793</v>
      </c>
      <c r="BH88" s="2">
        <v>1.47</v>
      </c>
      <c r="BI88" s="2">
        <v>1249429</v>
      </c>
      <c r="BJ88" s="2">
        <v>0.34</v>
      </c>
      <c r="BK88" s="2">
        <v>1249338</v>
      </c>
      <c r="BL88" s="2">
        <v>0</v>
      </c>
      <c r="BM88" s="2">
        <v>1063817</v>
      </c>
      <c r="BN88" s="2">
        <v>-0.15</v>
      </c>
      <c r="BO88" s="2">
        <v>4692</v>
      </c>
      <c r="BP88" s="2">
        <v>16090</v>
      </c>
      <c r="BQ88" s="2">
        <v>2.4300000000000002</v>
      </c>
      <c r="BR88" s="2">
        <v>92764</v>
      </c>
      <c r="BS88" s="2">
        <v>4.7699999999999996</v>
      </c>
      <c r="BT88" s="2">
        <v>32892</v>
      </c>
      <c r="BU88" s="2">
        <v>-0.65</v>
      </c>
      <c r="BV88" s="2">
        <v>42400</v>
      </c>
      <c r="BW88" s="2">
        <v>0.28999999999999998</v>
      </c>
      <c r="BX88" s="2">
        <v>28207</v>
      </c>
      <c r="BY88" s="2">
        <v>-0.33</v>
      </c>
      <c r="BZ88" s="2" t="s">
        <v>1197</v>
      </c>
      <c r="CA88" s="2" t="s">
        <v>1198</v>
      </c>
      <c r="CB88" s="2"/>
      <c r="CC88" s="2" t="s">
        <v>1199</v>
      </c>
      <c r="CD88" s="2" t="s">
        <v>95</v>
      </c>
      <c r="CE88" s="2" t="s">
        <v>1137</v>
      </c>
    </row>
    <row r="89" spans="1:83" ht="32" x14ac:dyDescent="0.2">
      <c r="A89" s="42" t="s">
        <v>1327</v>
      </c>
      <c r="B89" s="41" t="s">
        <v>1644</v>
      </c>
      <c r="C89" s="2"/>
      <c r="D89" s="2"/>
      <c r="E89" s="2"/>
      <c r="F89" s="2"/>
      <c r="G89" s="2"/>
      <c r="H89" s="2"/>
      <c r="I89" s="2"/>
      <c r="J89" s="2">
        <v>304562858</v>
      </c>
      <c r="K89" s="2" t="s">
        <v>1329</v>
      </c>
      <c r="L89" s="2" t="s">
        <v>1327</v>
      </c>
      <c r="M89" s="2" t="s">
        <v>1330</v>
      </c>
      <c r="N89" s="2" t="s">
        <v>171</v>
      </c>
      <c r="O89" s="2" t="s">
        <v>1331</v>
      </c>
      <c r="P89" s="2" t="s">
        <v>1099</v>
      </c>
      <c r="Q89" s="2"/>
      <c r="R89" s="2">
        <v>17</v>
      </c>
      <c r="S89" s="2">
        <v>12</v>
      </c>
      <c r="T89" s="2">
        <v>-0.28999999999999998</v>
      </c>
      <c r="U89" s="2">
        <v>15</v>
      </c>
      <c r="V89" s="2">
        <v>0.25</v>
      </c>
      <c r="W89" s="2">
        <v>23</v>
      </c>
      <c r="X89" s="2">
        <v>0.53</v>
      </c>
      <c r="Y89" s="2">
        <v>27</v>
      </c>
      <c r="Z89" s="2">
        <v>0.17</v>
      </c>
      <c r="AA89" s="2">
        <v>26</v>
      </c>
      <c r="AB89" s="2">
        <v>-0.04</v>
      </c>
      <c r="AC89" s="2">
        <v>33</v>
      </c>
      <c r="AD89" s="2">
        <v>2079</v>
      </c>
      <c r="AE89" s="2">
        <v>35343</v>
      </c>
      <c r="AF89" s="2">
        <v>49223.647060000003</v>
      </c>
      <c r="AG89" s="2">
        <v>1929</v>
      </c>
      <c r="AH89" s="2">
        <v>23148</v>
      </c>
      <c r="AI89" s="2">
        <v>93384.25</v>
      </c>
      <c r="AJ89" s="2">
        <v>-7.0000000000000007E-2</v>
      </c>
      <c r="AK89" s="2">
        <v>2230</v>
      </c>
      <c r="AL89" s="2">
        <v>33450</v>
      </c>
      <c r="AM89" s="2">
        <v>105672.9333</v>
      </c>
      <c r="AN89" s="2">
        <v>0.16</v>
      </c>
      <c r="AO89" s="2">
        <v>2450</v>
      </c>
      <c r="AP89" s="2">
        <v>56350</v>
      </c>
      <c r="AQ89" s="2">
        <v>76387.826090000002</v>
      </c>
      <c r="AR89" s="2">
        <v>0.1</v>
      </c>
      <c r="AS89" s="2">
        <v>2646</v>
      </c>
      <c r="AT89" s="2">
        <v>71442</v>
      </c>
      <c r="AU89" s="2">
        <v>67946.555559999993</v>
      </c>
      <c r="AV89" s="2">
        <v>0.08</v>
      </c>
      <c r="AW89" s="2">
        <v>2529</v>
      </c>
      <c r="AX89" s="2">
        <v>65754</v>
      </c>
      <c r="AY89" s="2" t="e">
        <v>#VALUE!</v>
      </c>
      <c r="AZ89" s="2">
        <v>-0.04</v>
      </c>
      <c r="BA89" s="2">
        <v>2600</v>
      </c>
      <c r="BB89" s="2">
        <v>85800</v>
      </c>
      <c r="BC89" s="2"/>
      <c r="BD89" s="2">
        <v>872145</v>
      </c>
      <c r="BE89" s="2">
        <v>1143759</v>
      </c>
      <c r="BF89" s="2">
        <v>0.31</v>
      </c>
      <c r="BG89" s="2">
        <v>1618544</v>
      </c>
      <c r="BH89" s="2">
        <v>0.42</v>
      </c>
      <c r="BI89" s="2">
        <v>1813270</v>
      </c>
      <c r="BJ89" s="2">
        <v>0.12</v>
      </c>
      <c r="BK89" s="2">
        <v>1905999</v>
      </c>
      <c r="BL89" s="2">
        <v>0.05</v>
      </c>
      <c r="BM89" s="2" t="s">
        <v>590</v>
      </c>
      <c r="BN89" s="2" t="s">
        <v>590</v>
      </c>
      <c r="BO89" s="2">
        <v>-5901</v>
      </c>
      <c r="BP89" s="2">
        <v>99347</v>
      </c>
      <c r="BQ89" s="2">
        <v>17.84</v>
      </c>
      <c r="BR89" s="2">
        <v>99221</v>
      </c>
      <c r="BS89" s="2">
        <v>0</v>
      </c>
      <c r="BT89" s="2">
        <v>15289</v>
      </c>
      <c r="BU89" s="2">
        <v>-0.85</v>
      </c>
      <c r="BV89" s="2">
        <v>-91002</v>
      </c>
      <c r="BW89" s="2">
        <v>-6.95</v>
      </c>
      <c r="BX89" s="2" t="s">
        <v>590</v>
      </c>
      <c r="BY89" s="2" t="s">
        <v>590</v>
      </c>
      <c r="BZ89" s="2" t="s">
        <v>1332</v>
      </c>
      <c r="CA89" s="2" t="s">
        <v>1333</v>
      </c>
      <c r="CB89" s="43" t="s">
        <v>1334</v>
      </c>
      <c r="CC89" s="2" t="s">
        <v>1335</v>
      </c>
      <c r="CD89" s="2" t="s">
        <v>95</v>
      </c>
      <c r="CE89" s="2" t="s">
        <v>1137</v>
      </c>
    </row>
    <row r="90" spans="1:83" ht="32" x14ac:dyDescent="0.2">
      <c r="A90" s="42" t="s">
        <v>1645</v>
      </c>
      <c r="B90" s="41" t="s">
        <v>1646</v>
      </c>
      <c r="C90" s="2"/>
      <c r="D90" s="2"/>
      <c r="E90" s="2"/>
      <c r="F90" s="2"/>
      <c r="G90" s="2"/>
      <c r="H90" s="2"/>
      <c r="I90" s="2"/>
      <c r="J90" s="2">
        <v>302652310</v>
      </c>
      <c r="K90" s="2" t="s">
        <v>1244</v>
      </c>
      <c r="L90" s="2" t="s">
        <v>1242</v>
      </c>
      <c r="M90" s="2" t="s">
        <v>1245</v>
      </c>
      <c r="N90" s="2" t="s">
        <v>77</v>
      </c>
      <c r="O90" s="2" t="s">
        <v>1246</v>
      </c>
      <c r="P90" s="43" t="s">
        <v>1247</v>
      </c>
      <c r="Q90" s="2"/>
      <c r="R90" s="2">
        <v>12</v>
      </c>
      <c r="S90" s="2">
        <v>12</v>
      </c>
      <c r="T90" s="2">
        <v>0</v>
      </c>
      <c r="U90" s="2">
        <v>11</v>
      </c>
      <c r="V90" s="2">
        <v>-0.08</v>
      </c>
      <c r="W90" s="2">
        <v>11</v>
      </c>
      <c r="X90" s="2">
        <v>0</v>
      </c>
      <c r="Y90" s="2">
        <v>12</v>
      </c>
      <c r="Z90" s="2">
        <v>0.09</v>
      </c>
      <c r="AA90" s="2">
        <v>13</v>
      </c>
      <c r="AB90" s="2">
        <v>0.08</v>
      </c>
      <c r="AC90" s="2">
        <v>16</v>
      </c>
      <c r="AD90" s="2">
        <v>1176</v>
      </c>
      <c r="AE90" s="2">
        <v>14112</v>
      </c>
      <c r="AF90" s="2">
        <v>67917.333329999994</v>
      </c>
      <c r="AG90" s="2">
        <v>1278</v>
      </c>
      <c r="AH90" s="2">
        <v>15336</v>
      </c>
      <c r="AI90" s="2">
        <v>67443.75</v>
      </c>
      <c r="AJ90" s="2">
        <v>0.09</v>
      </c>
      <c r="AK90" s="2">
        <v>1653</v>
      </c>
      <c r="AL90" s="2">
        <v>18183</v>
      </c>
      <c r="AM90" s="2">
        <v>81742.181819999998</v>
      </c>
      <c r="AN90" s="2">
        <v>0.28999999999999998</v>
      </c>
      <c r="AO90" s="2">
        <v>1709</v>
      </c>
      <c r="AP90" s="2">
        <v>18799</v>
      </c>
      <c r="AQ90" s="2">
        <v>104453.54549999999</v>
      </c>
      <c r="AR90" s="2">
        <v>0.03</v>
      </c>
      <c r="AS90" s="2">
        <v>1889</v>
      </c>
      <c r="AT90" s="2">
        <v>22668</v>
      </c>
      <c r="AU90" s="2">
        <v>123410.5833</v>
      </c>
      <c r="AV90" s="2">
        <v>0.11</v>
      </c>
      <c r="AW90" s="2">
        <v>2139</v>
      </c>
      <c r="AX90" s="2">
        <v>27807</v>
      </c>
      <c r="AY90" s="2">
        <v>140263.07689999999</v>
      </c>
      <c r="AZ90" s="2">
        <v>0.13</v>
      </c>
      <c r="BA90" s="2">
        <v>2212</v>
      </c>
      <c r="BB90" s="2">
        <v>35392</v>
      </c>
      <c r="BC90" s="2"/>
      <c r="BD90" s="2">
        <v>829120</v>
      </c>
      <c r="BE90" s="2">
        <v>824661</v>
      </c>
      <c r="BF90" s="2">
        <v>-0.01</v>
      </c>
      <c r="BG90" s="2">
        <v>917347</v>
      </c>
      <c r="BH90" s="2">
        <v>0.11</v>
      </c>
      <c r="BI90" s="2">
        <v>1167788</v>
      </c>
      <c r="BJ90" s="2">
        <v>0.27</v>
      </c>
      <c r="BK90" s="2">
        <v>1503595</v>
      </c>
      <c r="BL90" s="2">
        <v>0.28999999999999998</v>
      </c>
      <c r="BM90" s="2">
        <v>1851227</v>
      </c>
      <c r="BN90" s="2">
        <v>0.23</v>
      </c>
      <c r="BO90" s="2">
        <v>934</v>
      </c>
      <c r="BP90" s="2">
        <v>77167</v>
      </c>
      <c r="BQ90" s="2">
        <v>81.62</v>
      </c>
      <c r="BR90" s="2">
        <v>103099</v>
      </c>
      <c r="BS90" s="2">
        <v>0.34</v>
      </c>
      <c r="BT90" s="2">
        <v>120018</v>
      </c>
      <c r="BU90" s="2">
        <v>0.16</v>
      </c>
      <c r="BV90" s="2">
        <v>106616</v>
      </c>
      <c r="BW90" s="2">
        <v>-0.11</v>
      </c>
      <c r="BX90" s="2">
        <v>120628</v>
      </c>
      <c r="BY90" s="2">
        <v>0.13</v>
      </c>
      <c r="BZ90" s="2" t="s">
        <v>1248</v>
      </c>
      <c r="CA90" s="2" t="s">
        <v>1249</v>
      </c>
      <c r="CB90" s="43" t="s">
        <v>1250</v>
      </c>
      <c r="CC90" s="2" t="s">
        <v>1251</v>
      </c>
      <c r="CD90" s="2" t="s">
        <v>95</v>
      </c>
      <c r="CE90" s="2" t="s">
        <v>1137</v>
      </c>
    </row>
    <row r="91" spans="1:83" x14ac:dyDescent="0.2">
      <c r="A91" s="41" t="s">
        <v>262</v>
      </c>
      <c r="B91" s="41" t="s">
        <v>1647</v>
      </c>
      <c r="C91" s="2" t="s">
        <v>263</v>
      </c>
      <c r="D91" s="2">
        <v>731200</v>
      </c>
      <c r="E91" s="2" t="s">
        <v>73</v>
      </c>
      <c r="F91" s="2"/>
      <c r="G91" s="2"/>
      <c r="H91" s="2"/>
      <c r="I91" s="2"/>
      <c r="J91" s="2">
        <v>300021385</v>
      </c>
      <c r="K91" s="2" t="s">
        <v>264</v>
      </c>
      <c r="L91" s="2" t="s">
        <v>262</v>
      </c>
      <c r="M91" s="2" t="s">
        <v>266</v>
      </c>
      <c r="N91" s="2" t="s">
        <v>77</v>
      </c>
      <c r="O91" s="2" t="s">
        <v>267</v>
      </c>
      <c r="P91" s="2" t="s">
        <v>268</v>
      </c>
      <c r="Q91" s="2"/>
      <c r="R91" s="2" t="s">
        <v>176</v>
      </c>
      <c r="S91" s="2" t="s">
        <v>175</v>
      </c>
      <c r="T91" s="3">
        <v>-4.7619047619047616E-2</v>
      </c>
      <c r="U91" s="2" t="s">
        <v>82</v>
      </c>
      <c r="V91" s="3">
        <v>-0.05</v>
      </c>
      <c r="W91" s="2" t="s">
        <v>175</v>
      </c>
      <c r="X91" s="3">
        <v>5.2631578947368418E-2</v>
      </c>
      <c r="Y91" s="2" t="s">
        <v>175</v>
      </c>
      <c r="Z91" s="3">
        <v>0</v>
      </c>
      <c r="AA91" s="2" t="s">
        <v>238</v>
      </c>
      <c r="AB91" s="3">
        <v>0.2</v>
      </c>
      <c r="AC91" s="2">
        <v>23</v>
      </c>
      <c r="AD91" s="2" t="s">
        <v>269</v>
      </c>
      <c r="AE91" s="2">
        <f>_20250609_reklama_data[[#This Row],[Atlyginimų vidurkis 2019]]*_20250609_reklama_data[[#This Row],[Darbuotojai 2019]]*12</f>
        <v>548100</v>
      </c>
      <c r="AF91" s="2">
        <f>(_20250609_reklama_data[[#This Row],[Apyvarta 2019]]-_20250609_reklama_data[[#This Row],[Atlyginimų sąnaudos 2019]])/_20250609_reklama_data[[#This Row],[Darbuotojai 2019]]</f>
        <v>277955.19047619047</v>
      </c>
      <c r="AG91" s="2" t="s">
        <v>270</v>
      </c>
      <c r="AH91" s="2">
        <f>_20250609_reklama_data[[#This Row],[Atlyginimų vidurkis 2020]]*_20250609_reklama_data[[#This Row],[Darbuotojai 2020]]*12</f>
        <v>617280</v>
      </c>
      <c r="AI91" s="2">
        <f>(_20250609_reklama_data[[#This Row],[Apyvarta 2020]]-_20250609_reklama_data[[#This Row],[Atlyginimų sąnaudos 2020]])/_20250609_reklama_data[[#This Row],[Darbuotojai 2020]]</f>
        <v>264321.5</v>
      </c>
      <c r="AJ91" s="3">
        <v>0.18252873563218391</v>
      </c>
      <c r="AK91" s="2" t="s">
        <v>271</v>
      </c>
      <c r="AL91" s="2">
        <f>_20250609_reklama_data[[#This Row],[Atlyginimų vidurkis 2021]]*_20250609_reklama_data[[#This Row],[Darbuotojai 2021]]*12</f>
        <v>612864</v>
      </c>
      <c r="AM91" s="2">
        <f>(_20250609_reklama_data[[#This Row],[Apyvarta 2021]]-_20250609_reklama_data[[#This Row],[Atlyginimų sąnaudos 2021]])/_20250609_reklama_data[[#This Row],[Darbuotojai 2021]]</f>
        <v>343617.31578947371</v>
      </c>
      <c r="AN91" s="3">
        <v>4.5101088646967338E-2</v>
      </c>
      <c r="AO91" s="2" t="s">
        <v>272</v>
      </c>
      <c r="AP91" s="2">
        <f>_20250609_reklama_data[[#This Row],[Atlyginimų vidurkis 2022]]*_20250609_reklama_data[[#This Row],[Darbuotojai 2022]]*12</f>
        <v>699600</v>
      </c>
      <c r="AQ91" s="2">
        <f>(_20250609_reklama_data[[#This Row],[Apyvarta 2022]]-_20250609_reklama_data[[#This Row],[Atlyginimų sąnaudos 2022]])/_20250609_reklama_data[[#This Row],[Darbuotojai 2022]]</f>
        <v>344940.45</v>
      </c>
      <c r="AR91" s="3">
        <v>8.4449404761904767E-2</v>
      </c>
      <c r="AS91" s="2" t="s">
        <v>273</v>
      </c>
      <c r="AT91" s="2">
        <f>_20250609_reklama_data[[#This Row],[Atlyginimų vidurkis 2023]]*_20250609_reklama_data[[#This Row],[Darbuotojai 2023]]*12</f>
        <v>727920</v>
      </c>
      <c r="AU91" s="2">
        <f>(_20250609_reklama_data[[#This Row],[Apyvarta 2023]]-_20250609_reklama_data[[#This Row],[Atlyginimų sąnaudos 2023]])/_20250609_reklama_data[[#This Row],[Darbuotojai 2023]]</f>
        <v>340755.4</v>
      </c>
      <c r="AV91" s="3">
        <v>4.0480274442538593E-2</v>
      </c>
      <c r="AW91" s="2" t="s">
        <v>274</v>
      </c>
      <c r="AX91" s="2">
        <f>_20250609_reklama_data[[#This Row],[Atlyginimų vidurkis 2024]]*_20250609_reklama_data[[#This Row],[Darbuotojai 2024]]*12</f>
        <v>769536</v>
      </c>
      <c r="AY91" s="2">
        <f>(_20250609_reklama_data[[#This Row],[Apyvarta 2024]]-_20250609_reklama_data[[#This Row],[Atlyginimų sąnaudos 2024]])/_20250609_reklama_data[[#This Row],[Darbuotojai 2024]]</f>
        <v>312576.875</v>
      </c>
      <c r="AZ91" s="3">
        <v>-0.11902406857896472</v>
      </c>
      <c r="BA91" s="2" t="s">
        <v>275</v>
      </c>
      <c r="BB91" s="2">
        <f>_20250609_reklama_data[[#This Row],[Atlyginimų vidurkis 2025 04]]*_20250609_reklama_data[[#This Row],[Darbuotojai 2025 06 09]]*5</f>
        <v>305134.10000000003</v>
      </c>
      <c r="BC91" s="2" t="s">
        <v>80</v>
      </c>
      <c r="BD91" s="2">
        <v>6385159</v>
      </c>
      <c r="BE91" s="2">
        <v>5903710</v>
      </c>
      <c r="BF91" s="3">
        <v>-7.5401254690760242E-2</v>
      </c>
      <c r="BG91" s="2">
        <v>7141593</v>
      </c>
      <c r="BH91" s="3">
        <v>0.20967882907527641</v>
      </c>
      <c r="BI91" s="2">
        <v>7598409</v>
      </c>
      <c r="BJ91" s="3">
        <v>6.3965560624919399E-2</v>
      </c>
      <c r="BK91" s="2">
        <v>7543028</v>
      </c>
      <c r="BL91" s="3">
        <v>-7.2884994740346305E-3</v>
      </c>
      <c r="BM91" s="2">
        <v>8271381</v>
      </c>
      <c r="BN91" s="3">
        <v>9.6559763532629073E-2</v>
      </c>
      <c r="BO91" s="2">
        <v>57099</v>
      </c>
      <c r="BP91" s="2">
        <v>242860</v>
      </c>
      <c r="BQ91" s="3">
        <v>3.2533144188164416</v>
      </c>
      <c r="BR91" s="2">
        <v>340088</v>
      </c>
      <c r="BS91" s="3">
        <v>0.40034587828378487</v>
      </c>
      <c r="BT91" s="2">
        <v>99335</v>
      </c>
      <c r="BU91" s="3">
        <v>-0.7079138340664769</v>
      </c>
      <c r="BV91" s="2">
        <v>66752</v>
      </c>
      <c r="BW91" s="3">
        <v>-0.32801127497860771</v>
      </c>
      <c r="BX91" s="2">
        <v>131476</v>
      </c>
      <c r="BY91" s="3">
        <v>0.96961888782358585</v>
      </c>
      <c r="BZ91" s="2" t="s">
        <v>277</v>
      </c>
      <c r="CA91" s="2" t="s">
        <v>80</v>
      </c>
      <c r="CB91" s="2" t="s">
        <v>80</v>
      </c>
      <c r="CC91" s="2" t="s">
        <v>1648</v>
      </c>
      <c r="CD91" s="2" t="s">
        <v>95</v>
      </c>
      <c r="CE91" s="2" t="s">
        <v>278</v>
      </c>
    </row>
    <row r="92" spans="1:83" x14ac:dyDescent="0.2">
      <c r="A92" s="42" t="s">
        <v>1649</v>
      </c>
      <c r="B92" s="41" t="s">
        <v>1650</v>
      </c>
      <c r="C92" s="2"/>
      <c r="D92" s="2"/>
      <c r="E92" s="2"/>
      <c r="F92" s="2"/>
      <c r="G92" s="2"/>
      <c r="H92" s="2"/>
      <c r="I92" s="2"/>
      <c r="J92" s="2">
        <v>304170889</v>
      </c>
      <c r="K92" s="2" t="s">
        <v>1323</v>
      </c>
      <c r="L92" s="2" t="s">
        <v>1321</v>
      </c>
      <c r="M92" s="2" t="s">
        <v>1324</v>
      </c>
      <c r="N92" s="2" t="s">
        <v>77</v>
      </c>
      <c r="O92" s="2" t="s">
        <v>1325</v>
      </c>
      <c r="P92" s="2"/>
      <c r="Q92" s="2">
        <v>37060939950</v>
      </c>
      <c r="R92" s="2">
        <v>11</v>
      </c>
      <c r="S92" s="2">
        <v>11</v>
      </c>
      <c r="T92" s="2">
        <v>0</v>
      </c>
      <c r="U92" s="2">
        <v>14</v>
      </c>
      <c r="V92" s="2">
        <v>0.27</v>
      </c>
      <c r="W92" s="2">
        <v>16</v>
      </c>
      <c r="X92" s="2">
        <v>0.14000000000000001</v>
      </c>
      <c r="Y92" s="2">
        <v>17</v>
      </c>
      <c r="Z92" s="2">
        <v>0.06</v>
      </c>
      <c r="AA92" s="2">
        <v>15</v>
      </c>
      <c r="AB92" s="2">
        <v>-0.12</v>
      </c>
      <c r="AC92" s="2">
        <v>11</v>
      </c>
      <c r="AD92" s="2">
        <v>2115</v>
      </c>
      <c r="AE92" s="2">
        <v>23265</v>
      </c>
      <c r="AF92" s="2">
        <v>61213.363640000003</v>
      </c>
      <c r="AG92" s="2">
        <v>1562</v>
      </c>
      <c r="AH92" s="2">
        <v>17182</v>
      </c>
      <c r="AI92" s="2">
        <v>78722.363639999996</v>
      </c>
      <c r="AJ92" s="2">
        <v>-0.26</v>
      </c>
      <c r="AK92" s="2">
        <v>2120</v>
      </c>
      <c r="AL92" s="2">
        <v>29680</v>
      </c>
      <c r="AM92" s="2">
        <v>162807.57139999999</v>
      </c>
      <c r="AN92" s="2">
        <v>0.36</v>
      </c>
      <c r="AO92" s="2">
        <v>2689</v>
      </c>
      <c r="AP92" s="2">
        <v>43024</v>
      </c>
      <c r="AQ92" s="2">
        <v>190520.4375</v>
      </c>
      <c r="AR92" s="2">
        <v>0.27</v>
      </c>
      <c r="AS92" s="2">
        <v>2813</v>
      </c>
      <c r="AT92" s="2">
        <v>47821</v>
      </c>
      <c r="AU92" s="2">
        <v>210723.3529</v>
      </c>
      <c r="AV92" s="2">
        <v>0.05</v>
      </c>
      <c r="AW92" s="2">
        <v>2848</v>
      </c>
      <c r="AX92" s="2">
        <v>42720</v>
      </c>
      <c r="AY92" s="2">
        <v>254196.9333</v>
      </c>
      <c r="AZ92" s="2">
        <v>0.01</v>
      </c>
      <c r="BA92" s="2">
        <v>2912</v>
      </c>
      <c r="BB92" s="2">
        <v>32032</v>
      </c>
      <c r="BC92" s="2"/>
      <c r="BD92" s="2">
        <v>696612</v>
      </c>
      <c r="BE92" s="2">
        <v>883128</v>
      </c>
      <c r="BF92" s="2">
        <v>0.27</v>
      </c>
      <c r="BG92" s="2">
        <v>2308986</v>
      </c>
      <c r="BH92" s="2">
        <v>1.61</v>
      </c>
      <c r="BI92" s="2">
        <v>3091351</v>
      </c>
      <c r="BJ92" s="2">
        <v>0.34</v>
      </c>
      <c r="BK92" s="2">
        <v>3630118</v>
      </c>
      <c r="BL92" s="2">
        <v>0.17</v>
      </c>
      <c r="BM92" s="2">
        <v>3855674</v>
      </c>
      <c r="BN92" s="2">
        <v>0.06</v>
      </c>
      <c r="BO92" s="2">
        <v>118886</v>
      </c>
      <c r="BP92" s="2">
        <v>153799</v>
      </c>
      <c r="BQ92" s="2">
        <v>0.28999999999999998</v>
      </c>
      <c r="BR92" s="2">
        <v>152342</v>
      </c>
      <c r="BS92" s="2">
        <v>-0.01</v>
      </c>
      <c r="BT92" s="2">
        <v>170223</v>
      </c>
      <c r="BU92" s="2">
        <v>0.12</v>
      </c>
      <c r="BV92" s="2">
        <v>185256</v>
      </c>
      <c r="BW92" s="2">
        <v>0.09</v>
      </c>
      <c r="BX92" s="2">
        <v>181329</v>
      </c>
      <c r="BY92" s="2">
        <v>-0.02</v>
      </c>
      <c r="BZ92" s="2" t="s">
        <v>1326</v>
      </c>
      <c r="CA92" s="2"/>
      <c r="CB92" s="2"/>
      <c r="CC92" s="2"/>
      <c r="CD92" s="2" t="s">
        <v>95</v>
      </c>
      <c r="CE92" s="2" t="s">
        <v>1137</v>
      </c>
    </row>
    <row r="93" spans="1:83" x14ac:dyDescent="0.2">
      <c r="A93" s="42" t="s">
        <v>1651</v>
      </c>
      <c r="B93" s="41" t="s">
        <v>1652</v>
      </c>
      <c r="C93" s="2"/>
      <c r="D93" s="2"/>
      <c r="E93" s="2"/>
      <c r="F93" s="2"/>
      <c r="G93" s="2"/>
      <c r="H93" s="2"/>
      <c r="I93" s="2"/>
      <c r="J93" s="2">
        <v>303193931</v>
      </c>
      <c r="K93" s="2" t="s">
        <v>1309</v>
      </c>
      <c r="L93" s="2" t="s">
        <v>1307</v>
      </c>
      <c r="M93" s="2" t="s">
        <v>1310</v>
      </c>
      <c r="N93" s="2" t="s">
        <v>77</v>
      </c>
      <c r="O93" s="2" t="s">
        <v>1311</v>
      </c>
      <c r="P93" s="2"/>
      <c r="Q93" s="2">
        <v>37069624996</v>
      </c>
      <c r="R93" s="2">
        <v>2</v>
      </c>
      <c r="S93" s="2">
        <v>2</v>
      </c>
      <c r="T93" s="2">
        <v>0</v>
      </c>
      <c r="U93" s="2">
        <v>2</v>
      </c>
      <c r="V93" s="2">
        <v>0</v>
      </c>
      <c r="W93" s="2">
        <v>1</v>
      </c>
      <c r="X93" s="2">
        <v>-0.5</v>
      </c>
      <c r="Y93" s="2">
        <v>1</v>
      </c>
      <c r="Z93" s="2">
        <v>0</v>
      </c>
      <c r="AA93" s="2">
        <v>2</v>
      </c>
      <c r="AB93" s="2">
        <v>1</v>
      </c>
      <c r="AC93" s="2">
        <v>1</v>
      </c>
      <c r="AD93" s="2" t="s">
        <v>590</v>
      </c>
      <c r="AE93" s="2" t="e">
        <v>#VALUE!</v>
      </c>
      <c r="AF93" s="2" t="e">
        <v>#VALUE!</v>
      </c>
      <c r="AG93" s="2" t="s">
        <v>590</v>
      </c>
      <c r="AH93" s="2" t="e">
        <v>#VALUE!</v>
      </c>
      <c r="AI93" s="2" t="e">
        <v>#VALUE!</v>
      </c>
      <c r="AJ93" s="2" t="s">
        <v>590</v>
      </c>
      <c r="AK93" s="2" t="s">
        <v>590</v>
      </c>
      <c r="AL93" s="2" t="e">
        <v>#VALUE!</v>
      </c>
      <c r="AM93" s="2" t="e">
        <v>#VALUE!</v>
      </c>
      <c r="AN93" s="2" t="s">
        <v>590</v>
      </c>
      <c r="AO93" s="2" t="s">
        <v>590</v>
      </c>
      <c r="AP93" s="2" t="e">
        <v>#VALUE!</v>
      </c>
      <c r="AQ93" s="2" t="e">
        <v>#VALUE!</v>
      </c>
      <c r="AR93" s="2" t="s">
        <v>590</v>
      </c>
      <c r="AS93" s="2" t="s">
        <v>590</v>
      </c>
      <c r="AT93" s="2" t="e">
        <v>#VALUE!</v>
      </c>
      <c r="AU93" s="2" t="e">
        <v>#VALUE!</v>
      </c>
      <c r="AV93" s="2" t="s">
        <v>590</v>
      </c>
      <c r="AW93" s="2" t="s">
        <v>590</v>
      </c>
      <c r="AX93" s="2" t="e">
        <v>#VALUE!</v>
      </c>
      <c r="AY93" s="2" t="e">
        <v>#VALUE!</v>
      </c>
      <c r="AZ93" s="2" t="s">
        <v>590</v>
      </c>
      <c r="BA93" s="2" t="s">
        <v>590</v>
      </c>
      <c r="BB93" s="2" t="e">
        <v>#VALUE!</v>
      </c>
      <c r="BC93" s="2"/>
      <c r="BD93" s="2">
        <v>1171259</v>
      </c>
      <c r="BE93" s="2">
        <v>607912</v>
      </c>
      <c r="BF93" s="2">
        <v>-0.48</v>
      </c>
      <c r="BG93" s="2">
        <v>882594</v>
      </c>
      <c r="BH93" s="2">
        <v>0.45</v>
      </c>
      <c r="BI93" s="2">
        <v>1040136</v>
      </c>
      <c r="BJ93" s="2">
        <v>0.18</v>
      </c>
      <c r="BK93" s="2">
        <v>1946579</v>
      </c>
      <c r="BL93" s="2">
        <v>0.87</v>
      </c>
      <c r="BM93" s="2">
        <v>1713642</v>
      </c>
      <c r="BN93" s="2">
        <v>-0.12</v>
      </c>
      <c r="BO93" s="2">
        <v>93664</v>
      </c>
      <c r="BP93" s="2">
        <v>-2056</v>
      </c>
      <c r="BQ93" s="2">
        <v>-1.02</v>
      </c>
      <c r="BR93" s="2">
        <v>38215</v>
      </c>
      <c r="BS93" s="2">
        <v>19.59</v>
      </c>
      <c r="BT93" s="2">
        <v>40347</v>
      </c>
      <c r="BU93" s="2">
        <v>0.06</v>
      </c>
      <c r="BV93" s="2">
        <v>187358</v>
      </c>
      <c r="BW93" s="2">
        <v>3.64</v>
      </c>
      <c r="BX93" s="2">
        <v>58387</v>
      </c>
      <c r="BY93" s="2">
        <v>-0.69</v>
      </c>
      <c r="BZ93" s="2" t="s">
        <v>1312</v>
      </c>
      <c r="CA93" s="2" t="s">
        <v>1313</v>
      </c>
      <c r="CB93" s="2"/>
      <c r="CC93" s="2" t="s">
        <v>1314</v>
      </c>
      <c r="CD93" s="2" t="s">
        <v>628</v>
      </c>
      <c r="CE93" s="2" t="s">
        <v>1137</v>
      </c>
    </row>
    <row r="94" spans="1:83" x14ac:dyDescent="0.2">
      <c r="A94" s="45" t="s">
        <v>1126</v>
      </c>
      <c r="B94" s="45" t="s">
        <v>1653</v>
      </c>
      <c r="C94" s="4" t="s">
        <v>1127</v>
      </c>
      <c r="D94" s="2"/>
      <c r="E94" s="2"/>
      <c r="F94" s="2"/>
      <c r="G94" s="2"/>
      <c r="H94" s="2"/>
      <c r="I94" s="2"/>
      <c r="J94" s="44">
        <v>301793500</v>
      </c>
      <c r="K94" s="44" t="s">
        <v>1128</v>
      </c>
      <c r="L94" s="41"/>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t="s">
        <v>1654</v>
      </c>
      <c r="CA94" s="2"/>
      <c r="CB94" s="2"/>
      <c r="CC94" s="2"/>
      <c r="CD94" s="2"/>
      <c r="CE94" s="2"/>
    </row>
    <row r="95" spans="1:83" ht="16" x14ac:dyDescent="0.2">
      <c r="A95" s="42" t="s">
        <v>1655</v>
      </c>
      <c r="B95" s="41" t="s">
        <v>1656</v>
      </c>
      <c r="C95" s="2"/>
      <c r="D95" s="2"/>
      <c r="E95" s="2"/>
      <c r="F95" s="2"/>
      <c r="G95" s="2"/>
      <c r="H95" s="2"/>
      <c r="I95" s="2"/>
      <c r="J95" s="2">
        <v>300940673</v>
      </c>
      <c r="K95" s="2" t="s">
        <v>1166</v>
      </c>
      <c r="L95" s="2" t="s">
        <v>1164</v>
      </c>
      <c r="M95" s="2" t="s">
        <v>1167</v>
      </c>
      <c r="N95" s="2" t="s">
        <v>77</v>
      </c>
      <c r="O95" s="2" t="s">
        <v>1168</v>
      </c>
      <c r="P95" s="43" t="s">
        <v>1169</v>
      </c>
      <c r="Q95" s="2"/>
      <c r="R95" s="2">
        <v>15</v>
      </c>
      <c r="S95" s="2">
        <v>15</v>
      </c>
      <c r="T95" s="2">
        <v>0</v>
      </c>
      <c r="U95" s="2">
        <v>15</v>
      </c>
      <c r="V95" s="2">
        <v>0</v>
      </c>
      <c r="W95" s="2">
        <v>15</v>
      </c>
      <c r="X95" s="2">
        <v>0</v>
      </c>
      <c r="Y95" s="2">
        <v>15</v>
      </c>
      <c r="Z95" s="2">
        <v>0</v>
      </c>
      <c r="AA95" s="2">
        <v>14</v>
      </c>
      <c r="AB95" s="2">
        <v>-7.0000000000000007E-2</v>
      </c>
      <c r="AC95" s="2">
        <v>11</v>
      </c>
      <c r="AD95" s="2">
        <v>1899</v>
      </c>
      <c r="AE95" s="2">
        <v>28485</v>
      </c>
      <c r="AF95" s="2">
        <v>90795.93333</v>
      </c>
      <c r="AG95" s="2">
        <v>2244</v>
      </c>
      <c r="AH95" s="2">
        <v>33660</v>
      </c>
      <c r="AI95" s="2">
        <v>110152.9333</v>
      </c>
      <c r="AJ95" s="2">
        <v>0.18</v>
      </c>
      <c r="AK95" s="2">
        <v>2645</v>
      </c>
      <c r="AL95" s="2">
        <v>39675</v>
      </c>
      <c r="AM95" s="2">
        <v>127453.9333</v>
      </c>
      <c r="AN95" s="2">
        <v>0.18</v>
      </c>
      <c r="AO95" s="2">
        <v>2804</v>
      </c>
      <c r="AP95" s="2">
        <v>42060</v>
      </c>
      <c r="AQ95" s="2">
        <v>134586.20000000001</v>
      </c>
      <c r="AR95" s="2">
        <v>0.06</v>
      </c>
      <c r="AS95" s="2">
        <v>3033</v>
      </c>
      <c r="AT95" s="2">
        <v>45495</v>
      </c>
      <c r="AU95" s="2">
        <v>139321.4</v>
      </c>
      <c r="AV95" s="2">
        <v>0.08</v>
      </c>
      <c r="AW95" s="2">
        <v>3354</v>
      </c>
      <c r="AX95" s="2">
        <v>46956</v>
      </c>
      <c r="AY95" s="2">
        <v>152349.35709999999</v>
      </c>
      <c r="AZ95" s="2">
        <v>0.11</v>
      </c>
      <c r="BA95" s="2">
        <v>3734</v>
      </c>
      <c r="BB95" s="2">
        <v>41074</v>
      </c>
      <c r="BC95" s="2"/>
      <c r="BD95" s="2">
        <v>1390424</v>
      </c>
      <c r="BE95" s="2">
        <v>1685954</v>
      </c>
      <c r="BF95" s="2">
        <v>0.21</v>
      </c>
      <c r="BG95" s="2">
        <v>1951484</v>
      </c>
      <c r="BH95" s="2">
        <v>0.16</v>
      </c>
      <c r="BI95" s="2">
        <v>2060853</v>
      </c>
      <c r="BJ95" s="2">
        <v>0.06</v>
      </c>
      <c r="BK95" s="2">
        <v>2135316</v>
      </c>
      <c r="BL95" s="2">
        <v>0.04</v>
      </c>
      <c r="BM95" s="2">
        <v>2179847</v>
      </c>
      <c r="BN95" s="2">
        <v>0.02</v>
      </c>
      <c r="BO95" s="2">
        <v>79579</v>
      </c>
      <c r="BP95" s="2">
        <v>58669</v>
      </c>
      <c r="BQ95" s="2">
        <v>-0.26</v>
      </c>
      <c r="BR95" s="2">
        <v>64808</v>
      </c>
      <c r="BS95" s="2">
        <v>0.1</v>
      </c>
      <c r="BT95" s="2">
        <v>63883</v>
      </c>
      <c r="BU95" s="2">
        <v>-0.01</v>
      </c>
      <c r="BV95" s="2">
        <v>132927</v>
      </c>
      <c r="BW95" s="2">
        <v>1.08</v>
      </c>
      <c r="BX95" s="2">
        <v>42493</v>
      </c>
      <c r="BY95" s="2">
        <v>-0.68</v>
      </c>
      <c r="BZ95" s="2" t="s">
        <v>1170</v>
      </c>
      <c r="CA95" s="2" t="s">
        <v>1171</v>
      </c>
      <c r="CB95" s="2"/>
      <c r="CC95" s="2"/>
      <c r="CD95" s="2" t="s">
        <v>95</v>
      </c>
      <c r="CE95" s="2" t="s">
        <v>1137</v>
      </c>
    </row>
    <row r="96" spans="1:83" x14ac:dyDescent="0.2">
      <c r="A96" s="41" t="s">
        <v>246</v>
      </c>
      <c r="B96" s="41" t="s">
        <v>1657</v>
      </c>
      <c r="C96" s="2" t="s">
        <v>247</v>
      </c>
      <c r="D96" s="2">
        <v>731100</v>
      </c>
      <c r="E96" s="2" t="s">
        <v>73</v>
      </c>
      <c r="F96" s="2"/>
      <c r="G96" s="2"/>
      <c r="H96" s="2"/>
      <c r="I96" s="2"/>
      <c r="J96" s="2">
        <v>111625698</v>
      </c>
      <c r="K96" s="2" t="s">
        <v>248</v>
      </c>
      <c r="L96" s="2" t="s">
        <v>1658</v>
      </c>
      <c r="M96" s="2" t="s">
        <v>147</v>
      </c>
      <c r="N96" s="2" t="s">
        <v>77</v>
      </c>
      <c r="O96" s="2" t="s">
        <v>250</v>
      </c>
      <c r="P96" s="2" t="s">
        <v>80</v>
      </c>
      <c r="Q96" s="2">
        <v>37061794865</v>
      </c>
      <c r="R96" s="2" t="s">
        <v>82</v>
      </c>
      <c r="S96" s="2" t="s">
        <v>81</v>
      </c>
      <c r="T96" s="3">
        <v>-5.2631578947368418E-2</v>
      </c>
      <c r="U96" s="2" t="s">
        <v>238</v>
      </c>
      <c r="V96" s="3">
        <v>0.33333333333333331</v>
      </c>
      <c r="W96" s="2" t="s">
        <v>251</v>
      </c>
      <c r="X96" s="3">
        <v>0.16666666666666666</v>
      </c>
      <c r="Y96" s="2" t="s">
        <v>252</v>
      </c>
      <c r="Z96" s="3">
        <v>-7.1428571428571425E-2</v>
      </c>
      <c r="AA96" s="2" t="s">
        <v>201</v>
      </c>
      <c r="AB96" s="3">
        <v>-3.8461538461538464E-2</v>
      </c>
      <c r="AC96" s="2">
        <v>27</v>
      </c>
      <c r="AD96" s="2" t="s">
        <v>253</v>
      </c>
      <c r="AE96" s="2">
        <f>_20250609_reklama_data[[#This Row],[Atlyginimų vidurkis 2019]]*_20250609_reklama_data[[#This Row],[Darbuotojai 2019]]*12</f>
        <v>577296</v>
      </c>
      <c r="AF96" s="2">
        <f>(_20250609_reklama_data[[#This Row],[Apyvarta 2019]]-_20250609_reklama_data[[#This Row],[Atlyginimų sąnaudos 2019]])/_20250609_reklama_data[[#This Row],[Darbuotojai 2019]]</f>
        <v>297709.42105263157</v>
      </c>
      <c r="AG96" s="2" t="s">
        <v>254</v>
      </c>
      <c r="AH96" s="2">
        <f>_20250609_reklama_data[[#This Row],[Atlyginimų vidurkis 2020]]*_20250609_reklama_data[[#This Row],[Darbuotojai 2020]]*12</f>
        <v>570456</v>
      </c>
      <c r="AI96" s="2">
        <f>(_20250609_reklama_data[[#This Row],[Apyvarta 2020]]-_20250609_reklama_data[[#This Row],[Atlyginimų sąnaudos 2020]])/_20250609_reklama_data[[#This Row],[Darbuotojai 2020]]</f>
        <v>236620.16666666666</v>
      </c>
      <c r="AJ96" s="3">
        <v>4.3048973143759876E-2</v>
      </c>
      <c r="AK96" s="2" t="s">
        <v>255</v>
      </c>
      <c r="AL96" s="2">
        <f>_20250609_reklama_data[[#This Row],[Atlyginimų vidurkis 2021]]*_20250609_reklama_data[[#This Row],[Darbuotojai 2021]]*12</f>
        <v>728064</v>
      </c>
      <c r="AM96" s="2">
        <f>(_20250609_reklama_data[[#This Row],[Apyvarta 2021]]-_20250609_reklama_data[[#This Row],[Atlyginimų sąnaudos 2021]])/_20250609_reklama_data[[#This Row],[Darbuotojai 2021]]</f>
        <v>365268.45833333331</v>
      </c>
      <c r="AN96" s="3">
        <v>-4.2786823173040514E-2</v>
      </c>
      <c r="AO96" s="2" t="s">
        <v>136</v>
      </c>
      <c r="AP96" s="2">
        <f>_20250609_reklama_data[[#This Row],[Atlyginimų vidurkis 2022]]*_20250609_reklama_data[[#This Row],[Darbuotojai 2022]]*12</f>
        <v>882336</v>
      </c>
      <c r="AQ96" s="2">
        <f>(_20250609_reklama_data[[#This Row],[Apyvarta 2022]]-_20250609_reklama_data[[#This Row],[Atlyginimų sąnaudos 2022]])/_20250609_reklama_data[[#This Row],[Darbuotojai 2022]]</f>
        <v>326127.17857142858</v>
      </c>
      <c r="AR96" s="3">
        <v>3.8765822784810125E-2</v>
      </c>
      <c r="AS96" s="2" t="s">
        <v>256</v>
      </c>
      <c r="AT96" s="2">
        <f>_20250609_reklama_data[[#This Row],[Atlyginimų vidurkis 2023]]*_20250609_reklama_data[[#This Row],[Darbuotojai 2023]]*12</f>
        <v>892632</v>
      </c>
      <c r="AU96" s="2">
        <f>(_20250609_reklama_data[[#This Row],[Apyvarta 2023]]-_20250609_reklama_data[[#This Row],[Atlyginimų sąnaudos 2023]])/_20250609_reklama_data[[#This Row],[Darbuotojai 2023]]</f>
        <v>288339.30769230769</v>
      </c>
      <c r="AV96" s="3">
        <v>8.9489718202589497E-2</v>
      </c>
      <c r="AW96" s="2" t="s">
        <v>257</v>
      </c>
      <c r="AX96" s="2">
        <f>_20250609_reklama_data[[#This Row],[Atlyginimų vidurkis 2024]]*_20250609_reklama_data[[#This Row],[Darbuotojai 2024]]*12</f>
        <v>921900</v>
      </c>
      <c r="AY96" s="2">
        <f>(_20250609_reklama_data[[#This Row],[Apyvarta 2024]]-_20250609_reklama_data[[#This Row],[Atlyginimų sąnaudos 2024]])/_20250609_reklama_data[[#This Row],[Darbuotojai 2024]]</f>
        <v>316624.76</v>
      </c>
      <c r="AZ96" s="3">
        <v>7.40999650471863E-2</v>
      </c>
      <c r="BA96" s="2" t="s">
        <v>258</v>
      </c>
      <c r="BB96" s="2">
        <f>_20250609_reklama_data[[#This Row],[Atlyginimų vidurkis 2025 04]]*_20250609_reklama_data[[#This Row],[Darbuotojai 2025 06 09]]*5</f>
        <v>408333.15</v>
      </c>
      <c r="BC96" s="2" t="s">
        <v>80</v>
      </c>
      <c r="BD96" s="2">
        <v>6233775</v>
      </c>
      <c r="BE96" s="2">
        <v>4829619</v>
      </c>
      <c r="BF96" s="3">
        <v>-0.2252497082425978</v>
      </c>
      <c r="BG96" s="2">
        <v>9494507</v>
      </c>
      <c r="BH96" s="3">
        <v>0.96589151235325188</v>
      </c>
      <c r="BI96" s="2">
        <v>10013897</v>
      </c>
      <c r="BJ96" s="3">
        <v>5.4704262159162131E-2</v>
      </c>
      <c r="BK96" s="2">
        <v>8389454</v>
      </c>
      <c r="BL96" s="3">
        <v>-0.16221886444408207</v>
      </c>
      <c r="BM96" s="2">
        <v>8837519</v>
      </c>
      <c r="BN96" s="3">
        <v>5.3408124056702616E-2</v>
      </c>
      <c r="BO96" s="2">
        <v>112253</v>
      </c>
      <c r="BP96" s="2">
        <v>95358</v>
      </c>
      <c r="BQ96" s="3">
        <v>-0.15050822695161822</v>
      </c>
      <c r="BR96" s="2">
        <v>191943</v>
      </c>
      <c r="BS96" s="3">
        <v>1.0128673000692128</v>
      </c>
      <c r="BT96" s="2">
        <v>186159</v>
      </c>
      <c r="BU96" s="3">
        <v>-3.0133946015223269E-2</v>
      </c>
      <c r="BV96" s="2">
        <v>172710</v>
      </c>
      <c r="BW96" s="3">
        <v>-7.224469405185889E-2</v>
      </c>
      <c r="BX96" s="2">
        <v>225361</v>
      </c>
      <c r="BY96" s="3">
        <v>0.3048520641537838</v>
      </c>
      <c r="BZ96" s="2" t="s">
        <v>260</v>
      </c>
      <c r="CA96" s="2" t="s">
        <v>1659</v>
      </c>
      <c r="CB96" s="2" t="s">
        <v>80</v>
      </c>
      <c r="CC96" s="4" t="s">
        <v>1660</v>
      </c>
      <c r="CD96" s="2" t="s">
        <v>189</v>
      </c>
      <c r="CE96" s="2" t="s">
        <v>261</v>
      </c>
    </row>
    <row r="97" spans="1:83" x14ac:dyDescent="0.2">
      <c r="A97" s="2" t="s">
        <v>1661</v>
      </c>
      <c r="B97" s="41" t="s">
        <v>1662</v>
      </c>
      <c r="C97" s="2" t="s">
        <v>856</v>
      </c>
      <c r="D97" s="2">
        <v>731100</v>
      </c>
      <c r="E97" s="2" t="s">
        <v>508</v>
      </c>
      <c r="F97" s="2"/>
      <c r="G97" s="2"/>
      <c r="H97" s="2"/>
      <c r="I97" s="2"/>
      <c r="J97" s="2">
        <v>304300090</v>
      </c>
      <c r="K97" s="2" t="s">
        <v>857</v>
      </c>
      <c r="L97" s="2" t="s">
        <v>1661</v>
      </c>
      <c r="M97" s="2" t="s">
        <v>859</v>
      </c>
      <c r="N97" s="2" t="s">
        <v>860</v>
      </c>
      <c r="O97" s="2" t="s">
        <v>861</v>
      </c>
      <c r="P97" s="2" t="s">
        <v>80</v>
      </c>
      <c r="Q97" s="2">
        <v>37060953631</v>
      </c>
      <c r="R97" s="2" t="s">
        <v>752</v>
      </c>
      <c r="S97" s="2" t="s">
        <v>590</v>
      </c>
      <c r="T97" s="3">
        <v>-1</v>
      </c>
      <c r="U97" s="2" t="s">
        <v>590</v>
      </c>
      <c r="V97" s="2" t="s">
        <v>590</v>
      </c>
      <c r="W97" s="2" t="s">
        <v>590</v>
      </c>
      <c r="X97" s="2" t="s">
        <v>590</v>
      </c>
      <c r="Y97" s="2" t="s">
        <v>590</v>
      </c>
      <c r="Z97" s="2" t="s">
        <v>590</v>
      </c>
      <c r="AA97" s="2" t="s">
        <v>590</v>
      </c>
      <c r="AB97" s="2" t="s">
        <v>590</v>
      </c>
      <c r="AC97" s="2"/>
      <c r="AD97" s="2" t="s">
        <v>590</v>
      </c>
      <c r="AE97" s="2" t="s">
        <v>590</v>
      </c>
      <c r="AF97" s="2" t="s">
        <v>590</v>
      </c>
      <c r="AG97" s="2" t="s">
        <v>590</v>
      </c>
      <c r="AH97" s="2" t="s">
        <v>590</v>
      </c>
      <c r="AI97" s="2" t="s">
        <v>590</v>
      </c>
      <c r="AJ97" s="2" t="s">
        <v>590</v>
      </c>
      <c r="AK97" s="2" t="s">
        <v>590</v>
      </c>
      <c r="AL97" s="2" t="s">
        <v>590</v>
      </c>
      <c r="AM97" s="2" t="s">
        <v>590</v>
      </c>
      <c r="AN97" s="2" t="s">
        <v>590</v>
      </c>
      <c r="AO97" s="2" t="s">
        <v>590</v>
      </c>
      <c r="AP97" s="2" t="s">
        <v>590</v>
      </c>
      <c r="AQ97" s="2" t="s">
        <v>590</v>
      </c>
      <c r="AR97" s="2" t="s">
        <v>590</v>
      </c>
      <c r="AS97" s="2" t="s">
        <v>590</v>
      </c>
      <c r="AT97" s="2" t="s">
        <v>590</v>
      </c>
      <c r="AU97" s="2" t="s">
        <v>590</v>
      </c>
      <c r="AV97" s="2" t="s">
        <v>590</v>
      </c>
      <c r="AW97" s="2" t="s">
        <v>590</v>
      </c>
      <c r="AX97" s="2" t="s">
        <v>590</v>
      </c>
      <c r="AY97" s="2" t="s">
        <v>590</v>
      </c>
      <c r="AZ97" s="2" t="s">
        <v>590</v>
      </c>
      <c r="BA97" s="2" t="s">
        <v>590</v>
      </c>
      <c r="BB97" s="2" t="s">
        <v>590</v>
      </c>
      <c r="BC97" s="2">
        <v>289.06</v>
      </c>
      <c r="BD97" s="2">
        <v>123105</v>
      </c>
      <c r="BE97" s="2">
        <v>97942</v>
      </c>
      <c r="BF97" s="3">
        <v>-0.2044027456236546</v>
      </c>
      <c r="BG97" s="2">
        <v>136496</v>
      </c>
      <c r="BH97" s="3">
        <v>0.39364113454901883</v>
      </c>
      <c r="BI97" s="2">
        <v>200535</v>
      </c>
      <c r="BJ97" s="3">
        <v>0.4691639315437815</v>
      </c>
      <c r="BK97" s="2">
        <v>177910</v>
      </c>
      <c r="BL97" s="3">
        <v>-0.11282319794549579</v>
      </c>
      <c r="BM97" s="2">
        <v>122111</v>
      </c>
      <c r="BN97" s="3">
        <v>-0.31363610814456749</v>
      </c>
      <c r="BO97" s="2">
        <v>38230</v>
      </c>
      <c r="BP97" s="2">
        <v>-3183</v>
      </c>
      <c r="BQ97" s="3">
        <v>-1.0832592205074549</v>
      </c>
      <c r="BR97" s="2">
        <v>9646</v>
      </c>
      <c r="BS97" s="3">
        <v>4.0304743952246298</v>
      </c>
      <c r="BT97" s="2">
        <v>10605</v>
      </c>
      <c r="BU97" s="3">
        <v>9.9419448476052247E-2</v>
      </c>
      <c r="BV97" s="2">
        <v>42203</v>
      </c>
      <c r="BW97" s="3">
        <v>2.9795379537953797</v>
      </c>
      <c r="BX97" s="2">
        <v>-20529</v>
      </c>
      <c r="BY97" s="3">
        <v>-1.4864346136530577</v>
      </c>
      <c r="BZ97" s="2" t="s">
        <v>864</v>
      </c>
      <c r="CA97" s="2" t="s">
        <v>865</v>
      </c>
      <c r="CB97" s="4" t="s">
        <v>1663</v>
      </c>
      <c r="CC97" s="4" t="s">
        <v>1664</v>
      </c>
      <c r="CD97" s="2" t="s">
        <v>628</v>
      </c>
      <c r="CE97" s="2" t="s">
        <v>866</v>
      </c>
    </row>
    <row r="98" spans="1:83" ht="32" x14ac:dyDescent="0.2">
      <c r="A98" s="42" t="s">
        <v>1665</v>
      </c>
      <c r="B98" s="41" t="s">
        <v>1666</v>
      </c>
      <c r="C98" s="2"/>
      <c r="D98" s="2"/>
      <c r="E98" s="2"/>
      <c r="F98" s="2"/>
      <c r="G98" s="2"/>
      <c r="H98" s="2"/>
      <c r="I98" s="2"/>
      <c r="J98" s="2">
        <v>304859756</v>
      </c>
      <c r="K98" s="2" t="s">
        <v>1354</v>
      </c>
      <c r="L98" s="2" t="s">
        <v>1352</v>
      </c>
      <c r="M98" s="43" t="s">
        <v>1355</v>
      </c>
      <c r="N98" s="2" t="s">
        <v>1356</v>
      </c>
      <c r="O98" s="2" t="s">
        <v>1357</v>
      </c>
      <c r="P98" s="2"/>
      <c r="Q98" s="2">
        <v>37063534800</v>
      </c>
      <c r="R98" s="2">
        <v>2</v>
      </c>
      <c r="S98" s="2">
        <v>3</v>
      </c>
      <c r="T98" s="2">
        <v>0.5</v>
      </c>
      <c r="U98" s="2">
        <v>5</v>
      </c>
      <c r="V98" s="2">
        <v>0.67</v>
      </c>
      <c r="W98" s="2">
        <v>7</v>
      </c>
      <c r="X98" s="2">
        <v>0.4</v>
      </c>
      <c r="Y98" s="2">
        <v>8</v>
      </c>
      <c r="Z98" s="2">
        <v>0.14000000000000001</v>
      </c>
      <c r="AA98" s="2">
        <v>8</v>
      </c>
      <c r="AB98" s="2">
        <v>0</v>
      </c>
      <c r="AC98" s="2">
        <v>3</v>
      </c>
      <c r="AD98" s="2" t="s">
        <v>590</v>
      </c>
      <c r="AE98" s="2" t="e">
        <v>#VALUE!</v>
      </c>
      <c r="AF98" s="2" t="e">
        <v>#VALUE!</v>
      </c>
      <c r="AG98" s="2" t="s">
        <v>590</v>
      </c>
      <c r="AH98" s="2" t="e">
        <v>#VALUE!</v>
      </c>
      <c r="AI98" s="2" t="e">
        <v>#VALUE!</v>
      </c>
      <c r="AJ98" s="2" t="s">
        <v>590</v>
      </c>
      <c r="AK98" s="2">
        <v>1467</v>
      </c>
      <c r="AL98" s="2">
        <v>7335</v>
      </c>
      <c r="AM98" s="2">
        <v>65513.2</v>
      </c>
      <c r="AN98" s="2" t="s">
        <v>590</v>
      </c>
      <c r="AO98" s="2">
        <v>1828</v>
      </c>
      <c r="AP98" s="2">
        <v>12796</v>
      </c>
      <c r="AQ98" s="2">
        <v>77851.571429999996</v>
      </c>
      <c r="AR98" s="2">
        <v>0.25</v>
      </c>
      <c r="AS98" s="2">
        <v>2501</v>
      </c>
      <c r="AT98" s="2">
        <v>20008</v>
      </c>
      <c r="AU98" s="2">
        <v>80406.875</v>
      </c>
      <c r="AV98" s="2">
        <v>0.37</v>
      </c>
      <c r="AW98" s="2">
        <v>2967</v>
      </c>
      <c r="AX98" s="2">
        <v>23736</v>
      </c>
      <c r="AY98" s="2">
        <v>64788.125</v>
      </c>
      <c r="AZ98" s="2">
        <v>0.19</v>
      </c>
      <c r="BA98" s="2" t="s">
        <v>590</v>
      </c>
      <c r="BB98" s="2" t="e">
        <v>#VALUE!</v>
      </c>
      <c r="BC98" s="2"/>
      <c r="BD98" s="2">
        <v>106868</v>
      </c>
      <c r="BE98" s="2">
        <v>188503</v>
      </c>
      <c r="BF98" s="2">
        <v>0.76</v>
      </c>
      <c r="BG98" s="2">
        <v>334901</v>
      </c>
      <c r="BH98" s="2">
        <v>0.78</v>
      </c>
      <c r="BI98" s="2">
        <v>557757</v>
      </c>
      <c r="BJ98" s="2">
        <v>0.67</v>
      </c>
      <c r="BK98" s="2">
        <v>663263</v>
      </c>
      <c r="BL98" s="2">
        <v>0.19</v>
      </c>
      <c r="BM98" s="2">
        <v>542041</v>
      </c>
      <c r="BN98" s="2">
        <v>-0.18</v>
      </c>
      <c r="BO98" s="2">
        <v>35778</v>
      </c>
      <c r="BP98" s="2">
        <v>84072</v>
      </c>
      <c r="BQ98" s="2">
        <v>1.35</v>
      </c>
      <c r="BR98" s="2">
        <v>66634</v>
      </c>
      <c r="BS98" s="2">
        <v>-0.21</v>
      </c>
      <c r="BT98" s="2">
        <v>88738</v>
      </c>
      <c r="BU98" s="2">
        <v>0.33</v>
      </c>
      <c r="BV98" s="2">
        <v>100252</v>
      </c>
      <c r="BW98" s="2">
        <v>0.13</v>
      </c>
      <c r="BX98" s="2">
        <v>89946</v>
      </c>
      <c r="BY98" s="2">
        <v>-0.1</v>
      </c>
      <c r="BZ98" s="2" t="s">
        <v>1358</v>
      </c>
      <c r="CA98" s="2"/>
      <c r="CB98" s="2"/>
      <c r="CC98" s="2"/>
      <c r="CD98" s="2" t="s">
        <v>95</v>
      </c>
      <c r="CE98" s="2" t="s">
        <v>1137</v>
      </c>
    </row>
    <row r="99" spans="1:83" x14ac:dyDescent="0.2">
      <c r="A99" s="41" t="s">
        <v>877</v>
      </c>
      <c r="B99" s="41" t="s">
        <v>1667</v>
      </c>
      <c r="C99" s="2" t="s">
        <v>1668</v>
      </c>
      <c r="D99" s="2">
        <v>702200</v>
      </c>
      <c r="E99" s="2" t="s">
        <v>844</v>
      </c>
      <c r="F99" s="2"/>
      <c r="G99" s="2"/>
      <c r="H99" s="2"/>
      <c r="I99" s="2"/>
      <c r="J99" s="2">
        <v>300646038</v>
      </c>
      <c r="K99" s="2" t="s">
        <v>878</v>
      </c>
      <c r="L99" s="2" t="s">
        <v>1669</v>
      </c>
      <c r="M99" s="2" t="s">
        <v>880</v>
      </c>
      <c r="N99" s="2" t="s">
        <v>171</v>
      </c>
      <c r="O99" s="2" t="s">
        <v>881</v>
      </c>
      <c r="P99" s="2" t="s">
        <v>80</v>
      </c>
      <c r="Q99" s="2">
        <v>37061013070</v>
      </c>
      <c r="R99" s="2" t="s">
        <v>589</v>
      </c>
      <c r="S99" s="2" t="s">
        <v>515</v>
      </c>
      <c r="T99" s="3">
        <v>0.14285714285714285</v>
      </c>
      <c r="U99" s="2" t="s">
        <v>589</v>
      </c>
      <c r="V99" s="3">
        <v>-0.125</v>
      </c>
      <c r="W99" s="2" t="s">
        <v>705</v>
      </c>
      <c r="X99" s="3">
        <v>-0.14285714285714285</v>
      </c>
      <c r="Y99" s="2" t="s">
        <v>705</v>
      </c>
      <c r="Z99" s="3">
        <v>0</v>
      </c>
      <c r="AA99" s="2" t="s">
        <v>514</v>
      </c>
      <c r="AB99" s="3">
        <v>-0.16666666666666666</v>
      </c>
      <c r="AC99" s="2">
        <v>4</v>
      </c>
      <c r="AD99" s="2" t="s">
        <v>882</v>
      </c>
      <c r="AE99" s="2">
        <f>_20250609_reklama_data[[#This Row],[Atlyginimų vidurkis 2019]]*_20250609_reklama_data[[#This Row],[Darbuotojai 2019]]*12</f>
        <v>136920</v>
      </c>
      <c r="AF99" s="2">
        <f>(_20250609_reklama_data[[#This Row],[Apyvarta 2019]]-_20250609_reklama_data[[#This Row],[Atlyginimų sąnaudos 2019]])/_20250609_reklama_data[[#This Row],[Darbuotojai 2019]]</f>
        <v>6731.5714285714284</v>
      </c>
      <c r="AG99" s="2" t="s">
        <v>883</v>
      </c>
      <c r="AH99" s="2">
        <f>_20250609_reklama_data[[#This Row],[Atlyginimų vidurkis 2020]]*_20250609_reklama_data[[#This Row],[Darbuotojai 2020]]*12</f>
        <v>155520</v>
      </c>
      <c r="AI99" s="2">
        <f>(_20250609_reklama_data[[#This Row],[Apyvarta 2020]]-_20250609_reklama_data[[#This Row],[Atlyginimų sąnaudos 2020]])/_20250609_reklama_data[[#This Row],[Darbuotojai 2020]]</f>
        <v>3718.5</v>
      </c>
      <c r="AJ99" s="3">
        <v>-6.1349693251533744E-3</v>
      </c>
      <c r="AK99" s="2" t="s">
        <v>884</v>
      </c>
      <c r="AL99" s="2">
        <f>_20250609_reklama_data[[#This Row],[Atlyginimų vidurkis 2021]]*_20250609_reklama_data[[#This Row],[Darbuotojai 2021]]*12</f>
        <v>148680</v>
      </c>
      <c r="AM99" s="2">
        <f>(_20250609_reklama_data[[#This Row],[Apyvarta 2021]]-_20250609_reklama_data[[#This Row],[Atlyginimų sąnaudos 2021]])/_20250609_reklama_data[[#This Row],[Darbuotojai 2021]]</f>
        <v>-1654.8571428571429</v>
      </c>
      <c r="AN99" s="3">
        <v>9.2592592592592587E-2</v>
      </c>
      <c r="AO99" s="2" t="s">
        <v>885</v>
      </c>
      <c r="AP99" s="2">
        <f>_20250609_reklama_data[[#This Row],[Atlyginimų vidurkis 2022]]*_20250609_reklama_data[[#This Row],[Darbuotojai 2022]]*12</f>
        <v>91584</v>
      </c>
      <c r="AQ99" s="2">
        <f>(_20250609_reklama_data[[#This Row],[Apyvarta 2022]]-_20250609_reklama_data[[#This Row],[Atlyginimų sąnaudos 2022]])/_20250609_reklama_data[[#This Row],[Darbuotojai 2022]]</f>
        <v>14147.333333333334</v>
      </c>
      <c r="AR99" s="3">
        <v>-0.28135593220338984</v>
      </c>
      <c r="AS99" s="2" t="s">
        <v>886</v>
      </c>
      <c r="AT99" s="2">
        <f>_20250609_reklama_data[[#This Row],[Atlyginimų vidurkis 2023]]*_20250609_reklama_data[[#This Row],[Darbuotojai 2023]]*12</f>
        <v>67608</v>
      </c>
      <c r="AU99" s="2">
        <f>(_20250609_reklama_data[[#This Row],[Apyvarta 2023]]-_20250609_reklama_data[[#This Row],[Atlyginimų sąnaudos 2023]])/_20250609_reklama_data[[#This Row],[Darbuotojai 2023]]</f>
        <v>12900.833333333334</v>
      </c>
      <c r="AV99" s="3">
        <v>-0.2617924528301887</v>
      </c>
      <c r="AW99" s="2" t="s">
        <v>887</v>
      </c>
      <c r="AX99" s="2">
        <f>_20250609_reklama_data[[#This Row],[Atlyginimų vidurkis 2024]]*_20250609_reklama_data[[#This Row],[Darbuotojai 2024]]*12</f>
        <v>6960</v>
      </c>
      <c r="AY99" s="2">
        <f>(_20250609_reklama_data[[#This Row],[Apyvarta 2024]]-_20250609_reklama_data[[#This Row],[Atlyginimų sąnaudos 2024]])/_20250609_reklama_data[[#This Row],[Darbuotojai 2024]]</f>
        <v>16144.2</v>
      </c>
      <c r="AZ99" s="3">
        <v>-0.87646432374866878</v>
      </c>
      <c r="BA99" s="2" t="s">
        <v>888</v>
      </c>
      <c r="BB99" s="2">
        <f>_20250609_reklama_data[[#This Row],[Atlyginimų vidurkis 2025 04]]*_20250609_reklama_data[[#This Row],[Darbuotojai 2025 06 09]]*5</f>
        <v>1467.2</v>
      </c>
      <c r="BC99" s="2" t="s">
        <v>80</v>
      </c>
      <c r="BD99" s="2">
        <v>184041</v>
      </c>
      <c r="BE99" s="2">
        <v>185268</v>
      </c>
      <c r="BF99" s="3">
        <v>6.6669926809786954E-3</v>
      </c>
      <c r="BG99" s="2">
        <v>137096</v>
      </c>
      <c r="BH99" s="3">
        <v>-0.26001252239998274</v>
      </c>
      <c r="BI99" s="2">
        <v>176468</v>
      </c>
      <c r="BJ99" s="3">
        <v>0.28718562175409934</v>
      </c>
      <c r="BK99" s="2">
        <v>145013</v>
      </c>
      <c r="BL99" s="3">
        <v>-0.17824761429834304</v>
      </c>
      <c r="BM99" s="2">
        <v>87681</v>
      </c>
      <c r="BN99" s="3">
        <v>-0.39535765758931957</v>
      </c>
      <c r="BO99" s="2">
        <v>-34145</v>
      </c>
      <c r="BP99" s="2">
        <v>-45413</v>
      </c>
      <c r="BQ99" s="3">
        <v>-0.33000439302972601</v>
      </c>
      <c r="BR99" s="2">
        <v>-69299</v>
      </c>
      <c r="BS99" s="3">
        <v>-0.52597273908352205</v>
      </c>
      <c r="BT99" s="2">
        <v>25601</v>
      </c>
      <c r="BU99" s="3">
        <v>1.36942813027605</v>
      </c>
      <c r="BV99" s="2">
        <v>35044</v>
      </c>
      <c r="BW99" s="3">
        <v>0.36885277918831294</v>
      </c>
      <c r="BX99" s="2">
        <v>86705</v>
      </c>
      <c r="BY99" s="3">
        <v>1.4741753224517748</v>
      </c>
      <c r="BZ99" s="2" t="s">
        <v>890</v>
      </c>
      <c r="CA99" s="2" t="s">
        <v>1670</v>
      </c>
      <c r="CB99" s="2" t="s">
        <v>80</v>
      </c>
      <c r="CC99" s="2" t="s">
        <v>1671</v>
      </c>
      <c r="CD99" s="2" t="s">
        <v>891</v>
      </c>
      <c r="CE99" s="2" t="s">
        <v>892</v>
      </c>
    </row>
    <row r="100" spans="1:83" x14ac:dyDescent="0.2">
      <c r="A100" s="41" t="s">
        <v>842</v>
      </c>
      <c r="B100" s="41" t="s">
        <v>1672</v>
      </c>
      <c r="C100" s="2" t="s">
        <v>843</v>
      </c>
      <c r="D100" s="2">
        <v>702200</v>
      </c>
      <c r="E100" s="2" t="s">
        <v>844</v>
      </c>
      <c r="F100" s="2"/>
      <c r="G100" s="2"/>
      <c r="H100" s="2"/>
      <c r="I100" s="2"/>
      <c r="J100" s="2">
        <v>302982411</v>
      </c>
      <c r="K100" s="2" t="s">
        <v>845</v>
      </c>
      <c r="L100" s="2" t="s">
        <v>1673</v>
      </c>
      <c r="M100" s="2" t="s">
        <v>847</v>
      </c>
      <c r="N100" s="2" t="s">
        <v>171</v>
      </c>
      <c r="O100" s="2" t="s">
        <v>848</v>
      </c>
      <c r="P100" s="2" t="s">
        <v>849</v>
      </c>
      <c r="Q100" s="2">
        <v>37067603353</v>
      </c>
      <c r="R100" s="2" t="s">
        <v>590</v>
      </c>
      <c r="S100" s="2" t="s">
        <v>590</v>
      </c>
      <c r="T100" s="3" t="s">
        <v>590</v>
      </c>
      <c r="U100" s="2" t="s">
        <v>590</v>
      </c>
      <c r="V100" s="2" t="s">
        <v>590</v>
      </c>
      <c r="W100" s="2" t="s">
        <v>752</v>
      </c>
      <c r="X100" s="2" t="s">
        <v>590</v>
      </c>
      <c r="Y100" s="2" t="s">
        <v>752</v>
      </c>
      <c r="Z100" s="3">
        <v>0</v>
      </c>
      <c r="AA100" s="2" t="s">
        <v>752</v>
      </c>
      <c r="AB100" s="3">
        <v>0</v>
      </c>
      <c r="AC100" s="2">
        <v>1</v>
      </c>
      <c r="AD100" s="2" t="s">
        <v>590</v>
      </c>
      <c r="AE100" s="2" t="s">
        <v>590</v>
      </c>
      <c r="AF100" s="2" t="s">
        <v>590</v>
      </c>
      <c r="AG100" s="2" t="s">
        <v>590</v>
      </c>
      <c r="AH100" s="2" t="s">
        <v>590</v>
      </c>
      <c r="AI100" s="2" t="s">
        <v>590</v>
      </c>
      <c r="AJ100" s="2" t="s">
        <v>590</v>
      </c>
      <c r="AK100" s="2" t="s">
        <v>590</v>
      </c>
      <c r="AL100" s="2" t="s">
        <v>590</v>
      </c>
      <c r="AM100" s="2" t="s">
        <v>590</v>
      </c>
      <c r="AN100" s="2" t="s">
        <v>590</v>
      </c>
      <c r="AO100" s="2" t="s">
        <v>590</v>
      </c>
      <c r="AP100" s="2" t="s">
        <v>590</v>
      </c>
      <c r="AQ100" s="2" t="s">
        <v>590</v>
      </c>
      <c r="AR100" s="2" t="s">
        <v>590</v>
      </c>
      <c r="AS100" s="2" t="s">
        <v>590</v>
      </c>
      <c r="AT100" s="2" t="s">
        <v>590</v>
      </c>
      <c r="AU100" s="2" t="s">
        <v>590</v>
      </c>
      <c r="AV100" s="2" t="s">
        <v>590</v>
      </c>
      <c r="AW100" s="2" t="s">
        <v>590</v>
      </c>
      <c r="AX100" s="2" t="s">
        <v>590</v>
      </c>
      <c r="AY100" s="2" t="s">
        <v>590</v>
      </c>
      <c r="AZ100" s="2" t="s">
        <v>590</v>
      </c>
      <c r="BA100" s="2" t="s">
        <v>590</v>
      </c>
      <c r="BB100" s="2" t="s">
        <v>590</v>
      </c>
      <c r="BC100" s="2">
        <v>0.76</v>
      </c>
      <c r="BD100" s="2"/>
      <c r="BE100" s="2"/>
      <c r="BF100" s="2" t="s">
        <v>590</v>
      </c>
      <c r="BG100" s="2">
        <v>20541</v>
      </c>
      <c r="BH100" s="2" t="s">
        <v>590</v>
      </c>
      <c r="BI100" s="2">
        <v>109420</v>
      </c>
      <c r="BJ100" s="3">
        <v>4.3269071612871821</v>
      </c>
      <c r="BK100" s="2">
        <v>87472</v>
      </c>
      <c r="BL100" s="3">
        <v>-0.20058490221166148</v>
      </c>
      <c r="BM100" s="2">
        <v>124520</v>
      </c>
      <c r="BN100" s="3">
        <v>0.42354124748490946</v>
      </c>
      <c r="BO100" s="2">
        <v>0</v>
      </c>
      <c r="BP100" s="2">
        <v>0</v>
      </c>
      <c r="BQ100" s="2" t="s">
        <v>590</v>
      </c>
      <c r="BR100" s="2">
        <v>8091</v>
      </c>
      <c r="BS100" s="2" t="s">
        <v>590</v>
      </c>
      <c r="BT100" s="2">
        <v>-1170</v>
      </c>
      <c r="BU100" s="3">
        <v>-1.1446051167964404</v>
      </c>
      <c r="BV100" s="2">
        <v>-8800</v>
      </c>
      <c r="BW100" s="3">
        <v>-6.5213675213675204</v>
      </c>
      <c r="BX100" s="2">
        <v>4937</v>
      </c>
      <c r="BY100" s="3">
        <v>1.5610227272727299</v>
      </c>
      <c r="BZ100" s="2" t="s">
        <v>851</v>
      </c>
      <c r="CA100" s="2" t="s">
        <v>852</v>
      </c>
      <c r="CB100" s="2" t="s">
        <v>80</v>
      </c>
      <c r="CC100" s="2" t="s">
        <v>853</v>
      </c>
      <c r="CD100" s="2" t="s">
        <v>95</v>
      </c>
      <c r="CE100" s="2" t="s">
        <v>854</v>
      </c>
    </row>
    <row r="101" spans="1:83" x14ac:dyDescent="0.2">
      <c r="A101" s="41" t="s">
        <v>600</v>
      </c>
      <c r="B101" s="41" t="s">
        <v>1674</v>
      </c>
      <c r="C101" s="2" t="s">
        <v>601</v>
      </c>
      <c r="D101" s="2">
        <v>731100</v>
      </c>
      <c r="E101" s="2" t="s">
        <v>508</v>
      </c>
      <c r="F101" s="2"/>
      <c r="G101" s="2"/>
      <c r="H101" s="2"/>
      <c r="I101" s="2"/>
      <c r="J101" s="2">
        <v>302856900</v>
      </c>
      <c r="K101" s="2" t="s">
        <v>602</v>
      </c>
      <c r="L101" s="2" t="s">
        <v>600</v>
      </c>
      <c r="M101" s="2" t="s">
        <v>603</v>
      </c>
      <c r="N101" s="2" t="s">
        <v>77</v>
      </c>
      <c r="O101" s="2" t="s">
        <v>604</v>
      </c>
      <c r="P101" s="2" t="s">
        <v>80</v>
      </c>
      <c r="Q101" s="2">
        <v>37062765286</v>
      </c>
      <c r="R101" s="2" t="s">
        <v>605</v>
      </c>
      <c r="S101" s="2" t="s">
        <v>605</v>
      </c>
      <c r="T101" s="3">
        <v>0</v>
      </c>
      <c r="U101" s="2" t="s">
        <v>174</v>
      </c>
      <c r="V101" s="3">
        <v>0.7</v>
      </c>
      <c r="W101" s="2" t="s">
        <v>176</v>
      </c>
      <c r="X101" s="3">
        <v>0.23529411764705882</v>
      </c>
      <c r="Y101" s="2" t="s">
        <v>237</v>
      </c>
      <c r="Z101" s="3">
        <v>4.7619047619047616E-2</v>
      </c>
      <c r="AA101" s="2" t="s">
        <v>409</v>
      </c>
      <c r="AB101" s="3">
        <v>4.5454545454545456E-2</v>
      </c>
      <c r="AC101" s="2">
        <v>26</v>
      </c>
      <c r="AD101" s="2" t="s">
        <v>134</v>
      </c>
      <c r="AE101" s="2">
        <f>_20250609_reklama_data[[#This Row],[Atlyginimų vidurkis 2019]]*_20250609_reklama_data[[#This Row],[Darbuotojai 2019]]*12</f>
        <v>246240</v>
      </c>
      <c r="AF101" s="2">
        <f>(_20250609_reklama_data[[#This Row],[Apyvarta 2019]]-_20250609_reklama_data[[#This Row],[Atlyginimų sąnaudos 2019]])/_20250609_reklama_data[[#This Row],[Darbuotojai 2019]]</f>
        <v>9267.9</v>
      </c>
      <c r="AG101" s="2" t="s">
        <v>378</v>
      </c>
      <c r="AH101" s="2">
        <f>_20250609_reklama_data[[#This Row],[Atlyginimų vidurkis 2020]]*_20250609_reklama_data[[#This Row],[Darbuotojai 2020]]*12</f>
        <v>261840</v>
      </c>
      <c r="AI101" s="2">
        <f>(_20250609_reklama_data[[#This Row],[Apyvarta 2020]]-_20250609_reklama_data[[#This Row],[Atlyginimų sąnaudos 2020]])/_20250609_reklama_data[[#This Row],[Darbuotojai 2020]]</f>
        <v>25262.1</v>
      </c>
      <c r="AJ101" s="3">
        <v>6.3352826510721244E-2</v>
      </c>
      <c r="AK101" s="2" t="s">
        <v>606</v>
      </c>
      <c r="AL101" s="2">
        <f>_20250609_reklama_data[[#This Row],[Atlyginimų vidurkis 2021]]*_20250609_reklama_data[[#This Row],[Darbuotojai 2021]]*12</f>
        <v>469404</v>
      </c>
      <c r="AM101" s="2">
        <f>(_20250609_reklama_data[[#This Row],[Apyvarta 2021]]-_20250609_reklama_data[[#This Row],[Atlyginimų sąnaudos 2021]])/_20250609_reklama_data[[#This Row],[Darbuotojai 2021]]</f>
        <v>16372.235294117647</v>
      </c>
      <c r="AN101" s="3">
        <v>5.4537121906507793E-2</v>
      </c>
      <c r="AO101" s="2" t="s">
        <v>607</v>
      </c>
      <c r="AP101" s="2">
        <f>_20250609_reklama_data[[#This Row],[Atlyginimų vidurkis 2022]]*_20250609_reklama_data[[#This Row],[Darbuotojai 2022]]*12</f>
        <v>670068</v>
      </c>
      <c r="AQ101" s="2">
        <f>(_20250609_reklama_data[[#This Row],[Apyvarta 2022]]-_20250609_reklama_data[[#This Row],[Atlyginimų sąnaudos 2022]])/_20250609_reklama_data[[#This Row],[Darbuotojai 2022]]</f>
        <v>14122.333333333334</v>
      </c>
      <c r="AR101" s="3">
        <v>0.15558452846588439</v>
      </c>
      <c r="AS101" s="2" t="s">
        <v>608</v>
      </c>
      <c r="AT101" s="2">
        <f>_20250609_reklama_data[[#This Row],[Atlyginimų vidurkis 2023]]*_20250609_reklama_data[[#This Row],[Darbuotojai 2023]]*12</f>
        <v>782496</v>
      </c>
      <c r="AU101" s="2">
        <f>(_20250609_reklama_data[[#This Row],[Apyvarta 2023]]-_20250609_reklama_data[[#This Row],[Atlyginimų sąnaudos 2023]])/_20250609_reklama_data[[#This Row],[Darbuotojai 2023]]</f>
        <v>14301.318181818182</v>
      </c>
      <c r="AV101" s="3">
        <v>0.11470477623166604</v>
      </c>
      <c r="AW101" s="2" t="s">
        <v>609</v>
      </c>
      <c r="AX101" s="2">
        <f>_20250609_reklama_data[[#This Row],[Atlyginimų vidurkis 2024]]*_20250609_reklama_data[[#This Row],[Darbuotojai 2024]]*12</f>
        <v>920736</v>
      </c>
      <c r="AY101" s="2">
        <f>(_20250609_reklama_data[[#This Row],[Apyvarta 2024]]-_20250609_reklama_data[[#This Row],[Atlyginimų sąnaudos 2024]])/_20250609_reklama_data[[#This Row],[Darbuotojai 2024]]</f>
        <v>14186.347826086956</v>
      </c>
      <c r="AZ101" s="3">
        <v>0.12550607287449392</v>
      </c>
      <c r="BA101" s="2" t="s">
        <v>610</v>
      </c>
      <c r="BB101" s="2">
        <f>_20250609_reklama_data[[#This Row],[Atlyginimų vidurkis 2025 04]]*_20250609_reklama_data[[#This Row],[Darbuotojai 2025 06 09]]*5</f>
        <v>526136</v>
      </c>
      <c r="BC101" s="2" t="s">
        <v>80</v>
      </c>
      <c r="BD101" s="2">
        <v>338919</v>
      </c>
      <c r="BE101" s="2">
        <v>514461</v>
      </c>
      <c r="BF101" s="3">
        <v>0.51794676604144352</v>
      </c>
      <c r="BG101" s="2">
        <v>747732</v>
      </c>
      <c r="BH101" s="3">
        <v>0.45342795663811253</v>
      </c>
      <c r="BI101" s="2">
        <v>966637</v>
      </c>
      <c r="BJ101" s="3">
        <v>0.29275863544692482</v>
      </c>
      <c r="BK101" s="2">
        <v>1097125</v>
      </c>
      <c r="BL101" s="3">
        <v>0.13499172905651241</v>
      </c>
      <c r="BM101" s="2">
        <v>1247022</v>
      </c>
      <c r="BN101" s="3">
        <v>0.13662709353993391</v>
      </c>
      <c r="BO101" s="2">
        <v>-3515</v>
      </c>
      <c r="BP101" s="2">
        <v>92489</v>
      </c>
      <c r="BQ101" s="3">
        <v>27.3126600284495</v>
      </c>
      <c r="BR101" s="2">
        <v>44239</v>
      </c>
      <c r="BS101" s="3">
        <v>-0.52168365967844821</v>
      </c>
      <c r="BT101" s="2">
        <v>-31125</v>
      </c>
      <c r="BU101" s="3">
        <v>-1.7035647279549719</v>
      </c>
      <c r="BV101" s="2">
        <v>9018</v>
      </c>
      <c r="BW101" s="3">
        <v>1.2897349397590401</v>
      </c>
      <c r="BX101" s="2">
        <v>111214</v>
      </c>
      <c r="BY101" s="3">
        <v>11.332446218673764</v>
      </c>
      <c r="BZ101" s="2" t="s">
        <v>612</v>
      </c>
      <c r="CA101" s="2" t="s">
        <v>1675</v>
      </c>
      <c r="CB101" s="2" t="s">
        <v>80</v>
      </c>
      <c r="CC101" s="2" t="s">
        <v>1676</v>
      </c>
      <c r="CD101" s="2" t="s">
        <v>95</v>
      </c>
      <c r="CE101" s="2" t="s">
        <v>613</v>
      </c>
    </row>
    <row r="102" spans="1:83" x14ac:dyDescent="0.2">
      <c r="A102" s="41" t="s">
        <v>165</v>
      </c>
      <c r="B102" s="41" t="s">
        <v>1677</v>
      </c>
      <c r="C102" s="2" t="s">
        <v>166</v>
      </c>
      <c r="D102" s="2">
        <v>631200</v>
      </c>
      <c r="E102" s="2" t="s">
        <v>167</v>
      </c>
      <c r="F102" s="2"/>
      <c r="G102" s="2"/>
      <c r="H102" s="2"/>
      <c r="I102" s="2"/>
      <c r="J102" s="2">
        <v>302795358</v>
      </c>
      <c r="K102" s="2" t="s">
        <v>168</v>
      </c>
      <c r="L102" s="2" t="s">
        <v>169</v>
      </c>
      <c r="M102" s="2" t="s">
        <v>170</v>
      </c>
      <c r="N102" s="2" t="s">
        <v>171</v>
      </c>
      <c r="O102" s="2" t="s">
        <v>172</v>
      </c>
      <c r="P102" s="2" t="s">
        <v>173</v>
      </c>
      <c r="Q102" s="2"/>
      <c r="R102" s="2" t="s">
        <v>174</v>
      </c>
      <c r="S102" s="2" t="s">
        <v>175</v>
      </c>
      <c r="T102" s="3">
        <v>0.17647058823529413</v>
      </c>
      <c r="U102" s="2" t="s">
        <v>176</v>
      </c>
      <c r="V102" s="3">
        <v>0.05</v>
      </c>
      <c r="W102" s="2" t="s">
        <v>151</v>
      </c>
      <c r="X102" s="3">
        <v>0.42857142857142855</v>
      </c>
      <c r="Y102" s="2" t="s">
        <v>153</v>
      </c>
      <c r="Z102" s="3">
        <v>0.16666666666666666</v>
      </c>
      <c r="AA102" s="2" t="s">
        <v>152</v>
      </c>
      <c r="AB102" s="3">
        <v>2.8571428571428571E-2</v>
      </c>
      <c r="AC102" s="2">
        <v>32</v>
      </c>
      <c r="AD102" s="2" t="s">
        <v>177</v>
      </c>
      <c r="AE102" s="2">
        <f>_20250609_reklama_data[[#This Row],[Atlyginimų vidurkis 2019]]*_20250609_reklama_data[[#This Row],[Darbuotojai 2019]]*12</f>
        <v>198288</v>
      </c>
      <c r="AF102" s="2">
        <f>(_20250609_reklama_data[[#This Row],[Apyvarta 2019]]-_20250609_reklama_data[[#This Row],[Atlyginimų sąnaudos 2019]])/_20250609_reklama_data[[#This Row],[Darbuotojai 2019]]</f>
        <v>55417.647058823532</v>
      </c>
      <c r="AG102" s="2" t="s">
        <v>178</v>
      </c>
      <c r="AH102" s="2">
        <f>_20250609_reklama_data[[#This Row],[Atlyginimų vidurkis 2020]]*_20250609_reklama_data[[#This Row],[Darbuotojai 2020]]*12</f>
        <v>305520</v>
      </c>
      <c r="AI102" s="2">
        <f>(_20250609_reklama_data[[#This Row],[Apyvarta 2020]]-_20250609_reklama_data[[#This Row],[Atlyginimų sąnaudos 2020]])/_20250609_reklama_data[[#This Row],[Darbuotojai 2020]]</f>
        <v>82046.600000000006</v>
      </c>
      <c r="AJ102" s="3">
        <v>0.30967078189300412</v>
      </c>
      <c r="AK102" s="2" t="s">
        <v>179</v>
      </c>
      <c r="AL102" s="2">
        <f>_20250609_reklama_data[[#This Row],[Atlyginimų vidurkis 2021]]*_20250609_reklama_data[[#This Row],[Darbuotojai 2021]]*12</f>
        <v>386820</v>
      </c>
      <c r="AM102" s="2">
        <f>(_20250609_reklama_data[[#This Row],[Apyvarta 2021]]-_20250609_reklama_data[[#This Row],[Atlyginimų sąnaudos 2021]])/_20250609_reklama_data[[#This Row],[Darbuotojai 2021]]</f>
        <v>314356.23809523811</v>
      </c>
      <c r="AN102" s="3">
        <v>0.20581304006284368</v>
      </c>
      <c r="AO102" s="2" t="s">
        <v>180</v>
      </c>
      <c r="AP102" s="2">
        <f>_20250609_reklama_data[[#This Row],[Atlyginimų vidurkis 2022]]*_20250609_reklama_data[[#This Row],[Darbuotojai 2022]]*12</f>
        <v>697680</v>
      </c>
      <c r="AQ102" s="2">
        <f>(_20250609_reklama_data[[#This Row],[Apyvarta 2022]]-_20250609_reklama_data[[#This Row],[Atlyginimų sąnaudos 2022]])/_20250609_reklama_data[[#This Row],[Darbuotojai 2022]]</f>
        <v>211185.1</v>
      </c>
      <c r="AR102" s="3">
        <v>0.26254071661237782</v>
      </c>
      <c r="AS102" s="2" t="s">
        <v>181</v>
      </c>
      <c r="AT102" s="2">
        <f>_20250609_reklama_data[[#This Row],[Atlyginimų vidurkis 2023]]*_20250609_reklama_data[[#This Row],[Darbuotojai 2023]]*12</f>
        <v>997080</v>
      </c>
      <c r="AU102" s="2">
        <f>(_20250609_reklama_data[[#This Row],[Apyvarta 2023]]-_20250609_reklama_data[[#This Row],[Atlyginimų sąnaudos 2023]])/_20250609_reklama_data[[#This Row],[Darbuotojai 2023]]</f>
        <v>221974.42857142858</v>
      </c>
      <c r="AV102" s="3">
        <v>0.22497420020639836</v>
      </c>
      <c r="AW102" s="2" t="s">
        <v>182</v>
      </c>
      <c r="AX102" s="2">
        <f>_20250609_reklama_data[[#This Row],[Atlyginimų vidurkis 2024]]*_20250609_reklama_data[[#This Row],[Darbuotojai 2024]]*12</f>
        <v>1078704</v>
      </c>
      <c r="AY102" s="2">
        <f>(_20250609_reklama_data[[#This Row],[Apyvarta 2024]]-_20250609_reklama_data[[#This Row],[Atlyginimų sąnaudos 2024]])/_20250609_reklama_data[[#This Row],[Darbuotojai 2024]]</f>
        <v>301471.36111111112</v>
      </c>
      <c r="AZ102" s="3">
        <v>5.1811288963774224E-2</v>
      </c>
      <c r="BA102" s="2" t="s">
        <v>183</v>
      </c>
      <c r="BB102" s="2">
        <f>_20250609_reklama_data[[#This Row],[Atlyginimų vidurkis 2025 04]]*_20250609_reklama_data[[#This Row],[Darbuotojai 2025 06 09]]*5</f>
        <v>423364.80000000005</v>
      </c>
      <c r="BC102" s="2" t="s">
        <v>80</v>
      </c>
      <c r="BD102" s="2">
        <v>1140388</v>
      </c>
      <c r="BE102" s="2">
        <v>1946452</v>
      </c>
      <c r="BF102" s="3">
        <v>0.70683311294050799</v>
      </c>
      <c r="BG102" s="2">
        <v>6988301</v>
      </c>
      <c r="BH102" s="3">
        <v>2.5902765647444683</v>
      </c>
      <c r="BI102" s="2">
        <v>7033233</v>
      </c>
      <c r="BJ102" s="3">
        <v>6.429602846242599E-3</v>
      </c>
      <c r="BK102" s="2">
        <v>8766185</v>
      </c>
      <c r="BL102" s="3">
        <v>0.24639479454185578</v>
      </c>
      <c r="BM102" s="2">
        <v>11931673</v>
      </c>
      <c r="BN102" s="3">
        <v>0.36110212139031972</v>
      </c>
      <c r="BO102" s="2">
        <v>100333</v>
      </c>
      <c r="BP102" s="2">
        <v>123598</v>
      </c>
      <c r="BQ102" s="3">
        <v>0.23187784677025505</v>
      </c>
      <c r="BR102" s="2">
        <v>143302</v>
      </c>
      <c r="BS102" s="3">
        <v>0.15942005534070131</v>
      </c>
      <c r="BT102" s="2">
        <v>-85287</v>
      </c>
      <c r="BU102" s="3">
        <v>-1.5951556851962987</v>
      </c>
      <c r="BV102" s="2">
        <v>49952</v>
      </c>
      <c r="BW102" s="3">
        <v>1.5856930130031499</v>
      </c>
      <c r="BX102" s="2">
        <v>-382931</v>
      </c>
      <c r="BY102" s="3">
        <v>-8.6659793401665599</v>
      </c>
      <c r="BZ102" s="2" t="s">
        <v>185</v>
      </c>
      <c r="CA102" s="2" t="s">
        <v>186</v>
      </c>
      <c r="CB102" s="2" t="s">
        <v>187</v>
      </c>
      <c r="CC102" s="2" t="s">
        <v>188</v>
      </c>
      <c r="CD102" s="2" t="s">
        <v>189</v>
      </c>
      <c r="CE102" s="2" t="s">
        <v>190</v>
      </c>
    </row>
    <row r="103" spans="1:83" x14ac:dyDescent="0.2">
      <c r="A103" s="42" t="s">
        <v>1678</v>
      </c>
      <c r="B103" s="41" t="s">
        <v>1679</v>
      </c>
      <c r="C103" s="2"/>
      <c r="D103" s="2"/>
      <c r="E103" s="2"/>
      <c r="F103" s="2"/>
      <c r="G103" s="2"/>
      <c r="H103" s="2"/>
      <c r="I103" s="2"/>
      <c r="J103" s="2">
        <v>302988072</v>
      </c>
      <c r="K103" s="2" t="s">
        <v>1297</v>
      </c>
      <c r="L103" s="2" t="s">
        <v>1295</v>
      </c>
      <c r="M103" s="2" t="s">
        <v>1298</v>
      </c>
      <c r="N103" s="2" t="s">
        <v>77</v>
      </c>
      <c r="O103" s="2" t="s">
        <v>1299</v>
      </c>
      <c r="P103" s="2"/>
      <c r="Q103" s="2">
        <v>37065222295</v>
      </c>
      <c r="R103" s="2">
        <v>14</v>
      </c>
      <c r="S103" s="2">
        <v>16</v>
      </c>
      <c r="T103" s="2">
        <v>0.14000000000000001</v>
      </c>
      <c r="U103" s="2">
        <v>16</v>
      </c>
      <c r="V103" s="2">
        <v>0</v>
      </c>
      <c r="W103" s="2">
        <v>13</v>
      </c>
      <c r="X103" s="2">
        <v>-0.19</v>
      </c>
      <c r="Y103" s="2">
        <v>11</v>
      </c>
      <c r="Z103" s="2">
        <v>-0.15</v>
      </c>
      <c r="AA103" s="2">
        <v>8</v>
      </c>
      <c r="AB103" s="2">
        <v>-0.27</v>
      </c>
      <c r="AC103" s="2">
        <v>7</v>
      </c>
      <c r="AD103" s="2">
        <v>1019</v>
      </c>
      <c r="AE103" s="2">
        <v>14266</v>
      </c>
      <c r="AF103" s="2">
        <v>37716.928569999996</v>
      </c>
      <c r="AG103" s="2">
        <v>974</v>
      </c>
      <c r="AH103" s="2">
        <v>15584</v>
      </c>
      <c r="AI103" s="2">
        <v>40152.75</v>
      </c>
      <c r="AJ103" s="2">
        <v>-0.04</v>
      </c>
      <c r="AK103" s="2">
        <v>1437</v>
      </c>
      <c r="AL103" s="2">
        <v>22992</v>
      </c>
      <c r="AM103" s="2">
        <v>45611.9375</v>
      </c>
      <c r="AN103" s="2">
        <v>0.48</v>
      </c>
      <c r="AO103" s="2">
        <v>1826</v>
      </c>
      <c r="AP103" s="2">
        <v>23738</v>
      </c>
      <c r="AQ103" s="2">
        <v>50845</v>
      </c>
      <c r="AR103" s="2">
        <v>0.27</v>
      </c>
      <c r="AS103" s="2">
        <v>2196</v>
      </c>
      <c r="AT103" s="2">
        <v>24156</v>
      </c>
      <c r="AU103" s="2">
        <v>58740.454550000002</v>
      </c>
      <c r="AV103" s="2">
        <v>0.2</v>
      </c>
      <c r="AW103" s="2">
        <v>2276</v>
      </c>
      <c r="AX103" s="2">
        <v>18208</v>
      </c>
      <c r="AY103" s="2">
        <v>98815.625</v>
      </c>
      <c r="AZ103" s="2">
        <v>0.04</v>
      </c>
      <c r="BA103" s="2">
        <v>2228</v>
      </c>
      <c r="BB103" s="2">
        <v>15596</v>
      </c>
      <c r="BC103" s="2"/>
      <c r="BD103" s="2">
        <v>542303</v>
      </c>
      <c r="BE103" s="2">
        <v>658028</v>
      </c>
      <c r="BF103" s="2">
        <v>0.21</v>
      </c>
      <c r="BG103" s="2">
        <v>752783</v>
      </c>
      <c r="BH103" s="2">
        <v>0.14000000000000001</v>
      </c>
      <c r="BI103" s="2">
        <v>684723</v>
      </c>
      <c r="BJ103" s="2">
        <v>-0.09</v>
      </c>
      <c r="BK103" s="2">
        <v>670301</v>
      </c>
      <c r="BL103" s="2">
        <v>-0.02</v>
      </c>
      <c r="BM103" s="2">
        <v>808733</v>
      </c>
      <c r="BN103" s="2">
        <v>0.21</v>
      </c>
      <c r="BO103" s="2">
        <v>4181</v>
      </c>
      <c r="BP103" s="2">
        <v>91256</v>
      </c>
      <c r="BQ103" s="2">
        <v>20.83</v>
      </c>
      <c r="BR103" s="2">
        <v>49223</v>
      </c>
      <c r="BS103" s="2">
        <v>-0.46</v>
      </c>
      <c r="BT103" s="2">
        <v>30056</v>
      </c>
      <c r="BU103" s="2">
        <v>-0.39</v>
      </c>
      <c r="BV103" s="2">
        <v>19561</v>
      </c>
      <c r="BW103" s="2">
        <v>-0.35</v>
      </c>
      <c r="BX103" s="2">
        <v>21444</v>
      </c>
      <c r="BY103" s="2">
        <v>0.1</v>
      </c>
      <c r="BZ103" s="2" t="s">
        <v>1300</v>
      </c>
      <c r="CA103" s="2"/>
      <c r="CB103" s="2"/>
      <c r="CC103" s="2"/>
      <c r="CD103" s="2" t="s">
        <v>628</v>
      </c>
      <c r="CE103" s="2" t="s">
        <v>1137</v>
      </c>
    </row>
    <row r="104" spans="1:83" x14ac:dyDescent="0.2">
      <c r="A104" s="42" t="s">
        <v>1680</v>
      </c>
      <c r="B104" s="41" t="s">
        <v>1681</v>
      </c>
      <c r="C104" s="2"/>
      <c r="D104" s="2"/>
      <c r="E104" s="2"/>
      <c r="F104" s="2"/>
      <c r="G104" s="2"/>
      <c r="H104" s="2"/>
      <c r="I104" s="2"/>
      <c r="J104" s="2">
        <v>304139541</v>
      </c>
      <c r="K104" s="2"/>
      <c r="L104" s="2"/>
      <c r="M104" s="2"/>
      <c r="N104" s="2"/>
      <c r="O104" s="2"/>
      <c r="P104" s="2"/>
      <c r="Q104" s="2"/>
      <c r="R104" s="2"/>
      <c r="S104" s="2"/>
      <c r="T104" s="2"/>
      <c r="U104" s="2"/>
      <c r="V104" s="2"/>
      <c r="W104" s="2"/>
      <c r="X104" s="2"/>
      <c r="Y104" s="2"/>
      <c r="Z104" s="2"/>
      <c r="AA104" s="2"/>
      <c r="AB104" s="2"/>
      <c r="AC104" s="2"/>
      <c r="AD104" s="2"/>
      <c r="AE104" s="2">
        <f>_20250609_reklama_data[[#This Row],[Atlyginimų vidurkis 2019]]*_20250609_reklama_data[[#This Row],[Darbuotojai 2019]]*12</f>
        <v>0</v>
      </c>
      <c r="AF104" s="2" t="e">
        <f>(_20250609_reklama_data[[#This Row],[Apyvarta 2019]]-_20250609_reklama_data[[#This Row],[Atlyginimų sąnaudos 2019]])/_20250609_reklama_data[[#This Row],[Darbuotojai 2019]]</f>
        <v>#DIV/0!</v>
      </c>
      <c r="AG104" s="2"/>
      <c r="AH104" s="2">
        <f>_20250609_reklama_data[[#This Row],[Atlyginimų vidurkis 2020]]*_20250609_reklama_data[[#This Row],[Darbuotojai 2020]]*12</f>
        <v>0</v>
      </c>
      <c r="AI104" s="2" t="e">
        <f>(_20250609_reklama_data[[#This Row],[Apyvarta 2020]]-_20250609_reklama_data[[#This Row],[Atlyginimų sąnaudos 2020]])/_20250609_reklama_data[[#This Row],[Darbuotojai 2020]]</f>
        <v>#DIV/0!</v>
      </c>
      <c r="AJ104" s="2"/>
      <c r="AK104" s="2"/>
      <c r="AL104" s="2">
        <f>_20250609_reklama_data[[#This Row],[Atlyginimų vidurkis 2021]]*_20250609_reklama_data[[#This Row],[Darbuotojai 2021]]*12</f>
        <v>0</v>
      </c>
      <c r="AM104" s="2" t="e">
        <f>(_20250609_reklama_data[[#This Row],[Apyvarta 2021]]-_20250609_reklama_data[[#This Row],[Atlyginimų sąnaudos 2021]])/_20250609_reklama_data[[#This Row],[Darbuotojai 2021]]</f>
        <v>#DIV/0!</v>
      </c>
      <c r="AN104" s="2"/>
      <c r="AO104" s="2"/>
      <c r="AP104" s="2">
        <f>_20250609_reklama_data[[#This Row],[Atlyginimų vidurkis 2022]]*_20250609_reklama_data[[#This Row],[Darbuotojai 2022]]*12</f>
        <v>0</v>
      </c>
      <c r="AQ104" s="2" t="e">
        <f>(_20250609_reklama_data[[#This Row],[Apyvarta 2022]]-_20250609_reklama_data[[#This Row],[Atlyginimų sąnaudos 2022]])/_20250609_reklama_data[[#This Row],[Darbuotojai 2022]]</f>
        <v>#DIV/0!</v>
      </c>
      <c r="AR104" s="2"/>
      <c r="AS104" s="2"/>
      <c r="AT104" s="2">
        <f>_20250609_reklama_data[[#This Row],[Atlyginimų vidurkis 2023]]*_20250609_reklama_data[[#This Row],[Darbuotojai 2023]]*12</f>
        <v>0</v>
      </c>
      <c r="AU104" s="2" t="e">
        <f>(_20250609_reklama_data[[#This Row],[Apyvarta 2023]]-_20250609_reklama_data[[#This Row],[Atlyginimų sąnaudos 2023]])/_20250609_reklama_data[[#This Row],[Darbuotojai 2023]]</f>
        <v>#DIV/0!</v>
      </c>
      <c r="AV104" s="2"/>
      <c r="AW104" s="2"/>
      <c r="AX104" s="2">
        <f>_20250609_reklama_data[[#This Row],[Atlyginimų vidurkis 2024]]*_20250609_reklama_data[[#This Row],[Darbuotojai 2024]]*12</f>
        <v>0</v>
      </c>
      <c r="AY104" s="2" t="e">
        <f>(_20250609_reklama_data[[#This Row],[Apyvarta 2024]]-_20250609_reklama_data[[#This Row],[Atlyginimų sąnaudos 2024]])/_20250609_reklama_data[[#This Row],[Darbuotojai 2024]]</f>
        <v>#DIV/0!</v>
      </c>
      <c r="AZ104" s="2"/>
      <c r="BA104" s="2"/>
      <c r="BB104" s="2">
        <f>_20250609_reklama_data[[#This Row],[Atlyginimų vidurkis 2025 04]]*_20250609_reklama_data[[#This Row],[Darbuotojai 2025 06 09]]*5</f>
        <v>0</v>
      </c>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row>
    <row r="105" spans="1:83" x14ac:dyDescent="0.2">
      <c r="A105" s="42" t="s">
        <v>1682</v>
      </c>
      <c r="B105" s="41" t="s">
        <v>1683</v>
      </c>
      <c r="C105" s="2"/>
      <c r="D105" s="2"/>
      <c r="E105" s="2"/>
      <c r="F105" s="2"/>
      <c r="G105" s="2"/>
      <c r="H105" s="2"/>
      <c r="I105" s="2"/>
      <c r="J105" s="2">
        <v>125837960</v>
      </c>
      <c r="K105" s="2"/>
      <c r="L105" s="2"/>
      <c r="M105" s="2"/>
      <c r="N105" s="2"/>
      <c r="O105" s="2"/>
      <c r="P105" s="2"/>
      <c r="Q105" s="2"/>
      <c r="R105" s="2"/>
      <c r="S105" s="2"/>
      <c r="T105" s="2"/>
      <c r="U105" s="2"/>
      <c r="V105" s="2"/>
      <c r="W105" s="2"/>
      <c r="X105" s="2"/>
      <c r="Y105" s="2"/>
      <c r="Z105" s="2"/>
      <c r="AA105" s="2"/>
      <c r="AB105" s="2"/>
      <c r="AC105" s="2"/>
      <c r="AD105" s="2"/>
      <c r="AE105" s="2">
        <f>_20250609_reklama_data[[#This Row],[Atlyginimų vidurkis 2019]]*_20250609_reklama_data[[#This Row],[Darbuotojai 2019]]*12</f>
        <v>0</v>
      </c>
      <c r="AF105" s="2" t="e">
        <f>(_20250609_reklama_data[[#This Row],[Apyvarta 2019]]-_20250609_reklama_data[[#This Row],[Atlyginimų sąnaudos 2019]])/_20250609_reklama_data[[#This Row],[Darbuotojai 2019]]</f>
        <v>#DIV/0!</v>
      </c>
      <c r="AG105" s="2"/>
      <c r="AH105" s="2">
        <f>_20250609_reklama_data[[#This Row],[Atlyginimų vidurkis 2020]]*_20250609_reklama_data[[#This Row],[Darbuotojai 2020]]*12</f>
        <v>0</v>
      </c>
      <c r="AI105" s="2" t="e">
        <f>(_20250609_reklama_data[[#This Row],[Apyvarta 2020]]-_20250609_reklama_data[[#This Row],[Atlyginimų sąnaudos 2020]])/_20250609_reklama_data[[#This Row],[Darbuotojai 2020]]</f>
        <v>#DIV/0!</v>
      </c>
      <c r="AJ105" s="2"/>
      <c r="AK105" s="2"/>
      <c r="AL105" s="2">
        <f>_20250609_reklama_data[[#This Row],[Atlyginimų vidurkis 2021]]*_20250609_reklama_data[[#This Row],[Darbuotojai 2021]]*12</f>
        <v>0</v>
      </c>
      <c r="AM105" s="2" t="e">
        <f>(_20250609_reklama_data[[#This Row],[Apyvarta 2021]]-_20250609_reklama_data[[#This Row],[Atlyginimų sąnaudos 2021]])/_20250609_reklama_data[[#This Row],[Darbuotojai 2021]]</f>
        <v>#DIV/0!</v>
      </c>
      <c r="AN105" s="2"/>
      <c r="AO105" s="2"/>
      <c r="AP105" s="2">
        <f>_20250609_reklama_data[[#This Row],[Atlyginimų vidurkis 2022]]*_20250609_reklama_data[[#This Row],[Darbuotojai 2022]]*12</f>
        <v>0</v>
      </c>
      <c r="AQ105" s="2" t="e">
        <f>(_20250609_reklama_data[[#This Row],[Apyvarta 2022]]-_20250609_reklama_data[[#This Row],[Atlyginimų sąnaudos 2022]])/_20250609_reklama_data[[#This Row],[Darbuotojai 2022]]</f>
        <v>#DIV/0!</v>
      </c>
      <c r="AR105" s="2"/>
      <c r="AS105" s="2"/>
      <c r="AT105" s="2">
        <f>_20250609_reklama_data[[#This Row],[Atlyginimų vidurkis 2023]]*_20250609_reklama_data[[#This Row],[Darbuotojai 2023]]*12</f>
        <v>0</v>
      </c>
      <c r="AU105" s="2" t="e">
        <f>(_20250609_reklama_data[[#This Row],[Apyvarta 2023]]-_20250609_reklama_data[[#This Row],[Atlyginimų sąnaudos 2023]])/_20250609_reklama_data[[#This Row],[Darbuotojai 2023]]</f>
        <v>#DIV/0!</v>
      </c>
      <c r="AV105" s="2"/>
      <c r="AW105" s="2"/>
      <c r="AX105" s="2">
        <f>_20250609_reklama_data[[#This Row],[Atlyginimų vidurkis 2024]]*_20250609_reklama_data[[#This Row],[Darbuotojai 2024]]*12</f>
        <v>0</v>
      </c>
      <c r="AY105" s="2" t="e">
        <f>(_20250609_reklama_data[[#This Row],[Apyvarta 2024]]-_20250609_reklama_data[[#This Row],[Atlyginimų sąnaudos 2024]])/_20250609_reklama_data[[#This Row],[Darbuotojai 2024]]</f>
        <v>#DIV/0!</v>
      </c>
      <c r="AZ105" s="2"/>
      <c r="BA105" s="2"/>
      <c r="BB105" s="2">
        <f>_20250609_reklama_data[[#This Row],[Atlyginimų vidurkis 2025 04]]*_20250609_reklama_data[[#This Row],[Darbuotojai 2025 06 09]]*5</f>
        <v>0</v>
      </c>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row>
    <row r="106" spans="1:83" x14ac:dyDescent="0.2">
      <c r="A106" s="42" t="s">
        <v>1684</v>
      </c>
      <c r="B106" s="41" t="s">
        <v>1685</v>
      </c>
      <c r="C106" s="2"/>
      <c r="D106" s="2"/>
      <c r="E106" s="2"/>
      <c r="F106" s="2"/>
      <c r="G106" s="2"/>
      <c r="H106" s="2"/>
      <c r="I106" s="2"/>
      <c r="J106" s="2">
        <v>135970471</v>
      </c>
      <c r="K106" s="2"/>
      <c r="L106" s="2"/>
      <c r="M106" s="2"/>
      <c r="N106" s="2"/>
      <c r="O106" s="2"/>
      <c r="P106" s="2"/>
      <c r="Q106" s="2"/>
      <c r="R106" s="2"/>
      <c r="S106" s="2"/>
      <c r="T106" s="2"/>
      <c r="U106" s="2"/>
      <c r="V106" s="2"/>
      <c r="W106" s="2"/>
      <c r="X106" s="2"/>
      <c r="Y106" s="2"/>
      <c r="Z106" s="2"/>
      <c r="AA106" s="2"/>
      <c r="AB106" s="2"/>
      <c r="AC106" s="2"/>
      <c r="AD106" s="2"/>
      <c r="AE106" s="2">
        <f>_20250609_reklama_data[[#This Row],[Atlyginimų vidurkis 2019]]*_20250609_reklama_data[[#This Row],[Darbuotojai 2019]]*12</f>
        <v>0</v>
      </c>
      <c r="AF106" s="2" t="e">
        <f>(_20250609_reklama_data[[#This Row],[Apyvarta 2019]]-_20250609_reklama_data[[#This Row],[Atlyginimų sąnaudos 2019]])/_20250609_reklama_data[[#This Row],[Darbuotojai 2019]]</f>
        <v>#DIV/0!</v>
      </c>
      <c r="AG106" s="2"/>
      <c r="AH106" s="2">
        <f>_20250609_reklama_data[[#This Row],[Atlyginimų vidurkis 2020]]*_20250609_reklama_data[[#This Row],[Darbuotojai 2020]]*12</f>
        <v>0</v>
      </c>
      <c r="AI106" s="2" t="e">
        <f>(_20250609_reklama_data[[#This Row],[Apyvarta 2020]]-_20250609_reklama_data[[#This Row],[Atlyginimų sąnaudos 2020]])/_20250609_reklama_data[[#This Row],[Darbuotojai 2020]]</f>
        <v>#DIV/0!</v>
      </c>
      <c r="AJ106" s="2"/>
      <c r="AK106" s="2"/>
      <c r="AL106" s="2">
        <f>_20250609_reklama_data[[#This Row],[Atlyginimų vidurkis 2021]]*_20250609_reklama_data[[#This Row],[Darbuotojai 2021]]*12</f>
        <v>0</v>
      </c>
      <c r="AM106" s="2" t="e">
        <f>(_20250609_reklama_data[[#This Row],[Apyvarta 2021]]-_20250609_reklama_data[[#This Row],[Atlyginimų sąnaudos 2021]])/_20250609_reklama_data[[#This Row],[Darbuotojai 2021]]</f>
        <v>#DIV/0!</v>
      </c>
      <c r="AN106" s="2"/>
      <c r="AO106" s="2"/>
      <c r="AP106" s="2">
        <f>_20250609_reklama_data[[#This Row],[Atlyginimų vidurkis 2022]]*_20250609_reklama_data[[#This Row],[Darbuotojai 2022]]*12</f>
        <v>0</v>
      </c>
      <c r="AQ106" s="2" t="e">
        <f>(_20250609_reklama_data[[#This Row],[Apyvarta 2022]]-_20250609_reklama_data[[#This Row],[Atlyginimų sąnaudos 2022]])/_20250609_reklama_data[[#This Row],[Darbuotojai 2022]]</f>
        <v>#DIV/0!</v>
      </c>
      <c r="AR106" s="2"/>
      <c r="AS106" s="2"/>
      <c r="AT106" s="2">
        <f>_20250609_reklama_data[[#This Row],[Atlyginimų vidurkis 2023]]*_20250609_reklama_data[[#This Row],[Darbuotojai 2023]]*12</f>
        <v>0</v>
      </c>
      <c r="AU106" s="2" t="e">
        <f>(_20250609_reklama_data[[#This Row],[Apyvarta 2023]]-_20250609_reklama_data[[#This Row],[Atlyginimų sąnaudos 2023]])/_20250609_reklama_data[[#This Row],[Darbuotojai 2023]]</f>
        <v>#DIV/0!</v>
      </c>
      <c r="AV106" s="2"/>
      <c r="AW106" s="2"/>
      <c r="AX106" s="2">
        <f>_20250609_reklama_data[[#This Row],[Atlyginimų vidurkis 2024]]*_20250609_reklama_data[[#This Row],[Darbuotojai 2024]]*12</f>
        <v>0</v>
      </c>
      <c r="AY106" s="2" t="e">
        <f>(_20250609_reklama_data[[#This Row],[Apyvarta 2024]]-_20250609_reklama_data[[#This Row],[Atlyginimų sąnaudos 2024]])/_20250609_reklama_data[[#This Row],[Darbuotojai 2024]]</f>
        <v>#DIV/0!</v>
      </c>
      <c r="AZ106" s="2"/>
      <c r="BA106" s="2"/>
      <c r="BB106" s="2">
        <f>_20250609_reklama_data[[#This Row],[Atlyginimų vidurkis 2025 04]]*_20250609_reklama_data[[#This Row],[Darbuotojai 2025 06 09]]*5</f>
        <v>0</v>
      </c>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row>
    <row r="107" spans="1:83" x14ac:dyDescent="0.2">
      <c r="A107" s="42" t="s">
        <v>1686</v>
      </c>
      <c r="B107" s="41" t="s">
        <v>1687</v>
      </c>
      <c r="C107" s="2"/>
      <c r="D107" s="2"/>
      <c r="E107" s="2"/>
      <c r="F107" s="2"/>
      <c r="G107" s="2"/>
      <c r="H107" s="2"/>
      <c r="I107" s="2"/>
      <c r="J107" s="2">
        <v>302979365</v>
      </c>
      <c r="K107" s="2"/>
      <c r="L107" s="2"/>
      <c r="M107" s="2"/>
      <c r="N107" s="2"/>
      <c r="O107" s="2"/>
      <c r="P107" s="2"/>
      <c r="Q107" s="2"/>
      <c r="R107" s="2"/>
      <c r="S107" s="2"/>
      <c r="T107" s="2"/>
      <c r="U107" s="2"/>
      <c r="V107" s="2"/>
      <c r="W107" s="2"/>
      <c r="X107" s="2"/>
      <c r="Y107" s="2"/>
      <c r="Z107" s="2"/>
      <c r="AA107" s="2"/>
      <c r="AB107" s="2"/>
      <c r="AC107" s="2"/>
      <c r="AD107" s="2"/>
      <c r="AE107" s="2">
        <f>_20250609_reklama_data[[#This Row],[Atlyginimų vidurkis 2019]]*_20250609_reklama_data[[#This Row],[Darbuotojai 2019]]*12</f>
        <v>0</v>
      </c>
      <c r="AF107" s="2" t="e">
        <f>(_20250609_reklama_data[[#This Row],[Apyvarta 2019]]-_20250609_reklama_data[[#This Row],[Atlyginimų sąnaudos 2019]])/_20250609_reklama_data[[#This Row],[Darbuotojai 2019]]</f>
        <v>#DIV/0!</v>
      </c>
      <c r="AG107" s="2"/>
      <c r="AH107" s="2">
        <f>_20250609_reklama_data[[#This Row],[Atlyginimų vidurkis 2020]]*_20250609_reklama_data[[#This Row],[Darbuotojai 2020]]*12</f>
        <v>0</v>
      </c>
      <c r="AI107" s="2" t="e">
        <f>(_20250609_reklama_data[[#This Row],[Apyvarta 2020]]-_20250609_reklama_data[[#This Row],[Atlyginimų sąnaudos 2020]])/_20250609_reklama_data[[#This Row],[Darbuotojai 2020]]</f>
        <v>#DIV/0!</v>
      </c>
      <c r="AJ107" s="2"/>
      <c r="AK107" s="2"/>
      <c r="AL107" s="2">
        <f>_20250609_reklama_data[[#This Row],[Atlyginimų vidurkis 2021]]*_20250609_reklama_data[[#This Row],[Darbuotojai 2021]]*12</f>
        <v>0</v>
      </c>
      <c r="AM107" s="2" t="e">
        <f>(_20250609_reklama_data[[#This Row],[Apyvarta 2021]]-_20250609_reklama_data[[#This Row],[Atlyginimų sąnaudos 2021]])/_20250609_reklama_data[[#This Row],[Darbuotojai 2021]]</f>
        <v>#DIV/0!</v>
      </c>
      <c r="AN107" s="2"/>
      <c r="AO107" s="2"/>
      <c r="AP107" s="2">
        <f>_20250609_reklama_data[[#This Row],[Atlyginimų vidurkis 2022]]*_20250609_reklama_data[[#This Row],[Darbuotojai 2022]]*12</f>
        <v>0</v>
      </c>
      <c r="AQ107" s="2" t="e">
        <f>(_20250609_reklama_data[[#This Row],[Apyvarta 2022]]-_20250609_reklama_data[[#This Row],[Atlyginimų sąnaudos 2022]])/_20250609_reklama_data[[#This Row],[Darbuotojai 2022]]</f>
        <v>#DIV/0!</v>
      </c>
      <c r="AR107" s="2"/>
      <c r="AS107" s="2"/>
      <c r="AT107" s="2">
        <f>_20250609_reklama_data[[#This Row],[Atlyginimų vidurkis 2023]]*_20250609_reklama_data[[#This Row],[Darbuotojai 2023]]*12</f>
        <v>0</v>
      </c>
      <c r="AU107" s="2" t="e">
        <f>(_20250609_reklama_data[[#This Row],[Apyvarta 2023]]-_20250609_reklama_data[[#This Row],[Atlyginimų sąnaudos 2023]])/_20250609_reklama_data[[#This Row],[Darbuotojai 2023]]</f>
        <v>#DIV/0!</v>
      </c>
      <c r="AV107" s="2"/>
      <c r="AW107" s="2"/>
      <c r="AX107" s="2">
        <f>_20250609_reklama_data[[#This Row],[Atlyginimų vidurkis 2024]]*_20250609_reklama_data[[#This Row],[Darbuotojai 2024]]*12</f>
        <v>0</v>
      </c>
      <c r="AY107" s="2" t="e">
        <f>(_20250609_reklama_data[[#This Row],[Apyvarta 2024]]-_20250609_reklama_data[[#This Row],[Atlyginimų sąnaudos 2024]])/_20250609_reklama_data[[#This Row],[Darbuotojai 2024]]</f>
        <v>#DIV/0!</v>
      </c>
      <c r="AZ107" s="2"/>
      <c r="BA107" s="2"/>
      <c r="BB107" s="2">
        <f>_20250609_reklama_data[[#This Row],[Atlyginimų vidurkis 2025 04]]*_20250609_reklama_data[[#This Row],[Darbuotojai 2025 06 09]]*5</f>
        <v>0</v>
      </c>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row>
    <row r="108" spans="1:83" x14ac:dyDescent="0.2">
      <c r="A108" s="42" t="s">
        <v>1688</v>
      </c>
      <c r="B108" s="41" t="s">
        <v>1689</v>
      </c>
      <c r="C108" s="2"/>
      <c r="D108" s="2"/>
      <c r="E108" s="2"/>
      <c r="F108" s="2"/>
      <c r="G108" s="2"/>
      <c r="H108" s="2"/>
      <c r="I108" s="2"/>
      <c r="J108" s="2">
        <v>305611450</v>
      </c>
      <c r="K108" s="2"/>
      <c r="L108" s="2"/>
      <c r="M108" s="2"/>
      <c r="N108" s="2"/>
      <c r="O108" s="2"/>
      <c r="P108" s="2"/>
      <c r="Q108" s="2"/>
      <c r="R108" s="2"/>
      <c r="S108" s="2"/>
      <c r="T108" s="2"/>
      <c r="U108" s="2"/>
      <c r="V108" s="2"/>
      <c r="W108" s="2"/>
      <c r="X108" s="2"/>
      <c r="Y108" s="2"/>
      <c r="Z108" s="2"/>
      <c r="AA108" s="2"/>
      <c r="AB108" s="2"/>
      <c r="AC108" s="2"/>
      <c r="AD108" s="2"/>
      <c r="AE108" s="2">
        <f>_20250609_reklama_data[[#This Row],[Atlyginimų vidurkis 2019]]*_20250609_reklama_data[[#This Row],[Darbuotojai 2019]]*12</f>
        <v>0</v>
      </c>
      <c r="AF108" s="2" t="e">
        <f>(_20250609_reklama_data[[#This Row],[Apyvarta 2019]]-_20250609_reklama_data[[#This Row],[Atlyginimų sąnaudos 2019]])/_20250609_reklama_data[[#This Row],[Darbuotojai 2019]]</f>
        <v>#DIV/0!</v>
      </c>
      <c r="AG108" s="2"/>
      <c r="AH108" s="2">
        <f>_20250609_reklama_data[[#This Row],[Atlyginimų vidurkis 2020]]*_20250609_reklama_data[[#This Row],[Darbuotojai 2020]]*12</f>
        <v>0</v>
      </c>
      <c r="AI108" s="2" t="e">
        <f>(_20250609_reklama_data[[#This Row],[Apyvarta 2020]]-_20250609_reklama_data[[#This Row],[Atlyginimų sąnaudos 2020]])/_20250609_reklama_data[[#This Row],[Darbuotojai 2020]]</f>
        <v>#DIV/0!</v>
      </c>
      <c r="AJ108" s="2"/>
      <c r="AK108" s="2"/>
      <c r="AL108" s="2">
        <f>_20250609_reklama_data[[#This Row],[Atlyginimų vidurkis 2021]]*_20250609_reklama_data[[#This Row],[Darbuotojai 2021]]*12</f>
        <v>0</v>
      </c>
      <c r="AM108" s="2" t="e">
        <f>(_20250609_reklama_data[[#This Row],[Apyvarta 2021]]-_20250609_reklama_data[[#This Row],[Atlyginimų sąnaudos 2021]])/_20250609_reklama_data[[#This Row],[Darbuotojai 2021]]</f>
        <v>#DIV/0!</v>
      </c>
      <c r="AN108" s="2"/>
      <c r="AO108" s="2"/>
      <c r="AP108" s="2">
        <f>_20250609_reklama_data[[#This Row],[Atlyginimų vidurkis 2022]]*_20250609_reklama_data[[#This Row],[Darbuotojai 2022]]*12</f>
        <v>0</v>
      </c>
      <c r="AQ108" s="2" t="e">
        <f>(_20250609_reklama_data[[#This Row],[Apyvarta 2022]]-_20250609_reklama_data[[#This Row],[Atlyginimų sąnaudos 2022]])/_20250609_reklama_data[[#This Row],[Darbuotojai 2022]]</f>
        <v>#DIV/0!</v>
      </c>
      <c r="AR108" s="2"/>
      <c r="AS108" s="2"/>
      <c r="AT108" s="2">
        <f>_20250609_reklama_data[[#This Row],[Atlyginimų vidurkis 2023]]*_20250609_reklama_data[[#This Row],[Darbuotojai 2023]]*12</f>
        <v>0</v>
      </c>
      <c r="AU108" s="2" t="e">
        <f>(_20250609_reklama_data[[#This Row],[Apyvarta 2023]]-_20250609_reklama_data[[#This Row],[Atlyginimų sąnaudos 2023]])/_20250609_reklama_data[[#This Row],[Darbuotojai 2023]]</f>
        <v>#DIV/0!</v>
      </c>
      <c r="AV108" s="2"/>
      <c r="AW108" s="2"/>
      <c r="AX108" s="2">
        <f>_20250609_reklama_data[[#This Row],[Atlyginimų vidurkis 2024]]*_20250609_reklama_data[[#This Row],[Darbuotojai 2024]]*12</f>
        <v>0</v>
      </c>
      <c r="AY108" s="2" t="e">
        <f>(_20250609_reklama_data[[#This Row],[Apyvarta 2024]]-_20250609_reklama_data[[#This Row],[Atlyginimų sąnaudos 2024]])/_20250609_reklama_data[[#This Row],[Darbuotojai 2024]]</f>
        <v>#DIV/0!</v>
      </c>
      <c r="AZ108" s="2"/>
      <c r="BA108" s="2"/>
      <c r="BB108" s="2">
        <f>_20250609_reklama_data[[#This Row],[Atlyginimų vidurkis 2025 04]]*_20250609_reklama_data[[#This Row],[Darbuotojai 2025 06 09]]*5</f>
        <v>0</v>
      </c>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row>
    <row r="109" spans="1:83" x14ac:dyDescent="0.2">
      <c r="A109" s="42" t="s">
        <v>1690</v>
      </c>
      <c r="B109" s="41" t="s">
        <v>1691</v>
      </c>
      <c r="C109" s="2"/>
      <c r="D109" s="2"/>
      <c r="E109" s="2"/>
      <c r="F109" s="2"/>
      <c r="G109" s="2"/>
      <c r="H109" s="2"/>
      <c r="I109" s="2"/>
      <c r="J109" s="2">
        <v>304065386</v>
      </c>
      <c r="K109" s="2"/>
      <c r="L109" s="2"/>
      <c r="M109" s="2"/>
      <c r="N109" s="2"/>
      <c r="O109" s="2"/>
      <c r="P109" s="2"/>
      <c r="Q109" s="2"/>
      <c r="R109" s="2"/>
      <c r="S109" s="2"/>
      <c r="T109" s="2"/>
      <c r="U109" s="2"/>
      <c r="V109" s="2"/>
      <c r="W109" s="2"/>
      <c r="X109" s="2"/>
      <c r="Y109" s="2"/>
      <c r="Z109" s="2"/>
      <c r="AA109" s="2"/>
      <c r="AB109" s="2"/>
      <c r="AC109" s="2"/>
      <c r="AD109" s="2"/>
      <c r="AE109" s="2">
        <f>_20250609_reklama_data[[#This Row],[Atlyginimų vidurkis 2019]]*_20250609_reklama_data[[#This Row],[Darbuotojai 2019]]*12</f>
        <v>0</v>
      </c>
      <c r="AF109" s="2" t="e">
        <f>(_20250609_reklama_data[[#This Row],[Apyvarta 2019]]-_20250609_reklama_data[[#This Row],[Atlyginimų sąnaudos 2019]])/_20250609_reklama_data[[#This Row],[Darbuotojai 2019]]</f>
        <v>#DIV/0!</v>
      </c>
      <c r="AG109" s="2"/>
      <c r="AH109" s="2">
        <f>_20250609_reklama_data[[#This Row],[Atlyginimų vidurkis 2020]]*_20250609_reklama_data[[#This Row],[Darbuotojai 2020]]*12</f>
        <v>0</v>
      </c>
      <c r="AI109" s="2" t="e">
        <f>(_20250609_reklama_data[[#This Row],[Apyvarta 2020]]-_20250609_reklama_data[[#This Row],[Atlyginimų sąnaudos 2020]])/_20250609_reklama_data[[#This Row],[Darbuotojai 2020]]</f>
        <v>#DIV/0!</v>
      </c>
      <c r="AJ109" s="2"/>
      <c r="AK109" s="2"/>
      <c r="AL109" s="2">
        <f>_20250609_reklama_data[[#This Row],[Atlyginimų vidurkis 2021]]*_20250609_reklama_data[[#This Row],[Darbuotojai 2021]]*12</f>
        <v>0</v>
      </c>
      <c r="AM109" s="2" t="e">
        <f>(_20250609_reklama_data[[#This Row],[Apyvarta 2021]]-_20250609_reklama_data[[#This Row],[Atlyginimų sąnaudos 2021]])/_20250609_reklama_data[[#This Row],[Darbuotojai 2021]]</f>
        <v>#DIV/0!</v>
      </c>
      <c r="AN109" s="2"/>
      <c r="AO109" s="2"/>
      <c r="AP109" s="2">
        <f>_20250609_reklama_data[[#This Row],[Atlyginimų vidurkis 2022]]*_20250609_reklama_data[[#This Row],[Darbuotojai 2022]]*12</f>
        <v>0</v>
      </c>
      <c r="AQ109" s="2" t="e">
        <f>(_20250609_reklama_data[[#This Row],[Apyvarta 2022]]-_20250609_reklama_data[[#This Row],[Atlyginimų sąnaudos 2022]])/_20250609_reklama_data[[#This Row],[Darbuotojai 2022]]</f>
        <v>#DIV/0!</v>
      </c>
      <c r="AR109" s="2"/>
      <c r="AS109" s="2"/>
      <c r="AT109" s="2">
        <f>_20250609_reklama_data[[#This Row],[Atlyginimų vidurkis 2023]]*_20250609_reklama_data[[#This Row],[Darbuotojai 2023]]*12</f>
        <v>0</v>
      </c>
      <c r="AU109" s="2" t="e">
        <f>(_20250609_reklama_data[[#This Row],[Apyvarta 2023]]-_20250609_reklama_data[[#This Row],[Atlyginimų sąnaudos 2023]])/_20250609_reklama_data[[#This Row],[Darbuotojai 2023]]</f>
        <v>#DIV/0!</v>
      </c>
      <c r="AV109" s="2"/>
      <c r="AW109" s="2"/>
      <c r="AX109" s="2">
        <f>_20250609_reklama_data[[#This Row],[Atlyginimų vidurkis 2024]]*_20250609_reklama_data[[#This Row],[Darbuotojai 2024]]*12</f>
        <v>0</v>
      </c>
      <c r="AY109" s="2" t="e">
        <f>(_20250609_reklama_data[[#This Row],[Apyvarta 2024]]-_20250609_reklama_data[[#This Row],[Atlyginimų sąnaudos 2024]])/_20250609_reklama_data[[#This Row],[Darbuotojai 2024]]</f>
        <v>#DIV/0!</v>
      </c>
      <c r="AZ109" s="2"/>
      <c r="BA109" s="2"/>
      <c r="BB109" s="2">
        <f>_20250609_reklama_data[[#This Row],[Atlyginimų vidurkis 2025 04]]*_20250609_reklama_data[[#This Row],[Darbuotojai 2025 06 09]]*5</f>
        <v>0</v>
      </c>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row>
    <row r="110" spans="1:83" x14ac:dyDescent="0.2">
      <c r="A110" s="42" t="s">
        <v>1692</v>
      </c>
      <c r="B110" s="41" t="s">
        <v>1693</v>
      </c>
      <c r="C110" s="2"/>
      <c r="D110" s="2"/>
      <c r="E110" s="2"/>
      <c r="F110" s="2"/>
      <c r="G110" s="2"/>
      <c r="H110" s="2"/>
      <c r="I110" s="2"/>
      <c r="J110" s="2">
        <v>304955338</v>
      </c>
      <c r="K110" s="2"/>
      <c r="L110" s="2"/>
      <c r="M110" s="2"/>
      <c r="N110" s="2"/>
      <c r="O110" s="2"/>
      <c r="P110" s="2"/>
      <c r="Q110" s="2"/>
      <c r="R110" s="2"/>
      <c r="S110" s="2"/>
      <c r="T110" s="2"/>
      <c r="U110" s="2"/>
      <c r="V110" s="2"/>
      <c r="W110" s="2"/>
      <c r="X110" s="2"/>
      <c r="Y110" s="2"/>
      <c r="Z110" s="2"/>
      <c r="AA110" s="2"/>
      <c r="AB110" s="2"/>
      <c r="AC110" s="2"/>
      <c r="AD110" s="2"/>
      <c r="AE110" s="2">
        <f>_20250609_reklama_data[[#This Row],[Atlyginimų vidurkis 2019]]*_20250609_reklama_data[[#This Row],[Darbuotojai 2019]]*12</f>
        <v>0</v>
      </c>
      <c r="AF110" s="2" t="e">
        <f>(_20250609_reklama_data[[#This Row],[Apyvarta 2019]]-_20250609_reklama_data[[#This Row],[Atlyginimų sąnaudos 2019]])/_20250609_reklama_data[[#This Row],[Darbuotojai 2019]]</f>
        <v>#DIV/0!</v>
      </c>
      <c r="AG110" s="2"/>
      <c r="AH110" s="2">
        <f>_20250609_reklama_data[[#This Row],[Atlyginimų vidurkis 2020]]*_20250609_reklama_data[[#This Row],[Darbuotojai 2020]]*12</f>
        <v>0</v>
      </c>
      <c r="AI110" s="2" t="e">
        <f>(_20250609_reklama_data[[#This Row],[Apyvarta 2020]]-_20250609_reklama_data[[#This Row],[Atlyginimų sąnaudos 2020]])/_20250609_reklama_data[[#This Row],[Darbuotojai 2020]]</f>
        <v>#DIV/0!</v>
      </c>
      <c r="AJ110" s="2"/>
      <c r="AK110" s="2"/>
      <c r="AL110" s="2">
        <f>_20250609_reklama_data[[#This Row],[Atlyginimų vidurkis 2021]]*_20250609_reklama_data[[#This Row],[Darbuotojai 2021]]*12</f>
        <v>0</v>
      </c>
      <c r="AM110" s="2" t="e">
        <f>(_20250609_reklama_data[[#This Row],[Apyvarta 2021]]-_20250609_reklama_data[[#This Row],[Atlyginimų sąnaudos 2021]])/_20250609_reklama_data[[#This Row],[Darbuotojai 2021]]</f>
        <v>#DIV/0!</v>
      </c>
      <c r="AN110" s="2"/>
      <c r="AO110" s="2"/>
      <c r="AP110" s="2">
        <f>_20250609_reklama_data[[#This Row],[Atlyginimų vidurkis 2022]]*_20250609_reklama_data[[#This Row],[Darbuotojai 2022]]*12</f>
        <v>0</v>
      </c>
      <c r="AQ110" s="2" t="e">
        <f>(_20250609_reklama_data[[#This Row],[Apyvarta 2022]]-_20250609_reklama_data[[#This Row],[Atlyginimų sąnaudos 2022]])/_20250609_reklama_data[[#This Row],[Darbuotojai 2022]]</f>
        <v>#DIV/0!</v>
      </c>
      <c r="AR110" s="2"/>
      <c r="AS110" s="2"/>
      <c r="AT110" s="2">
        <f>_20250609_reklama_data[[#This Row],[Atlyginimų vidurkis 2023]]*_20250609_reklama_data[[#This Row],[Darbuotojai 2023]]*12</f>
        <v>0</v>
      </c>
      <c r="AU110" s="2" t="e">
        <f>(_20250609_reklama_data[[#This Row],[Apyvarta 2023]]-_20250609_reklama_data[[#This Row],[Atlyginimų sąnaudos 2023]])/_20250609_reklama_data[[#This Row],[Darbuotojai 2023]]</f>
        <v>#DIV/0!</v>
      </c>
      <c r="AV110" s="2"/>
      <c r="AW110" s="2"/>
      <c r="AX110" s="2">
        <f>_20250609_reklama_data[[#This Row],[Atlyginimų vidurkis 2024]]*_20250609_reklama_data[[#This Row],[Darbuotojai 2024]]*12</f>
        <v>0</v>
      </c>
      <c r="AY110" s="2" t="e">
        <f>(_20250609_reklama_data[[#This Row],[Apyvarta 2024]]-_20250609_reklama_data[[#This Row],[Atlyginimų sąnaudos 2024]])/_20250609_reklama_data[[#This Row],[Darbuotojai 2024]]</f>
        <v>#DIV/0!</v>
      </c>
      <c r="AZ110" s="2"/>
      <c r="BA110" s="2"/>
      <c r="BB110" s="2">
        <f>_20250609_reklama_data[[#This Row],[Atlyginimų vidurkis 2025 04]]*_20250609_reklama_data[[#This Row],[Darbuotojai 2025 06 09]]*5</f>
        <v>0</v>
      </c>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row>
    <row r="111" spans="1:83" x14ac:dyDescent="0.2">
      <c r="A111" s="5" t="s">
        <v>1694</v>
      </c>
      <c r="B111" s="41" t="s">
        <v>1695</v>
      </c>
      <c r="C111" s="2"/>
      <c r="D111" s="2"/>
      <c r="E111" s="2"/>
      <c r="F111" s="2"/>
      <c r="G111" s="2"/>
      <c r="H111" s="2"/>
      <c r="I111" s="2"/>
      <c r="J111" s="2">
        <v>134738420</v>
      </c>
      <c r="K111" s="2"/>
      <c r="L111" s="2"/>
      <c r="M111" s="2"/>
      <c r="N111" s="2"/>
      <c r="O111" s="2"/>
      <c r="P111" s="2"/>
      <c r="Q111" s="2"/>
      <c r="R111" s="2"/>
      <c r="S111" s="2"/>
      <c r="T111" s="2"/>
      <c r="U111" s="2"/>
      <c r="V111" s="2"/>
      <c r="W111" s="2"/>
      <c r="X111" s="2"/>
      <c r="Y111" s="2"/>
      <c r="Z111" s="2"/>
      <c r="AA111" s="2"/>
      <c r="AB111" s="2"/>
      <c r="AC111" s="2"/>
      <c r="AD111" s="2"/>
      <c r="AE111" s="2">
        <f>_20250609_reklama_data[[#This Row],[Atlyginimų vidurkis 2019]]*_20250609_reklama_data[[#This Row],[Darbuotojai 2019]]*12</f>
        <v>0</v>
      </c>
      <c r="AF111" s="2" t="e">
        <f>(_20250609_reklama_data[[#This Row],[Apyvarta 2019]]-_20250609_reklama_data[[#This Row],[Atlyginimų sąnaudos 2019]])/_20250609_reklama_data[[#This Row],[Darbuotojai 2019]]</f>
        <v>#DIV/0!</v>
      </c>
      <c r="AG111" s="2"/>
      <c r="AH111" s="2">
        <f>_20250609_reklama_data[[#This Row],[Atlyginimų vidurkis 2020]]*_20250609_reklama_data[[#This Row],[Darbuotojai 2020]]*12</f>
        <v>0</v>
      </c>
      <c r="AI111" s="2" t="e">
        <f>(_20250609_reklama_data[[#This Row],[Apyvarta 2020]]-_20250609_reklama_data[[#This Row],[Atlyginimų sąnaudos 2020]])/_20250609_reklama_data[[#This Row],[Darbuotojai 2020]]</f>
        <v>#DIV/0!</v>
      </c>
      <c r="AJ111" s="2"/>
      <c r="AK111" s="2"/>
      <c r="AL111" s="2">
        <f>_20250609_reklama_data[[#This Row],[Atlyginimų vidurkis 2021]]*_20250609_reklama_data[[#This Row],[Darbuotojai 2021]]*12</f>
        <v>0</v>
      </c>
      <c r="AM111" s="2" t="e">
        <f>(_20250609_reklama_data[[#This Row],[Apyvarta 2021]]-_20250609_reklama_data[[#This Row],[Atlyginimų sąnaudos 2021]])/_20250609_reklama_data[[#This Row],[Darbuotojai 2021]]</f>
        <v>#DIV/0!</v>
      </c>
      <c r="AN111" s="2"/>
      <c r="AO111" s="2"/>
      <c r="AP111" s="2">
        <f>_20250609_reklama_data[[#This Row],[Atlyginimų vidurkis 2022]]*_20250609_reklama_data[[#This Row],[Darbuotojai 2022]]*12</f>
        <v>0</v>
      </c>
      <c r="AQ111" s="2" t="e">
        <f>(_20250609_reklama_data[[#This Row],[Apyvarta 2022]]-_20250609_reklama_data[[#This Row],[Atlyginimų sąnaudos 2022]])/_20250609_reklama_data[[#This Row],[Darbuotojai 2022]]</f>
        <v>#DIV/0!</v>
      </c>
      <c r="AR111" s="2"/>
      <c r="AS111" s="2"/>
      <c r="AT111" s="2">
        <f>_20250609_reklama_data[[#This Row],[Atlyginimų vidurkis 2023]]*_20250609_reklama_data[[#This Row],[Darbuotojai 2023]]*12</f>
        <v>0</v>
      </c>
      <c r="AU111" s="2" t="e">
        <f>(_20250609_reklama_data[[#This Row],[Apyvarta 2023]]-_20250609_reklama_data[[#This Row],[Atlyginimų sąnaudos 2023]])/_20250609_reklama_data[[#This Row],[Darbuotojai 2023]]</f>
        <v>#DIV/0!</v>
      </c>
      <c r="AV111" s="2"/>
      <c r="AW111" s="2"/>
      <c r="AX111" s="2">
        <f>_20250609_reklama_data[[#This Row],[Atlyginimų vidurkis 2024]]*_20250609_reklama_data[[#This Row],[Darbuotojai 2024]]*12</f>
        <v>0</v>
      </c>
      <c r="AY111" s="2" t="e">
        <f>(_20250609_reklama_data[[#This Row],[Apyvarta 2024]]-_20250609_reklama_data[[#This Row],[Atlyginimų sąnaudos 2024]])/_20250609_reklama_data[[#This Row],[Darbuotojai 2024]]</f>
        <v>#DIV/0!</v>
      </c>
      <c r="AZ111" s="2"/>
      <c r="BA111" s="2"/>
      <c r="BB111" s="2">
        <f>_20250609_reklama_data[[#This Row],[Atlyginimų vidurkis 2025 04]]*_20250609_reklama_data[[#This Row],[Darbuotojai 2025 06 09]]*5</f>
        <v>0</v>
      </c>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row>
    <row r="112" spans="1:83" x14ac:dyDescent="0.2">
      <c r="A112" s="42" t="s">
        <v>1696</v>
      </c>
      <c r="B112" s="41" t="s">
        <v>1697</v>
      </c>
      <c r="C112" s="2"/>
      <c r="D112" s="2"/>
      <c r="E112" s="2"/>
      <c r="F112" s="2"/>
      <c r="G112" s="2"/>
      <c r="H112" s="2"/>
      <c r="I112" s="2"/>
      <c r="J112" s="2">
        <v>304557170</v>
      </c>
      <c r="K112" s="2"/>
      <c r="L112" s="2"/>
      <c r="M112" s="2"/>
      <c r="N112" s="2"/>
      <c r="O112" s="2"/>
      <c r="P112" s="2"/>
      <c r="Q112" s="2"/>
      <c r="R112" s="2"/>
      <c r="S112" s="2"/>
      <c r="T112" s="2"/>
      <c r="U112" s="2"/>
      <c r="V112" s="2"/>
      <c r="W112" s="2"/>
      <c r="X112" s="2"/>
      <c r="Y112" s="2"/>
      <c r="Z112" s="2"/>
      <c r="AA112" s="2"/>
      <c r="AB112" s="2"/>
      <c r="AC112" s="2"/>
      <c r="AD112" s="2"/>
      <c r="AE112" s="2">
        <f>_20250609_reklama_data[[#This Row],[Atlyginimų vidurkis 2019]]*_20250609_reklama_data[[#This Row],[Darbuotojai 2019]]*12</f>
        <v>0</v>
      </c>
      <c r="AF112" s="2" t="e">
        <f>(_20250609_reklama_data[[#This Row],[Apyvarta 2019]]-_20250609_reklama_data[[#This Row],[Atlyginimų sąnaudos 2019]])/_20250609_reklama_data[[#This Row],[Darbuotojai 2019]]</f>
        <v>#DIV/0!</v>
      </c>
      <c r="AG112" s="2"/>
      <c r="AH112" s="2">
        <f>_20250609_reklama_data[[#This Row],[Atlyginimų vidurkis 2020]]*_20250609_reklama_data[[#This Row],[Darbuotojai 2020]]*12</f>
        <v>0</v>
      </c>
      <c r="AI112" s="2" t="e">
        <f>(_20250609_reklama_data[[#This Row],[Apyvarta 2020]]-_20250609_reklama_data[[#This Row],[Atlyginimų sąnaudos 2020]])/_20250609_reklama_data[[#This Row],[Darbuotojai 2020]]</f>
        <v>#DIV/0!</v>
      </c>
      <c r="AJ112" s="2"/>
      <c r="AK112" s="2"/>
      <c r="AL112" s="2">
        <f>_20250609_reklama_data[[#This Row],[Atlyginimų vidurkis 2021]]*_20250609_reklama_data[[#This Row],[Darbuotojai 2021]]*12</f>
        <v>0</v>
      </c>
      <c r="AM112" s="2" t="e">
        <f>(_20250609_reklama_data[[#This Row],[Apyvarta 2021]]-_20250609_reklama_data[[#This Row],[Atlyginimų sąnaudos 2021]])/_20250609_reklama_data[[#This Row],[Darbuotojai 2021]]</f>
        <v>#DIV/0!</v>
      </c>
      <c r="AN112" s="2"/>
      <c r="AO112" s="2"/>
      <c r="AP112" s="2">
        <f>_20250609_reklama_data[[#This Row],[Atlyginimų vidurkis 2022]]*_20250609_reklama_data[[#This Row],[Darbuotojai 2022]]*12</f>
        <v>0</v>
      </c>
      <c r="AQ112" s="2" t="e">
        <f>(_20250609_reklama_data[[#This Row],[Apyvarta 2022]]-_20250609_reklama_data[[#This Row],[Atlyginimų sąnaudos 2022]])/_20250609_reklama_data[[#This Row],[Darbuotojai 2022]]</f>
        <v>#DIV/0!</v>
      </c>
      <c r="AR112" s="2"/>
      <c r="AS112" s="2"/>
      <c r="AT112" s="2">
        <f>_20250609_reklama_data[[#This Row],[Atlyginimų vidurkis 2023]]*_20250609_reklama_data[[#This Row],[Darbuotojai 2023]]*12</f>
        <v>0</v>
      </c>
      <c r="AU112" s="2" t="e">
        <f>(_20250609_reklama_data[[#This Row],[Apyvarta 2023]]-_20250609_reklama_data[[#This Row],[Atlyginimų sąnaudos 2023]])/_20250609_reklama_data[[#This Row],[Darbuotojai 2023]]</f>
        <v>#DIV/0!</v>
      </c>
      <c r="AV112" s="2"/>
      <c r="AW112" s="2"/>
      <c r="AX112" s="2">
        <f>_20250609_reklama_data[[#This Row],[Atlyginimų vidurkis 2024]]*_20250609_reklama_data[[#This Row],[Darbuotojai 2024]]*12</f>
        <v>0</v>
      </c>
      <c r="AY112" s="2" t="e">
        <f>(_20250609_reklama_data[[#This Row],[Apyvarta 2024]]-_20250609_reklama_data[[#This Row],[Atlyginimų sąnaudos 2024]])/_20250609_reklama_data[[#This Row],[Darbuotojai 2024]]</f>
        <v>#DIV/0!</v>
      </c>
      <c r="AZ112" s="2"/>
      <c r="BA112" s="2"/>
      <c r="BB112" s="2">
        <f>_20250609_reklama_data[[#This Row],[Atlyginimų vidurkis 2025 04]]*_20250609_reklama_data[[#This Row],[Darbuotojai 2025 06 09]]*5</f>
        <v>0</v>
      </c>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row>
    <row r="113" spans="1:83" x14ac:dyDescent="0.2">
      <c r="A113" s="42" t="s">
        <v>1698</v>
      </c>
      <c r="B113" s="41" t="s">
        <v>1699</v>
      </c>
      <c r="C113" s="2"/>
      <c r="D113" s="2"/>
      <c r="E113" s="2"/>
      <c r="F113" s="2"/>
      <c r="G113" s="2"/>
      <c r="H113" s="2"/>
      <c r="I113" s="2"/>
      <c r="J113" s="2">
        <v>302466583</v>
      </c>
      <c r="K113" s="2"/>
      <c r="L113" s="2"/>
      <c r="M113" s="2"/>
      <c r="N113" s="2"/>
      <c r="O113" s="2"/>
      <c r="P113" s="2"/>
      <c r="Q113" s="2"/>
      <c r="R113" s="2"/>
      <c r="S113" s="2"/>
      <c r="T113" s="2"/>
      <c r="U113" s="2"/>
      <c r="V113" s="2"/>
      <c r="W113" s="2"/>
      <c r="X113" s="2"/>
      <c r="Y113" s="2"/>
      <c r="Z113" s="2"/>
      <c r="AA113" s="2"/>
      <c r="AB113" s="2"/>
      <c r="AC113" s="2"/>
      <c r="AD113" s="2"/>
      <c r="AE113" s="2">
        <f>_20250609_reklama_data[[#This Row],[Atlyginimų vidurkis 2019]]*_20250609_reklama_data[[#This Row],[Darbuotojai 2019]]*12</f>
        <v>0</v>
      </c>
      <c r="AF113" s="2" t="e">
        <f>(_20250609_reklama_data[[#This Row],[Apyvarta 2019]]-_20250609_reklama_data[[#This Row],[Atlyginimų sąnaudos 2019]])/_20250609_reklama_data[[#This Row],[Darbuotojai 2019]]</f>
        <v>#DIV/0!</v>
      </c>
      <c r="AG113" s="2"/>
      <c r="AH113" s="2">
        <f>_20250609_reklama_data[[#This Row],[Atlyginimų vidurkis 2020]]*_20250609_reklama_data[[#This Row],[Darbuotojai 2020]]*12</f>
        <v>0</v>
      </c>
      <c r="AI113" s="2" t="e">
        <f>(_20250609_reklama_data[[#This Row],[Apyvarta 2020]]-_20250609_reklama_data[[#This Row],[Atlyginimų sąnaudos 2020]])/_20250609_reklama_data[[#This Row],[Darbuotojai 2020]]</f>
        <v>#DIV/0!</v>
      </c>
      <c r="AJ113" s="2"/>
      <c r="AK113" s="2"/>
      <c r="AL113" s="2">
        <f>_20250609_reklama_data[[#This Row],[Atlyginimų vidurkis 2021]]*_20250609_reklama_data[[#This Row],[Darbuotojai 2021]]*12</f>
        <v>0</v>
      </c>
      <c r="AM113" s="2" t="e">
        <f>(_20250609_reklama_data[[#This Row],[Apyvarta 2021]]-_20250609_reklama_data[[#This Row],[Atlyginimų sąnaudos 2021]])/_20250609_reklama_data[[#This Row],[Darbuotojai 2021]]</f>
        <v>#DIV/0!</v>
      </c>
      <c r="AN113" s="2"/>
      <c r="AO113" s="2"/>
      <c r="AP113" s="2">
        <f>_20250609_reklama_data[[#This Row],[Atlyginimų vidurkis 2022]]*_20250609_reklama_data[[#This Row],[Darbuotojai 2022]]*12</f>
        <v>0</v>
      </c>
      <c r="AQ113" s="2" t="e">
        <f>(_20250609_reklama_data[[#This Row],[Apyvarta 2022]]-_20250609_reklama_data[[#This Row],[Atlyginimų sąnaudos 2022]])/_20250609_reklama_data[[#This Row],[Darbuotojai 2022]]</f>
        <v>#DIV/0!</v>
      </c>
      <c r="AR113" s="2"/>
      <c r="AS113" s="2"/>
      <c r="AT113" s="2">
        <f>_20250609_reklama_data[[#This Row],[Atlyginimų vidurkis 2023]]*_20250609_reklama_data[[#This Row],[Darbuotojai 2023]]*12</f>
        <v>0</v>
      </c>
      <c r="AU113" s="2" t="e">
        <f>(_20250609_reklama_data[[#This Row],[Apyvarta 2023]]-_20250609_reklama_data[[#This Row],[Atlyginimų sąnaudos 2023]])/_20250609_reklama_data[[#This Row],[Darbuotojai 2023]]</f>
        <v>#DIV/0!</v>
      </c>
      <c r="AV113" s="2"/>
      <c r="AW113" s="2"/>
      <c r="AX113" s="2">
        <f>_20250609_reklama_data[[#This Row],[Atlyginimų vidurkis 2024]]*_20250609_reklama_data[[#This Row],[Darbuotojai 2024]]*12</f>
        <v>0</v>
      </c>
      <c r="AY113" s="2" t="e">
        <f>(_20250609_reklama_data[[#This Row],[Apyvarta 2024]]-_20250609_reklama_data[[#This Row],[Atlyginimų sąnaudos 2024]])/_20250609_reklama_data[[#This Row],[Darbuotojai 2024]]</f>
        <v>#DIV/0!</v>
      </c>
      <c r="AZ113" s="2"/>
      <c r="BA113" s="2"/>
      <c r="BB113" s="2">
        <f>_20250609_reklama_data[[#This Row],[Atlyginimų vidurkis 2025 04]]*_20250609_reklama_data[[#This Row],[Darbuotojai 2025 06 09]]*5</f>
        <v>0</v>
      </c>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row>
    <row r="114" spans="1:83" x14ac:dyDescent="0.2">
      <c r="B114" s="4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f>_20250609_reklama_data[[#This Row],[Atlyginimų vidurkis 2019]]*_20250609_reklama_data[[#This Row],[Darbuotojai 2019]]*12</f>
        <v>0</v>
      </c>
      <c r="AF114" s="2" t="e">
        <f>(_20250609_reklama_data[[#This Row],[Apyvarta 2019]]-_20250609_reklama_data[[#This Row],[Atlyginimų sąnaudos 2019]])/_20250609_reklama_data[[#This Row],[Darbuotojai 2019]]</f>
        <v>#DIV/0!</v>
      </c>
      <c r="AG114" s="2"/>
      <c r="AH114" s="2">
        <f>_20250609_reklama_data[[#This Row],[Atlyginimų vidurkis 2020]]*_20250609_reklama_data[[#This Row],[Darbuotojai 2020]]*12</f>
        <v>0</v>
      </c>
      <c r="AI114" s="2" t="e">
        <f>(_20250609_reklama_data[[#This Row],[Apyvarta 2020]]-_20250609_reklama_data[[#This Row],[Atlyginimų sąnaudos 2020]])/_20250609_reklama_data[[#This Row],[Darbuotojai 2020]]</f>
        <v>#DIV/0!</v>
      </c>
      <c r="AJ114" s="2"/>
      <c r="AK114" s="2"/>
      <c r="AL114" s="2">
        <f>_20250609_reklama_data[[#This Row],[Atlyginimų vidurkis 2021]]*_20250609_reklama_data[[#This Row],[Darbuotojai 2021]]*12</f>
        <v>0</v>
      </c>
      <c r="AM114" s="2" t="e">
        <f>(_20250609_reklama_data[[#This Row],[Apyvarta 2021]]-_20250609_reklama_data[[#This Row],[Atlyginimų sąnaudos 2021]])/_20250609_reklama_data[[#This Row],[Darbuotojai 2021]]</f>
        <v>#DIV/0!</v>
      </c>
      <c r="AN114" s="2"/>
      <c r="AO114" s="2"/>
      <c r="AP114" s="2">
        <f>_20250609_reklama_data[[#This Row],[Atlyginimų vidurkis 2022]]*_20250609_reklama_data[[#This Row],[Darbuotojai 2022]]*12</f>
        <v>0</v>
      </c>
      <c r="AQ114" s="2" t="e">
        <f>(_20250609_reklama_data[[#This Row],[Apyvarta 2022]]-_20250609_reklama_data[[#This Row],[Atlyginimų sąnaudos 2022]])/_20250609_reklama_data[[#This Row],[Darbuotojai 2022]]</f>
        <v>#DIV/0!</v>
      </c>
      <c r="AR114" s="2"/>
      <c r="AS114" s="2"/>
      <c r="AT114" s="2">
        <f>_20250609_reklama_data[[#This Row],[Atlyginimų vidurkis 2023]]*_20250609_reklama_data[[#This Row],[Darbuotojai 2023]]*12</f>
        <v>0</v>
      </c>
      <c r="AU114" s="2" t="e">
        <f>(_20250609_reklama_data[[#This Row],[Apyvarta 2023]]-_20250609_reklama_data[[#This Row],[Atlyginimų sąnaudos 2023]])/_20250609_reklama_data[[#This Row],[Darbuotojai 2023]]</f>
        <v>#DIV/0!</v>
      </c>
      <c r="AV114" s="2"/>
      <c r="AW114" s="2"/>
      <c r="AX114" s="2">
        <f>_20250609_reklama_data[[#This Row],[Atlyginimų vidurkis 2024]]*_20250609_reklama_data[[#This Row],[Darbuotojai 2024]]*12</f>
        <v>0</v>
      </c>
      <c r="AY114" s="2" t="e">
        <f>(_20250609_reklama_data[[#This Row],[Apyvarta 2024]]-_20250609_reklama_data[[#This Row],[Atlyginimų sąnaudos 2024]])/_20250609_reklama_data[[#This Row],[Darbuotojai 2024]]</f>
        <v>#DIV/0!</v>
      </c>
      <c r="AZ114" s="2"/>
      <c r="BA114" s="2"/>
      <c r="BB114" s="2">
        <f>_20250609_reklama_data[[#This Row],[Atlyginimų vidurkis 2025 04]]*_20250609_reklama_data[[#This Row],[Darbuotojai 2025 06 09]]*5</f>
        <v>0</v>
      </c>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row>
    <row r="115" spans="1:83" x14ac:dyDescent="0.2">
      <c r="B115" s="4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f>_20250609_reklama_data[[#This Row],[Atlyginimų vidurkis 2019]]*_20250609_reklama_data[[#This Row],[Darbuotojai 2019]]*12</f>
        <v>0</v>
      </c>
      <c r="AF115" s="2" t="e">
        <f>(_20250609_reklama_data[[#This Row],[Apyvarta 2019]]-_20250609_reklama_data[[#This Row],[Atlyginimų sąnaudos 2019]])/_20250609_reklama_data[[#This Row],[Darbuotojai 2019]]</f>
        <v>#DIV/0!</v>
      </c>
      <c r="AG115" s="2"/>
      <c r="AH115" s="2">
        <f>_20250609_reklama_data[[#This Row],[Atlyginimų vidurkis 2020]]*_20250609_reklama_data[[#This Row],[Darbuotojai 2020]]*12</f>
        <v>0</v>
      </c>
      <c r="AI115" s="2" t="e">
        <f>(_20250609_reklama_data[[#This Row],[Apyvarta 2020]]-_20250609_reklama_data[[#This Row],[Atlyginimų sąnaudos 2020]])/_20250609_reklama_data[[#This Row],[Darbuotojai 2020]]</f>
        <v>#DIV/0!</v>
      </c>
      <c r="AJ115" s="2"/>
      <c r="AK115" s="2"/>
      <c r="AL115" s="2">
        <f>_20250609_reklama_data[[#This Row],[Atlyginimų vidurkis 2021]]*_20250609_reklama_data[[#This Row],[Darbuotojai 2021]]*12</f>
        <v>0</v>
      </c>
      <c r="AM115" s="2" t="e">
        <f>(_20250609_reklama_data[[#This Row],[Apyvarta 2021]]-_20250609_reklama_data[[#This Row],[Atlyginimų sąnaudos 2021]])/_20250609_reklama_data[[#This Row],[Darbuotojai 2021]]</f>
        <v>#DIV/0!</v>
      </c>
      <c r="AN115" s="2"/>
      <c r="AO115" s="2"/>
      <c r="AP115" s="2">
        <f>_20250609_reklama_data[[#This Row],[Atlyginimų vidurkis 2022]]*_20250609_reklama_data[[#This Row],[Darbuotojai 2022]]*12</f>
        <v>0</v>
      </c>
      <c r="AQ115" s="2" t="e">
        <f>(_20250609_reklama_data[[#This Row],[Apyvarta 2022]]-_20250609_reklama_data[[#This Row],[Atlyginimų sąnaudos 2022]])/_20250609_reklama_data[[#This Row],[Darbuotojai 2022]]</f>
        <v>#DIV/0!</v>
      </c>
      <c r="AR115" s="2"/>
      <c r="AS115" s="2"/>
      <c r="AT115" s="2">
        <f>_20250609_reklama_data[[#This Row],[Atlyginimų vidurkis 2023]]*_20250609_reklama_data[[#This Row],[Darbuotojai 2023]]*12</f>
        <v>0</v>
      </c>
      <c r="AU115" s="2" t="e">
        <f>(_20250609_reklama_data[[#This Row],[Apyvarta 2023]]-_20250609_reklama_data[[#This Row],[Atlyginimų sąnaudos 2023]])/_20250609_reklama_data[[#This Row],[Darbuotojai 2023]]</f>
        <v>#DIV/0!</v>
      </c>
      <c r="AV115" s="2"/>
      <c r="AW115" s="2"/>
      <c r="AX115" s="2">
        <f>_20250609_reklama_data[[#This Row],[Atlyginimų vidurkis 2024]]*_20250609_reklama_data[[#This Row],[Darbuotojai 2024]]*12</f>
        <v>0</v>
      </c>
      <c r="AY115" s="2" t="e">
        <f>(_20250609_reklama_data[[#This Row],[Apyvarta 2024]]-_20250609_reklama_data[[#This Row],[Atlyginimų sąnaudos 2024]])/_20250609_reklama_data[[#This Row],[Darbuotojai 2024]]</f>
        <v>#DIV/0!</v>
      </c>
      <c r="AZ115" s="2"/>
      <c r="BA115" s="2"/>
      <c r="BB115" s="2">
        <f>_20250609_reklama_data[[#This Row],[Atlyginimų vidurkis 2025 04]]*_20250609_reklama_data[[#This Row],[Darbuotojai 2025 06 09]]*5</f>
        <v>0</v>
      </c>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row>
    <row r="116" spans="1:83" x14ac:dyDescent="0.2">
      <c r="B116" s="4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f>_20250609_reklama_data[[#This Row],[Atlyginimų vidurkis 2019]]*_20250609_reklama_data[[#This Row],[Darbuotojai 2019]]*12</f>
        <v>0</v>
      </c>
      <c r="AF116" s="2" t="e">
        <f>(_20250609_reklama_data[[#This Row],[Apyvarta 2019]]-_20250609_reklama_data[[#This Row],[Atlyginimų sąnaudos 2019]])/_20250609_reklama_data[[#This Row],[Darbuotojai 2019]]</f>
        <v>#DIV/0!</v>
      </c>
      <c r="AG116" s="2"/>
      <c r="AH116" s="2">
        <f>_20250609_reklama_data[[#This Row],[Atlyginimų vidurkis 2020]]*_20250609_reklama_data[[#This Row],[Darbuotojai 2020]]*12</f>
        <v>0</v>
      </c>
      <c r="AI116" s="2" t="e">
        <f>(_20250609_reklama_data[[#This Row],[Apyvarta 2020]]-_20250609_reklama_data[[#This Row],[Atlyginimų sąnaudos 2020]])/_20250609_reklama_data[[#This Row],[Darbuotojai 2020]]</f>
        <v>#DIV/0!</v>
      </c>
      <c r="AJ116" s="2"/>
      <c r="AK116" s="2"/>
      <c r="AL116" s="2">
        <f>_20250609_reklama_data[[#This Row],[Atlyginimų vidurkis 2021]]*_20250609_reklama_data[[#This Row],[Darbuotojai 2021]]*12</f>
        <v>0</v>
      </c>
      <c r="AM116" s="2" t="e">
        <f>(_20250609_reklama_data[[#This Row],[Apyvarta 2021]]-_20250609_reklama_data[[#This Row],[Atlyginimų sąnaudos 2021]])/_20250609_reklama_data[[#This Row],[Darbuotojai 2021]]</f>
        <v>#DIV/0!</v>
      </c>
      <c r="AN116" s="2"/>
      <c r="AO116" s="2"/>
      <c r="AP116" s="2">
        <f>_20250609_reklama_data[[#This Row],[Atlyginimų vidurkis 2022]]*_20250609_reklama_data[[#This Row],[Darbuotojai 2022]]*12</f>
        <v>0</v>
      </c>
      <c r="AQ116" s="2" t="e">
        <f>(_20250609_reklama_data[[#This Row],[Apyvarta 2022]]-_20250609_reklama_data[[#This Row],[Atlyginimų sąnaudos 2022]])/_20250609_reklama_data[[#This Row],[Darbuotojai 2022]]</f>
        <v>#DIV/0!</v>
      </c>
      <c r="AR116" s="2"/>
      <c r="AS116" s="2"/>
      <c r="AT116" s="2">
        <f>_20250609_reklama_data[[#This Row],[Atlyginimų vidurkis 2023]]*_20250609_reklama_data[[#This Row],[Darbuotojai 2023]]*12</f>
        <v>0</v>
      </c>
      <c r="AU116" s="2" t="e">
        <f>(_20250609_reklama_data[[#This Row],[Apyvarta 2023]]-_20250609_reklama_data[[#This Row],[Atlyginimų sąnaudos 2023]])/_20250609_reklama_data[[#This Row],[Darbuotojai 2023]]</f>
        <v>#DIV/0!</v>
      </c>
      <c r="AV116" s="2"/>
      <c r="AW116" s="2"/>
      <c r="AX116" s="2">
        <f>_20250609_reklama_data[[#This Row],[Atlyginimų vidurkis 2024]]*_20250609_reklama_data[[#This Row],[Darbuotojai 2024]]*12</f>
        <v>0</v>
      </c>
      <c r="AY116" s="2" t="e">
        <f>(_20250609_reklama_data[[#This Row],[Apyvarta 2024]]-_20250609_reklama_data[[#This Row],[Atlyginimų sąnaudos 2024]])/_20250609_reklama_data[[#This Row],[Darbuotojai 2024]]</f>
        <v>#DIV/0!</v>
      </c>
      <c r="AZ116" s="2"/>
      <c r="BA116" s="2"/>
      <c r="BB116" s="2">
        <f>_20250609_reklama_data[[#This Row],[Atlyginimų vidurkis 2025 04]]*_20250609_reklama_data[[#This Row],[Darbuotojai 2025 06 09]]*5</f>
        <v>0</v>
      </c>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row>
    <row r="117" spans="1:83" x14ac:dyDescent="0.2">
      <c r="B117" s="4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f>_20250609_reklama_data[[#This Row],[Atlyginimų vidurkis 2019]]*_20250609_reklama_data[[#This Row],[Darbuotojai 2019]]*12</f>
        <v>0</v>
      </c>
      <c r="AF117" s="2" t="e">
        <f>(_20250609_reklama_data[[#This Row],[Apyvarta 2019]]-_20250609_reklama_data[[#This Row],[Atlyginimų sąnaudos 2019]])/_20250609_reklama_data[[#This Row],[Darbuotojai 2019]]</f>
        <v>#DIV/0!</v>
      </c>
      <c r="AG117" s="2"/>
      <c r="AH117" s="2">
        <f>_20250609_reklama_data[[#This Row],[Atlyginimų vidurkis 2020]]*_20250609_reklama_data[[#This Row],[Darbuotojai 2020]]*12</f>
        <v>0</v>
      </c>
      <c r="AI117" s="2" t="e">
        <f>(_20250609_reklama_data[[#This Row],[Apyvarta 2020]]-_20250609_reklama_data[[#This Row],[Atlyginimų sąnaudos 2020]])/_20250609_reklama_data[[#This Row],[Darbuotojai 2020]]</f>
        <v>#DIV/0!</v>
      </c>
      <c r="AJ117" s="2"/>
      <c r="AK117" s="2"/>
      <c r="AL117" s="2">
        <f>_20250609_reklama_data[[#This Row],[Atlyginimų vidurkis 2021]]*_20250609_reklama_data[[#This Row],[Darbuotojai 2021]]*12</f>
        <v>0</v>
      </c>
      <c r="AM117" s="2" t="e">
        <f>(_20250609_reklama_data[[#This Row],[Apyvarta 2021]]-_20250609_reklama_data[[#This Row],[Atlyginimų sąnaudos 2021]])/_20250609_reklama_data[[#This Row],[Darbuotojai 2021]]</f>
        <v>#DIV/0!</v>
      </c>
      <c r="AN117" s="2"/>
      <c r="AO117" s="2"/>
      <c r="AP117" s="2">
        <f>_20250609_reklama_data[[#This Row],[Atlyginimų vidurkis 2022]]*_20250609_reklama_data[[#This Row],[Darbuotojai 2022]]*12</f>
        <v>0</v>
      </c>
      <c r="AQ117" s="2" t="e">
        <f>(_20250609_reklama_data[[#This Row],[Apyvarta 2022]]-_20250609_reklama_data[[#This Row],[Atlyginimų sąnaudos 2022]])/_20250609_reklama_data[[#This Row],[Darbuotojai 2022]]</f>
        <v>#DIV/0!</v>
      </c>
      <c r="AR117" s="2"/>
      <c r="AS117" s="2"/>
      <c r="AT117" s="2">
        <f>_20250609_reklama_data[[#This Row],[Atlyginimų vidurkis 2023]]*_20250609_reklama_data[[#This Row],[Darbuotojai 2023]]*12</f>
        <v>0</v>
      </c>
      <c r="AU117" s="2" t="e">
        <f>(_20250609_reklama_data[[#This Row],[Apyvarta 2023]]-_20250609_reklama_data[[#This Row],[Atlyginimų sąnaudos 2023]])/_20250609_reklama_data[[#This Row],[Darbuotojai 2023]]</f>
        <v>#DIV/0!</v>
      </c>
      <c r="AV117" s="2"/>
      <c r="AW117" s="2"/>
      <c r="AX117" s="2">
        <f>_20250609_reklama_data[[#This Row],[Atlyginimų vidurkis 2024]]*_20250609_reklama_data[[#This Row],[Darbuotojai 2024]]*12</f>
        <v>0</v>
      </c>
      <c r="AY117" s="2" t="e">
        <f>(_20250609_reklama_data[[#This Row],[Apyvarta 2024]]-_20250609_reklama_data[[#This Row],[Atlyginimų sąnaudos 2024]])/_20250609_reklama_data[[#This Row],[Darbuotojai 2024]]</f>
        <v>#DIV/0!</v>
      </c>
      <c r="AZ117" s="2"/>
      <c r="BA117" s="2"/>
      <c r="BB117" s="2">
        <f>_20250609_reklama_data[[#This Row],[Atlyginimų vidurkis 2025 04]]*_20250609_reklama_data[[#This Row],[Darbuotojai 2025 06 09]]*5</f>
        <v>0</v>
      </c>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row>
    <row r="118" spans="1:83" x14ac:dyDescent="0.2">
      <c r="B118" s="4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f>_20250609_reklama_data[[#This Row],[Atlyginimų vidurkis 2019]]*_20250609_reklama_data[[#This Row],[Darbuotojai 2019]]*12</f>
        <v>0</v>
      </c>
      <c r="AF118" s="2" t="e">
        <f>(_20250609_reklama_data[[#This Row],[Apyvarta 2019]]-_20250609_reklama_data[[#This Row],[Atlyginimų sąnaudos 2019]])/_20250609_reklama_data[[#This Row],[Darbuotojai 2019]]</f>
        <v>#DIV/0!</v>
      </c>
      <c r="AG118" s="2"/>
      <c r="AH118" s="2">
        <f>_20250609_reklama_data[[#This Row],[Atlyginimų vidurkis 2020]]*_20250609_reklama_data[[#This Row],[Darbuotojai 2020]]*12</f>
        <v>0</v>
      </c>
      <c r="AI118" s="2" t="e">
        <f>(_20250609_reklama_data[[#This Row],[Apyvarta 2020]]-_20250609_reklama_data[[#This Row],[Atlyginimų sąnaudos 2020]])/_20250609_reklama_data[[#This Row],[Darbuotojai 2020]]</f>
        <v>#DIV/0!</v>
      </c>
      <c r="AJ118" s="2"/>
      <c r="AK118" s="2"/>
      <c r="AL118" s="2">
        <f>_20250609_reklama_data[[#This Row],[Atlyginimų vidurkis 2021]]*_20250609_reklama_data[[#This Row],[Darbuotojai 2021]]*12</f>
        <v>0</v>
      </c>
      <c r="AM118" s="2" t="e">
        <f>(_20250609_reklama_data[[#This Row],[Apyvarta 2021]]-_20250609_reklama_data[[#This Row],[Atlyginimų sąnaudos 2021]])/_20250609_reklama_data[[#This Row],[Darbuotojai 2021]]</f>
        <v>#DIV/0!</v>
      </c>
      <c r="AN118" s="2"/>
      <c r="AO118" s="2"/>
      <c r="AP118" s="2">
        <f>_20250609_reklama_data[[#This Row],[Atlyginimų vidurkis 2022]]*_20250609_reklama_data[[#This Row],[Darbuotojai 2022]]*12</f>
        <v>0</v>
      </c>
      <c r="AQ118" s="2" t="e">
        <f>(_20250609_reklama_data[[#This Row],[Apyvarta 2022]]-_20250609_reklama_data[[#This Row],[Atlyginimų sąnaudos 2022]])/_20250609_reklama_data[[#This Row],[Darbuotojai 2022]]</f>
        <v>#DIV/0!</v>
      </c>
      <c r="AR118" s="2"/>
      <c r="AS118" s="2"/>
      <c r="AT118" s="2">
        <f>_20250609_reklama_data[[#This Row],[Atlyginimų vidurkis 2023]]*_20250609_reklama_data[[#This Row],[Darbuotojai 2023]]*12</f>
        <v>0</v>
      </c>
      <c r="AU118" s="2" t="e">
        <f>(_20250609_reklama_data[[#This Row],[Apyvarta 2023]]-_20250609_reklama_data[[#This Row],[Atlyginimų sąnaudos 2023]])/_20250609_reklama_data[[#This Row],[Darbuotojai 2023]]</f>
        <v>#DIV/0!</v>
      </c>
      <c r="AV118" s="2"/>
      <c r="AW118" s="2"/>
      <c r="AX118" s="2">
        <f>_20250609_reklama_data[[#This Row],[Atlyginimų vidurkis 2024]]*_20250609_reklama_data[[#This Row],[Darbuotojai 2024]]*12</f>
        <v>0</v>
      </c>
      <c r="AY118" s="2" t="e">
        <f>(_20250609_reklama_data[[#This Row],[Apyvarta 2024]]-_20250609_reklama_data[[#This Row],[Atlyginimų sąnaudos 2024]])/_20250609_reklama_data[[#This Row],[Darbuotojai 2024]]</f>
        <v>#DIV/0!</v>
      </c>
      <c r="AZ118" s="2"/>
      <c r="BA118" s="2"/>
      <c r="BB118" s="2">
        <f>_20250609_reklama_data[[#This Row],[Atlyginimų vidurkis 2025 04]]*_20250609_reklama_data[[#This Row],[Darbuotojai 2025 06 09]]*5</f>
        <v>0</v>
      </c>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row>
    <row r="119" spans="1:83" x14ac:dyDescent="0.2">
      <c r="B119" s="4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f>_20250609_reklama_data[[#This Row],[Atlyginimų vidurkis 2019]]*_20250609_reklama_data[[#This Row],[Darbuotojai 2019]]*12</f>
        <v>0</v>
      </c>
      <c r="AF119" s="2" t="e">
        <f>(_20250609_reklama_data[[#This Row],[Apyvarta 2019]]-_20250609_reklama_data[[#This Row],[Atlyginimų sąnaudos 2019]])/_20250609_reklama_data[[#This Row],[Darbuotojai 2019]]</f>
        <v>#DIV/0!</v>
      </c>
      <c r="AG119" s="2"/>
      <c r="AH119" s="2">
        <f>_20250609_reklama_data[[#This Row],[Atlyginimų vidurkis 2020]]*_20250609_reklama_data[[#This Row],[Darbuotojai 2020]]*12</f>
        <v>0</v>
      </c>
      <c r="AI119" s="2" t="e">
        <f>(_20250609_reklama_data[[#This Row],[Apyvarta 2020]]-_20250609_reklama_data[[#This Row],[Atlyginimų sąnaudos 2020]])/_20250609_reklama_data[[#This Row],[Darbuotojai 2020]]</f>
        <v>#DIV/0!</v>
      </c>
      <c r="AJ119" s="2"/>
      <c r="AK119" s="2"/>
      <c r="AL119" s="2">
        <f>_20250609_reklama_data[[#This Row],[Atlyginimų vidurkis 2021]]*_20250609_reklama_data[[#This Row],[Darbuotojai 2021]]*12</f>
        <v>0</v>
      </c>
      <c r="AM119" s="2" t="e">
        <f>(_20250609_reklama_data[[#This Row],[Apyvarta 2021]]-_20250609_reklama_data[[#This Row],[Atlyginimų sąnaudos 2021]])/_20250609_reklama_data[[#This Row],[Darbuotojai 2021]]</f>
        <v>#DIV/0!</v>
      </c>
      <c r="AN119" s="2"/>
      <c r="AO119" s="2"/>
      <c r="AP119" s="2">
        <f>_20250609_reklama_data[[#This Row],[Atlyginimų vidurkis 2022]]*_20250609_reklama_data[[#This Row],[Darbuotojai 2022]]*12</f>
        <v>0</v>
      </c>
      <c r="AQ119" s="2" t="e">
        <f>(_20250609_reklama_data[[#This Row],[Apyvarta 2022]]-_20250609_reklama_data[[#This Row],[Atlyginimų sąnaudos 2022]])/_20250609_reklama_data[[#This Row],[Darbuotojai 2022]]</f>
        <v>#DIV/0!</v>
      </c>
      <c r="AR119" s="2"/>
      <c r="AS119" s="2"/>
      <c r="AT119" s="2">
        <f>_20250609_reklama_data[[#This Row],[Atlyginimų vidurkis 2023]]*_20250609_reklama_data[[#This Row],[Darbuotojai 2023]]*12</f>
        <v>0</v>
      </c>
      <c r="AU119" s="2" t="e">
        <f>(_20250609_reklama_data[[#This Row],[Apyvarta 2023]]-_20250609_reklama_data[[#This Row],[Atlyginimų sąnaudos 2023]])/_20250609_reklama_data[[#This Row],[Darbuotojai 2023]]</f>
        <v>#DIV/0!</v>
      </c>
      <c r="AV119" s="2"/>
      <c r="AW119" s="2"/>
      <c r="AX119" s="2">
        <f>_20250609_reklama_data[[#This Row],[Atlyginimų vidurkis 2024]]*_20250609_reklama_data[[#This Row],[Darbuotojai 2024]]*12</f>
        <v>0</v>
      </c>
      <c r="AY119" s="2" t="e">
        <f>(_20250609_reklama_data[[#This Row],[Apyvarta 2024]]-_20250609_reklama_data[[#This Row],[Atlyginimų sąnaudos 2024]])/_20250609_reklama_data[[#This Row],[Darbuotojai 2024]]</f>
        <v>#DIV/0!</v>
      </c>
      <c r="AZ119" s="2"/>
      <c r="BA119" s="2"/>
      <c r="BB119" s="2">
        <f>_20250609_reklama_data[[#This Row],[Atlyginimų vidurkis 2025 04]]*_20250609_reklama_data[[#This Row],[Darbuotojai 2025 06 09]]*5</f>
        <v>0</v>
      </c>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row>
    <row r="120" spans="1:83" x14ac:dyDescent="0.2">
      <c r="B120" s="4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f>_20250609_reklama_data[[#This Row],[Atlyginimų vidurkis 2019]]*_20250609_reklama_data[[#This Row],[Darbuotojai 2019]]*12</f>
        <v>0</v>
      </c>
      <c r="AF120" s="2" t="e">
        <f>(_20250609_reklama_data[[#This Row],[Apyvarta 2019]]-_20250609_reklama_data[[#This Row],[Atlyginimų sąnaudos 2019]])/_20250609_reklama_data[[#This Row],[Darbuotojai 2019]]</f>
        <v>#DIV/0!</v>
      </c>
      <c r="AG120" s="2"/>
      <c r="AH120" s="2">
        <f>_20250609_reklama_data[[#This Row],[Atlyginimų vidurkis 2020]]*_20250609_reklama_data[[#This Row],[Darbuotojai 2020]]*12</f>
        <v>0</v>
      </c>
      <c r="AI120" s="2" t="e">
        <f>(_20250609_reklama_data[[#This Row],[Apyvarta 2020]]-_20250609_reklama_data[[#This Row],[Atlyginimų sąnaudos 2020]])/_20250609_reklama_data[[#This Row],[Darbuotojai 2020]]</f>
        <v>#DIV/0!</v>
      </c>
      <c r="AJ120" s="2"/>
      <c r="AK120" s="2"/>
      <c r="AL120" s="2">
        <f>_20250609_reklama_data[[#This Row],[Atlyginimų vidurkis 2021]]*_20250609_reklama_data[[#This Row],[Darbuotojai 2021]]*12</f>
        <v>0</v>
      </c>
      <c r="AM120" s="2" t="e">
        <f>(_20250609_reklama_data[[#This Row],[Apyvarta 2021]]-_20250609_reklama_data[[#This Row],[Atlyginimų sąnaudos 2021]])/_20250609_reklama_data[[#This Row],[Darbuotojai 2021]]</f>
        <v>#DIV/0!</v>
      </c>
      <c r="AN120" s="2"/>
      <c r="AO120" s="2"/>
      <c r="AP120" s="2">
        <f>_20250609_reklama_data[[#This Row],[Atlyginimų vidurkis 2022]]*_20250609_reklama_data[[#This Row],[Darbuotojai 2022]]*12</f>
        <v>0</v>
      </c>
      <c r="AQ120" s="2" t="e">
        <f>(_20250609_reklama_data[[#This Row],[Apyvarta 2022]]-_20250609_reklama_data[[#This Row],[Atlyginimų sąnaudos 2022]])/_20250609_reklama_data[[#This Row],[Darbuotojai 2022]]</f>
        <v>#DIV/0!</v>
      </c>
      <c r="AR120" s="2"/>
      <c r="AS120" s="2"/>
      <c r="AT120" s="2">
        <f>_20250609_reklama_data[[#This Row],[Atlyginimų vidurkis 2023]]*_20250609_reklama_data[[#This Row],[Darbuotojai 2023]]*12</f>
        <v>0</v>
      </c>
      <c r="AU120" s="2" t="e">
        <f>(_20250609_reklama_data[[#This Row],[Apyvarta 2023]]-_20250609_reklama_data[[#This Row],[Atlyginimų sąnaudos 2023]])/_20250609_reklama_data[[#This Row],[Darbuotojai 2023]]</f>
        <v>#DIV/0!</v>
      </c>
      <c r="AV120" s="2"/>
      <c r="AW120" s="2"/>
      <c r="AX120" s="2">
        <f>_20250609_reklama_data[[#This Row],[Atlyginimų vidurkis 2024]]*_20250609_reklama_data[[#This Row],[Darbuotojai 2024]]*12</f>
        <v>0</v>
      </c>
      <c r="AY120" s="2" t="e">
        <f>(_20250609_reklama_data[[#This Row],[Apyvarta 2024]]-_20250609_reklama_data[[#This Row],[Atlyginimų sąnaudos 2024]])/_20250609_reklama_data[[#This Row],[Darbuotojai 2024]]</f>
        <v>#DIV/0!</v>
      </c>
      <c r="AZ120" s="2"/>
      <c r="BA120" s="2"/>
      <c r="BB120" s="2">
        <f>_20250609_reklama_data[[#This Row],[Atlyginimų vidurkis 2025 04]]*_20250609_reklama_data[[#This Row],[Darbuotojai 2025 06 09]]*5</f>
        <v>0</v>
      </c>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row>
    <row r="121" spans="1:83" x14ac:dyDescent="0.2">
      <c r="B121" s="41"/>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f>_20250609_reklama_data[[#This Row],[Atlyginimų vidurkis 2019]]*_20250609_reklama_data[[#This Row],[Darbuotojai 2019]]*12</f>
        <v>0</v>
      </c>
      <c r="AF121" s="2" t="e">
        <f>(_20250609_reklama_data[[#This Row],[Apyvarta 2019]]-_20250609_reklama_data[[#This Row],[Atlyginimų sąnaudos 2019]])/_20250609_reklama_data[[#This Row],[Darbuotojai 2019]]</f>
        <v>#DIV/0!</v>
      </c>
      <c r="AG121" s="2"/>
      <c r="AH121" s="2">
        <f>_20250609_reklama_data[[#This Row],[Atlyginimų vidurkis 2020]]*_20250609_reklama_data[[#This Row],[Darbuotojai 2020]]*12</f>
        <v>0</v>
      </c>
      <c r="AI121" s="2" t="e">
        <f>(_20250609_reklama_data[[#This Row],[Apyvarta 2020]]-_20250609_reklama_data[[#This Row],[Atlyginimų sąnaudos 2020]])/_20250609_reklama_data[[#This Row],[Darbuotojai 2020]]</f>
        <v>#DIV/0!</v>
      </c>
      <c r="AJ121" s="2"/>
      <c r="AK121" s="2"/>
      <c r="AL121" s="2">
        <f>_20250609_reklama_data[[#This Row],[Atlyginimų vidurkis 2021]]*_20250609_reklama_data[[#This Row],[Darbuotojai 2021]]*12</f>
        <v>0</v>
      </c>
      <c r="AM121" s="2" t="e">
        <f>(_20250609_reklama_data[[#This Row],[Apyvarta 2021]]-_20250609_reklama_data[[#This Row],[Atlyginimų sąnaudos 2021]])/_20250609_reklama_data[[#This Row],[Darbuotojai 2021]]</f>
        <v>#DIV/0!</v>
      </c>
      <c r="AN121" s="2"/>
      <c r="AO121" s="2"/>
      <c r="AP121" s="2">
        <f>_20250609_reklama_data[[#This Row],[Atlyginimų vidurkis 2022]]*_20250609_reklama_data[[#This Row],[Darbuotojai 2022]]*12</f>
        <v>0</v>
      </c>
      <c r="AQ121" s="2" t="e">
        <f>(_20250609_reklama_data[[#This Row],[Apyvarta 2022]]-_20250609_reklama_data[[#This Row],[Atlyginimų sąnaudos 2022]])/_20250609_reklama_data[[#This Row],[Darbuotojai 2022]]</f>
        <v>#DIV/0!</v>
      </c>
      <c r="AR121" s="2"/>
      <c r="AS121" s="2"/>
      <c r="AT121" s="2">
        <f>_20250609_reklama_data[[#This Row],[Atlyginimų vidurkis 2023]]*_20250609_reklama_data[[#This Row],[Darbuotojai 2023]]*12</f>
        <v>0</v>
      </c>
      <c r="AU121" s="2" t="e">
        <f>(_20250609_reklama_data[[#This Row],[Apyvarta 2023]]-_20250609_reklama_data[[#This Row],[Atlyginimų sąnaudos 2023]])/_20250609_reklama_data[[#This Row],[Darbuotojai 2023]]</f>
        <v>#DIV/0!</v>
      </c>
      <c r="AV121" s="2"/>
      <c r="AW121" s="2"/>
      <c r="AX121" s="2">
        <f>_20250609_reklama_data[[#This Row],[Atlyginimų vidurkis 2024]]*_20250609_reklama_data[[#This Row],[Darbuotojai 2024]]*12</f>
        <v>0</v>
      </c>
      <c r="AY121" s="2" t="e">
        <f>(_20250609_reklama_data[[#This Row],[Apyvarta 2024]]-_20250609_reklama_data[[#This Row],[Atlyginimų sąnaudos 2024]])/_20250609_reklama_data[[#This Row],[Darbuotojai 2024]]</f>
        <v>#DIV/0!</v>
      </c>
      <c r="AZ121" s="2"/>
      <c r="BA121" s="2"/>
      <c r="BB121" s="2">
        <f>_20250609_reklama_data[[#This Row],[Atlyginimų vidurkis 2025 04]]*_20250609_reklama_data[[#This Row],[Darbuotojai 2025 06 09]]*5</f>
        <v>0</v>
      </c>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row>
    <row r="122" spans="1:83" x14ac:dyDescent="0.2">
      <c r="B122" s="41"/>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f>_20250609_reklama_data[[#This Row],[Atlyginimų vidurkis 2019]]*_20250609_reklama_data[[#This Row],[Darbuotojai 2019]]*12</f>
        <v>0</v>
      </c>
      <c r="AF122" s="2" t="e">
        <f>(_20250609_reklama_data[[#This Row],[Apyvarta 2019]]-_20250609_reklama_data[[#This Row],[Atlyginimų sąnaudos 2019]])/_20250609_reklama_data[[#This Row],[Darbuotojai 2019]]</f>
        <v>#DIV/0!</v>
      </c>
      <c r="AG122" s="2"/>
      <c r="AH122" s="2">
        <f>_20250609_reklama_data[[#This Row],[Atlyginimų vidurkis 2020]]*_20250609_reklama_data[[#This Row],[Darbuotojai 2020]]*12</f>
        <v>0</v>
      </c>
      <c r="AI122" s="2" t="e">
        <f>(_20250609_reklama_data[[#This Row],[Apyvarta 2020]]-_20250609_reklama_data[[#This Row],[Atlyginimų sąnaudos 2020]])/_20250609_reklama_data[[#This Row],[Darbuotojai 2020]]</f>
        <v>#DIV/0!</v>
      </c>
      <c r="AJ122" s="2"/>
      <c r="AK122" s="2"/>
      <c r="AL122" s="2">
        <f>_20250609_reklama_data[[#This Row],[Atlyginimų vidurkis 2021]]*_20250609_reklama_data[[#This Row],[Darbuotojai 2021]]*12</f>
        <v>0</v>
      </c>
      <c r="AM122" s="2" t="e">
        <f>(_20250609_reklama_data[[#This Row],[Apyvarta 2021]]-_20250609_reklama_data[[#This Row],[Atlyginimų sąnaudos 2021]])/_20250609_reklama_data[[#This Row],[Darbuotojai 2021]]</f>
        <v>#DIV/0!</v>
      </c>
      <c r="AN122" s="2"/>
      <c r="AO122" s="2"/>
      <c r="AP122" s="2">
        <f>_20250609_reklama_data[[#This Row],[Atlyginimų vidurkis 2022]]*_20250609_reklama_data[[#This Row],[Darbuotojai 2022]]*12</f>
        <v>0</v>
      </c>
      <c r="AQ122" s="2" t="e">
        <f>(_20250609_reklama_data[[#This Row],[Apyvarta 2022]]-_20250609_reklama_data[[#This Row],[Atlyginimų sąnaudos 2022]])/_20250609_reklama_data[[#This Row],[Darbuotojai 2022]]</f>
        <v>#DIV/0!</v>
      </c>
      <c r="AR122" s="2"/>
      <c r="AS122" s="2"/>
      <c r="AT122" s="2">
        <f>_20250609_reklama_data[[#This Row],[Atlyginimų vidurkis 2023]]*_20250609_reklama_data[[#This Row],[Darbuotojai 2023]]*12</f>
        <v>0</v>
      </c>
      <c r="AU122" s="2" t="e">
        <f>(_20250609_reklama_data[[#This Row],[Apyvarta 2023]]-_20250609_reklama_data[[#This Row],[Atlyginimų sąnaudos 2023]])/_20250609_reklama_data[[#This Row],[Darbuotojai 2023]]</f>
        <v>#DIV/0!</v>
      </c>
      <c r="AV122" s="2"/>
      <c r="AW122" s="2"/>
      <c r="AX122" s="2">
        <f>_20250609_reklama_data[[#This Row],[Atlyginimų vidurkis 2024]]*_20250609_reklama_data[[#This Row],[Darbuotojai 2024]]*12</f>
        <v>0</v>
      </c>
      <c r="AY122" s="2" t="e">
        <f>(_20250609_reklama_data[[#This Row],[Apyvarta 2024]]-_20250609_reklama_data[[#This Row],[Atlyginimų sąnaudos 2024]])/_20250609_reklama_data[[#This Row],[Darbuotojai 2024]]</f>
        <v>#DIV/0!</v>
      </c>
      <c r="AZ122" s="2"/>
      <c r="BA122" s="2"/>
      <c r="BB122" s="2">
        <f>_20250609_reklama_data[[#This Row],[Atlyginimų vidurkis 2025 04]]*_20250609_reklama_data[[#This Row],[Darbuotojai 2025 06 09]]*5</f>
        <v>0</v>
      </c>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row>
    <row r="123" spans="1:83" x14ac:dyDescent="0.2">
      <c r="B123" s="41"/>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f>_20250609_reklama_data[[#This Row],[Atlyginimų vidurkis 2019]]*_20250609_reklama_data[[#This Row],[Darbuotojai 2019]]*12</f>
        <v>0</v>
      </c>
      <c r="AF123" s="2" t="e">
        <f>(_20250609_reklama_data[[#This Row],[Apyvarta 2019]]-_20250609_reklama_data[[#This Row],[Atlyginimų sąnaudos 2019]])/_20250609_reklama_data[[#This Row],[Darbuotojai 2019]]</f>
        <v>#DIV/0!</v>
      </c>
      <c r="AG123" s="2"/>
      <c r="AH123" s="2">
        <f>_20250609_reklama_data[[#This Row],[Atlyginimų vidurkis 2020]]*_20250609_reklama_data[[#This Row],[Darbuotojai 2020]]*12</f>
        <v>0</v>
      </c>
      <c r="AI123" s="2" t="e">
        <f>(_20250609_reklama_data[[#This Row],[Apyvarta 2020]]-_20250609_reklama_data[[#This Row],[Atlyginimų sąnaudos 2020]])/_20250609_reklama_data[[#This Row],[Darbuotojai 2020]]</f>
        <v>#DIV/0!</v>
      </c>
      <c r="AJ123" s="2"/>
      <c r="AK123" s="2"/>
      <c r="AL123" s="2">
        <f>_20250609_reklama_data[[#This Row],[Atlyginimų vidurkis 2021]]*_20250609_reklama_data[[#This Row],[Darbuotojai 2021]]*12</f>
        <v>0</v>
      </c>
      <c r="AM123" s="2" t="e">
        <f>(_20250609_reklama_data[[#This Row],[Apyvarta 2021]]-_20250609_reklama_data[[#This Row],[Atlyginimų sąnaudos 2021]])/_20250609_reklama_data[[#This Row],[Darbuotojai 2021]]</f>
        <v>#DIV/0!</v>
      </c>
      <c r="AN123" s="2"/>
      <c r="AO123" s="2"/>
      <c r="AP123" s="2">
        <f>_20250609_reklama_data[[#This Row],[Atlyginimų vidurkis 2022]]*_20250609_reklama_data[[#This Row],[Darbuotojai 2022]]*12</f>
        <v>0</v>
      </c>
      <c r="AQ123" s="2" t="e">
        <f>(_20250609_reklama_data[[#This Row],[Apyvarta 2022]]-_20250609_reklama_data[[#This Row],[Atlyginimų sąnaudos 2022]])/_20250609_reklama_data[[#This Row],[Darbuotojai 2022]]</f>
        <v>#DIV/0!</v>
      </c>
      <c r="AR123" s="2"/>
      <c r="AS123" s="2"/>
      <c r="AT123" s="2">
        <f>_20250609_reklama_data[[#This Row],[Atlyginimų vidurkis 2023]]*_20250609_reklama_data[[#This Row],[Darbuotojai 2023]]*12</f>
        <v>0</v>
      </c>
      <c r="AU123" s="2" t="e">
        <f>(_20250609_reklama_data[[#This Row],[Apyvarta 2023]]-_20250609_reklama_data[[#This Row],[Atlyginimų sąnaudos 2023]])/_20250609_reklama_data[[#This Row],[Darbuotojai 2023]]</f>
        <v>#DIV/0!</v>
      </c>
      <c r="AV123" s="2"/>
      <c r="AW123" s="2"/>
      <c r="AX123" s="2">
        <f>_20250609_reklama_data[[#This Row],[Atlyginimų vidurkis 2024]]*_20250609_reklama_data[[#This Row],[Darbuotojai 2024]]*12</f>
        <v>0</v>
      </c>
      <c r="AY123" s="2" t="e">
        <f>(_20250609_reklama_data[[#This Row],[Apyvarta 2024]]-_20250609_reklama_data[[#This Row],[Atlyginimų sąnaudos 2024]])/_20250609_reklama_data[[#This Row],[Darbuotojai 2024]]</f>
        <v>#DIV/0!</v>
      </c>
      <c r="AZ123" s="2"/>
      <c r="BA123" s="2"/>
      <c r="BB123" s="2">
        <f>_20250609_reklama_data[[#This Row],[Atlyginimų vidurkis 2025 04]]*_20250609_reklama_data[[#This Row],[Darbuotojai 2025 06 09]]*5</f>
        <v>0</v>
      </c>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row>
    <row r="124" spans="1:83" x14ac:dyDescent="0.2">
      <c r="B124" s="41"/>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f>_20250609_reklama_data[[#This Row],[Atlyginimų vidurkis 2019]]*_20250609_reklama_data[[#This Row],[Darbuotojai 2019]]*12</f>
        <v>0</v>
      </c>
      <c r="AF124" s="2" t="e">
        <f>(_20250609_reklama_data[[#This Row],[Apyvarta 2019]]-_20250609_reklama_data[[#This Row],[Atlyginimų sąnaudos 2019]])/_20250609_reklama_data[[#This Row],[Darbuotojai 2019]]</f>
        <v>#DIV/0!</v>
      </c>
      <c r="AG124" s="2"/>
      <c r="AH124" s="2">
        <f>_20250609_reklama_data[[#This Row],[Atlyginimų vidurkis 2020]]*_20250609_reklama_data[[#This Row],[Darbuotojai 2020]]*12</f>
        <v>0</v>
      </c>
      <c r="AI124" s="2" t="e">
        <f>(_20250609_reklama_data[[#This Row],[Apyvarta 2020]]-_20250609_reklama_data[[#This Row],[Atlyginimų sąnaudos 2020]])/_20250609_reklama_data[[#This Row],[Darbuotojai 2020]]</f>
        <v>#DIV/0!</v>
      </c>
      <c r="AJ124" s="2"/>
      <c r="AK124" s="2"/>
      <c r="AL124" s="2">
        <f>_20250609_reklama_data[[#This Row],[Atlyginimų vidurkis 2021]]*_20250609_reklama_data[[#This Row],[Darbuotojai 2021]]*12</f>
        <v>0</v>
      </c>
      <c r="AM124" s="2" t="e">
        <f>(_20250609_reklama_data[[#This Row],[Apyvarta 2021]]-_20250609_reklama_data[[#This Row],[Atlyginimų sąnaudos 2021]])/_20250609_reklama_data[[#This Row],[Darbuotojai 2021]]</f>
        <v>#DIV/0!</v>
      </c>
      <c r="AN124" s="2"/>
      <c r="AO124" s="2"/>
      <c r="AP124" s="2">
        <f>_20250609_reklama_data[[#This Row],[Atlyginimų vidurkis 2022]]*_20250609_reklama_data[[#This Row],[Darbuotojai 2022]]*12</f>
        <v>0</v>
      </c>
      <c r="AQ124" s="2" t="e">
        <f>(_20250609_reklama_data[[#This Row],[Apyvarta 2022]]-_20250609_reklama_data[[#This Row],[Atlyginimų sąnaudos 2022]])/_20250609_reklama_data[[#This Row],[Darbuotojai 2022]]</f>
        <v>#DIV/0!</v>
      </c>
      <c r="AR124" s="2"/>
      <c r="AS124" s="2"/>
      <c r="AT124" s="2">
        <f>_20250609_reklama_data[[#This Row],[Atlyginimų vidurkis 2023]]*_20250609_reklama_data[[#This Row],[Darbuotojai 2023]]*12</f>
        <v>0</v>
      </c>
      <c r="AU124" s="2" t="e">
        <f>(_20250609_reklama_data[[#This Row],[Apyvarta 2023]]-_20250609_reklama_data[[#This Row],[Atlyginimų sąnaudos 2023]])/_20250609_reklama_data[[#This Row],[Darbuotojai 2023]]</f>
        <v>#DIV/0!</v>
      </c>
      <c r="AV124" s="2"/>
      <c r="AW124" s="2"/>
      <c r="AX124" s="2">
        <f>_20250609_reklama_data[[#This Row],[Atlyginimų vidurkis 2024]]*_20250609_reklama_data[[#This Row],[Darbuotojai 2024]]*12</f>
        <v>0</v>
      </c>
      <c r="AY124" s="2" t="e">
        <f>(_20250609_reklama_data[[#This Row],[Apyvarta 2024]]-_20250609_reklama_data[[#This Row],[Atlyginimų sąnaudos 2024]])/_20250609_reklama_data[[#This Row],[Darbuotojai 2024]]</f>
        <v>#DIV/0!</v>
      </c>
      <c r="AZ124" s="2"/>
      <c r="BA124" s="2"/>
      <c r="BB124" s="2">
        <f>_20250609_reklama_data[[#This Row],[Atlyginimų vidurkis 2025 04]]*_20250609_reklama_data[[#This Row],[Darbuotojai 2025 06 09]]*5</f>
        <v>0</v>
      </c>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row>
    <row r="125" spans="1:83" x14ac:dyDescent="0.2">
      <c r="B125" s="41"/>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f>_20250609_reklama_data[[#This Row],[Atlyginimų vidurkis 2019]]*_20250609_reklama_data[[#This Row],[Darbuotojai 2019]]*12</f>
        <v>0</v>
      </c>
      <c r="AF125" s="2" t="e">
        <f>(_20250609_reklama_data[[#This Row],[Apyvarta 2019]]-_20250609_reklama_data[[#This Row],[Atlyginimų sąnaudos 2019]])/_20250609_reklama_data[[#This Row],[Darbuotojai 2019]]</f>
        <v>#DIV/0!</v>
      </c>
      <c r="AG125" s="2"/>
      <c r="AH125" s="2">
        <f>_20250609_reklama_data[[#This Row],[Atlyginimų vidurkis 2020]]*_20250609_reklama_data[[#This Row],[Darbuotojai 2020]]*12</f>
        <v>0</v>
      </c>
      <c r="AI125" s="2" t="e">
        <f>(_20250609_reklama_data[[#This Row],[Apyvarta 2020]]-_20250609_reklama_data[[#This Row],[Atlyginimų sąnaudos 2020]])/_20250609_reklama_data[[#This Row],[Darbuotojai 2020]]</f>
        <v>#DIV/0!</v>
      </c>
      <c r="AJ125" s="2"/>
      <c r="AK125" s="2"/>
      <c r="AL125" s="2">
        <f>_20250609_reklama_data[[#This Row],[Atlyginimų vidurkis 2021]]*_20250609_reklama_data[[#This Row],[Darbuotojai 2021]]*12</f>
        <v>0</v>
      </c>
      <c r="AM125" s="2" t="e">
        <f>(_20250609_reklama_data[[#This Row],[Apyvarta 2021]]-_20250609_reklama_data[[#This Row],[Atlyginimų sąnaudos 2021]])/_20250609_reklama_data[[#This Row],[Darbuotojai 2021]]</f>
        <v>#DIV/0!</v>
      </c>
      <c r="AN125" s="2"/>
      <c r="AO125" s="2"/>
      <c r="AP125" s="2">
        <f>_20250609_reklama_data[[#This Row],[Atlyginimų vidurkis 2022]]*_20250609_reklama_data[[#This Row],[Darbuotojai 2022]]*12</f>
        <v>0</v>
      </c>
      <c r="AQ125" s="2" t="e">
        <f>(_20250609_reklama_data[[#This Row],[Apyvarta 2022]]-_20250609_reklama_data[[#This Row],[Atlyginimų sąnaudos 2022]])/_20250609_reklama_data[[#This Row],[Darbuotojai 2022]]</f>
        <v>#DIV/0!</v>
      </c>
      <c r="AR125" s="2"/>
      <c r="AS125" s="2"/>
      <c r="AT125" s="2">
        <f>_20250609_reklama_data[[#This Row],[Atlyginimų vidurkis 2023]]*_20250609_reklama_data[[#This Row],[Darbuotojai 2023]]*12</f>
        <v>0</v>
      </c>
      <c r="AU125" s="2" t="e">
        <f>(_20250609_reklama_data[[#This Row],[Apyvarta 2023]]-_20250609_reklama_data[[#This Row],[Atlyginimų sąnaudos 2023]])/_20250609_reklama_data[[#This Row],[Darbuotojai 2023]]</f>
        <v>#DIV/0!</v>
      </c>
      <c r="AV125" s="2"/>
      <c r="AW125" s="2"/>
      <c r="AX125" s="2">
        <f>_20250609_reklama_data[[#This Row],[Atlyginimų vidurkis 2024]]*_20250609_reklama_data[[#This Row],[Darbuotojai 2024]]*12</f>
        <v>0</v>
      </c>
      <c r="AY125" s="2" t="e">
        <f>(_20250609_reklama_data[[#This Row],[Apyvarta 2024]]-_20250609_reklama_data[[#This Row],[Atlyginimų sąnaudos 2024]])/_20250609_reklama_data[[#This Row],[Darbuotojai 2024]]</f>
        <v>#DIV/0!</v>
      </c>
      <c r="AZ125" s="2"/>
      <c r="BA125" s="2"/>
      <c r="BB125" s="2">
        <f>_20250609_reklama_data[[#This Row],[Atlyginimų vidurkis 2025 04]]*_20250609_reklama_data[[#This Row],[Darbuotojai 2025 06 09]]*5</f>
        <v>0</v>
      </c>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row>
    <row r="126" spans="1:83" x14ac:dyDescent="0.2">
      <c r="B126" s="41"/>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f>_20250609_reklama_data[[#This Row],[Atlyginimų vidurkis 2019]]*_20250609_reklama_data[[#This Row],[Darbuotojai 2019]]*12</f>
        <v>0</v>
      </c>
      <c r="AF126" s="2" t="e">
        <f>(_20250609_reklama_data[[#This Row],[Apyvarta 2019]]-_20250609_reklama_data[[#This Row],[Atlyginimų sąnaudos 2019]])/_20250609_reklama_data[[#This Row],[Darbuotojai 2019]]</f>
        <v>#DIV/0!</v>
      </c>
      <c r="AG126" s="2"/>
      <c r="AH126" s="2">
        <f>_20250609_reklama_data[[#This Row],[Atlyginimų vidurkis 2020]]*_20250609_reklama_data[[#This Row],[Darbuotojai 2020]]*12</f>
        <v>0</v>
      </c>
      <c r="AI126" s="2" t="e">
        <f>(_20250609_reklama_data[[#This Row],[Apyvarta 2020]]-_20250609_reklama_data[[#This Row],[Atlyginimų sąnaudos 2020]])/_20250609_reklama_data[[#This Row],[Darbuotojai 2020]]</f>
        <v>#DIV/0!</v>
      </c>
      <c r="AJ126" s="2"/>
      <c r="AK126" s="2"/>
      <c r="AL126" s="2">
        <f>_20250609_reklama_data[[#This Row],[Atlyginimų vidurkis 2021]]*_20250609_reklama_data[[#This Row],[Darbuotojai 2021]]*12</f>
        <v>0</v>
      </c>
      <c r="AM126" s="2" t="e">
        <f>(_20250609_reklama_data[[#This Row],[Apyvarta 2021]]-_20250609_reklama_data[[#This Row],[Atlyginimų sąnaudos 2021]])/_20250609_reklama_data[[#This Row],[Darbuotojai 2021]]</f>
        <v>#DIV/0!</v>
      </c>
      <c r="AN126" s="2"/>
      <c r="AO126" s="2"/>
      <c r="AP126" s="2">
        <f>_20250609_reklama_data[[#This Row],[Atlyginimų vidurkis 2022]]*_20250609_reklama_data[[#This Row],[Darbuotojai 2022]]*12</f>
        <v>0</v>
      </c>
      <c r="AQ126" s="2" t="e">
        <f>(_20250609_reklama_data[[#This Row],[Apyvarta 2022]]-_20250609_reklama_data[[#This Row],[Atlyginimų sąnaudos 2022]])/_20250609_reklama_data[[#This Row],[Darbuotojai 2022]]</f>
        <v>#DIV/0!</v>
      </c>
      <c r="AR126" s="2"/>
      <c r="AS126" s="2"/>
      <c r="AT126" s="2">
        <f>_20250609_reklama_data[[#This Row],[Atlyginimų vidurkis 2023]]*_20250609_reklama_data[[#This Row],[Darbuotojai 2023]]*12</f>
        <v>0</v>
      </c>
      <c r="AU126" s="2" t="e">
        <f>(_20250609_reklama_data[[#This Row],[Apyvarta 2023]]-_20250609_reklama_data[[#This Row],[Atlyginimų sąnaudos 2023]])/_20250609_reklama_data[[#This Row],[Darbuotojai 2023]]</f>
        <v>#DIV/0!</v>
      </c>
      <c r="AV126" s="2"/>
      <c r="AW126" s="2"/>
      <c r="AX126" s="2">
        <f>_20250609_reklama_data[[#This Row],[Atlyginimų vidurkis 2024]]*_20250609_reklama_data[[#This Row],[Darbuotojai 2024]]*12</f>
        <v>0</v>
      </c>
      <c r="AY126" s="2" t="e">
        <f>(_20250609_reklama_data[[#This Row],[Apyvarta 2024]]-_20250609_reklama_data[[#This Row],[Atlyginimų sąnaudos 2024]])/_20250609_reklama_data[[#This Row],[Darbuotojai 2024]]</f>
        <v>#DIV/0!</v>
      </c>
      <c r="AZ126" s="2"/>
      <c r="BA126" s="2"/>
      <c r="BB126" s="2">
        <f>_20250609_reklama_data[[#This Row],[Atlyginimų vidurkis 2025 04]]*_20250609_reklama_data[[#This Row],[Darbuotojai 2025 06 09]]*5</f>
        <v>0</v>
      </c>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row>
    <row r="127" spans="1:83" x14ac:dyDescent="0.2">
      <c r="B127" s="41"/>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f>_20250609_reklama_data[[#This Row],[Atlyginimų vidurkis 2019]]*_20250609_reklama_data[[#This Row],[Darbuotojai 2019]]*12</f>
        <v>0</v>
      </c>
      <c r="AF127" s="2" t="e">
        <f>(_20250609_reklama_data[[#This Row],[Apyvarta 2019]]-_20250609_reklama_data[[#This Row],[Atlyginimų sąnaudos 2019]])/_20250609_reklama_data[[#This Row],[Darbuotojai 2019]]</f>
        <v>#DIV/0!</v>
      </c>
      <c r="AG127" s="2"/>
      <c r="AH127" s="2">
        <f>_20250609_reklama_data[[#This Row],[Atlyginimų vidurkis 2020]]*_20250609_reklama_data[[#This Row],[Darbuotojai 2020]]*12</f>
        <v>0</v>
      </c>
      <c r="AI127" s="2" t="e">
        <f>(_20250609_reklama_data[[#This Row],[Apyvarta 2020]]-_20250609_reklama_data[[#This Row],[Atlyginimų sąnaudos 2020]])/_20250609_reklama_data[[#This Row],[Darbuotojai 2020]]</f>
        <v>#DIV/0!</v>
      </c>
      <c r="AJ127" s="2"/>
      <c r="AK127" s="2"/>
      <c r="AL127" s="2">
        <f>_20250609_reklama_data[[#This Row],[Atlyginimų vidurkis 2021]]*_20250609_reklama_data[[#This Row],[Darbuotojai 2021]]*12</f>
        <v>0</v>
      </c>
      <c r="AM127" s="2" t="e">
        <f>(_20250609_reklama_data[[#This Row],[Apyvarta 2021]]-_20250609_reklama_data[[#This Row],[Atlyginimų sąnaudos 2021]])/_20250609_reklama_data[[#This Row],[Darbuotojai 2021]]</f>
        <v>#DIV/0!</v>
      </c>
      <c r="AN127" s="2"/>
      <c r="AO127" s="2"/>
      <c r="AP127" s="2">
        <f>_20250609_reklama_data[[#This Row],[Atlyginimų vidurkis 2022]]*_20250609_reklama_data[[#This Row],[Darbuotojai 2022]]*12</f>
        <v>0</v>
      </c>
      <c r="AQ127" s="2" t="e">
        <f>(_20250609_reklama_data[[#This Row],[Apyvarta 2022]]-_20250609_reklama_data[[#This Row],[Atlyginimų sąnaudos 2022]])/_20250609_reklama_data[[#This Row],[Darbuotojai 2022]]</f>
        <v>#DIV/0!</v>
      </c>
      <c r="AR127" s="2"/>
      <c r="AS127" s="2"/>
      <c r="AT127" s="2">
        <f>_20250609_reklama_data[[#This Row],[Atlyginimų vidurkis 2023]]*_20250609_reklama_data[[#This Row],[Darbuotojai 2023]]*12</f>
        <v>0</v>
      </c>
      <c r="AU127" s="2" t="e">
        <f>(_20250609_reklama_data[[#This Row],[Apyvarta 2023]]-_20250609_reklama_data[[#This Row],[Atlyginimų sąnaudos 2023]])/_20250609_reklama_data[[#This Row],[Darbuotojai 2023]]</f>
        <v>#DIV/0!</v>
      </c>
      <c r="AV127" s="2"/>
      <c r="AW127" s="2"/>
      <c r="AX127" s="2">
        <f>_20250609_reklama_data[[#This Row],[Atlyginimų vidurkis 2024]]*_20250609_reklama_data[[#This Row],[Darbuotojai 2024]]*12</f>
        <v>0</v>
      </c>
      <c r="AY127" s="2" t="e">
        <f>(_20250609_reklama_data[[#This Row],[Apyvarta 2024]]-_20250609_reklama_data[[#This Row],[Atlyginimų sąnaudos 2024]])/_20250609_reklama_data[[#This Row],[Darbuotojai 2024]]</f>
        <v>#DIV/0!</v>
      </c>
      <c r="AZ127" s="2"/>
      <c r="BA127" s="2"/>
      <c r="BB127" s="2">
        <f>_20250609_reklama_data[[#This Row],[Atlyginimų vidurkis 2025 04]]*_20250609_reklama_data[[#This Row],[Darbuotojai 2025 06 09]]*5</f>
        <v>0</v>
      </c>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row>
    <row r="128" spans="1:83" x14ac:dyDescent="0.2">
      <c r="B128" s="41"/>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f>_20250609_reklama_data[[#This Row],[Atlyginimų vidurkis 2019]]*_20250609_reklama_data[[#This Row],[Darbuotojai 2019]]*12</f>
        <v>0</v>
      </c>
      <c r="AF128" s="2" t="e">
        <f>(_20250609_reklama_data[[#This Row],[Apyvarta 2019]]-_20250609_reklama_data[[#This Row],[Atlyginimų sąnaudos 2019]])/_20250609_reklama_data[[#This Row],[Darbuotojai 2019]]</f>
        <v>#DIV/0!</v>
      </c>
      <c r="AG128" s="2"/>
      <c r="AH128" s="2">
        <f>_20250609_reklama_data[[#This Row],[Atlyginimų vidurkis 2020]]*_20250609_reklama_data[[#This Row],[Darbuotojai 2020]]*12</f>
        <v>0</v>
      </c>
      <c r="AI128" s="2" t="e">
        <f>(_20250609_reklama_data[[#This Row],[Apyvarta 2020]]-_20250609_reklama_data[[#This Row],[Atlyginimų sąnaudos 2020]])/_20250609_reklama_data[[#This Row],[Darbuotojai 2020]]</f>
        <v>#DIV/0!</v>
      </c>
      <c r="AJ128" s="2"/>
      <c r="AK128" s="2"/>
      <c r="AL128" s="2">
        <f>_20250609_reklama_data[[#This Row],[Atlyginimų vidurkis 2021]]*_20250609_reklama_data[[#This Row],[Darbuotojai 2021]]*12</f>
        <v>0</v>
      </c>
      <c r="AM128" s="2" t="e">
        <f>(_20250609_reklama_data[[#This Row],[Apyvarta 2021]]-_20250609_reklama_data[[#This Row],[Atlyginimų sąnaudos 2021]])/_20250609_reklama_data[[#This Row],[Darbuotojai 2021]]</f>
        <v>#DIV/0!</v>
      </c>
      <c r="AN128" s="2"/>
      <c r="AO128" s="2"/>
      <c r="AP128" s="2">
        <f>_20250609_reklama_data[[#This Row],[Atlyginimų vidurkis 2022]]*_20250609_reklama_data[[#This Row],[Darbuotojai 2022]]*12</f>
        <v>0</v>
      </c>
      <c r="AQ128" s="2" t="e">
        <f>(_20250609_reklama_data[[#This Row],[Apyvarta 2022]]-_20250609_reklama_data[[#This Row],[Atlyginimų sąnaudos 2022]])/_20250609_reklama_data[[#This Row],[Darbuotojai 2022]]</f>
        <v>#DIV/0!</v>
      </c>
      <c r="AR128" s="2"/>
      <c r="AS128" s="2"/>
      <c r="AT128" s="2">
        <f>_20250609_reklama_data[[#This Row],[Atlyginimų vidurkis 2023]]*_20250609_reklama_data[[#This Row],[Darbuotojai 2023]]*12</f>
        <v>0</v>
      </c>
      <c r="AU128" s="2" t="e">
        <f>(_20250609_reklama_data[[#This Row],[Apyvarta 2023]]-_20250609_reklama_data[[#This Row],[Atlyginimų sąnaudos 2023]])/_20250609_reklama_data[[#This Row],[Darbuotojai 2023]]</f>
        <v>#DIV/0!</v>
      </c>
      <c r="AV128" s="2"/>
      <c r="AW128" s="2"/>
      <c r="AX128" s="2">
        <f>_20250609_reklama_data[[#This Row],[Atlyginimų vidurkis 2024]]*_20250609_reklama_data[[#This Row],[Darbuotojai 2024]]*12</f>
        <v>0</v>
      </c>
      <c r="AY128" s="2" t="e">
        <f>(_20250609_reklama_data[[#This Row],[Apyvarta 2024]]-_20250609_reklama_data[[#This Row],[Atlyginimų sąnaudos 2024]])/_20250609_reklama_data[[#This Row],[Darbuotojai 2024]]</f>
        <v>#DIV/0!</v>
      </c>
      <c r="AZ128" s="2"/>
      <c r="BA128" s="2"/>
      <c r="BB128" s="2">
        <f>_20250609_reklama_data[[#This Row],[Atlyginimų vidurkis 2025 04]]*_20250609_reklama_data[[#This Row],[Darbuotojai 2025 06 09]]*5</f>
        <v>0</v>
      </c>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row>
    <row r="129" spans="2:83" x14ac:dyDescent="0.2">
      <c r="B129" s="41"/>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f>_20250609_reklama_data[[#This Row],[Atlyginimų vidurkis 2019]]*_20250609_reklama_data[[#This Row],[Darbuotojai 2019]]*12</f>
        <v>0</v>
      </c>
      <c r="AF129" s="2" t="e">
        <f>(_20250609_reklama_data[[#This Row],[Apyvarta 2019]]-_20250609_reklama_data[[#This Row],[Atlyginimų sąnaudos 2019]])/_20250609_reklama_data[[#This Row],[Darbuotojai 2019]]</f>
        <v>#DIV/0!</v>
      </c>
      <c r="AG129" s="2"/>
      <c r="AH129" s="2">
        <f>_20250609_reklama_data[[#This Row],[Atlyginimų vidurkis 2020]]*_20250609_reklama_data[[#This Row],[Darbuotojai 2020]]*12</f>
        <v>0</v>
      </c>
      <c r="AI129" s="2" t="e">
        <f>(_20250609_reklama_data[[#This Row],[Apyvarta 2020]]-_20250609_reklama_data[[#This Row],[Atlyginimų sąnaudos 2020]])/_20250609_reklama_data[[#This Row],[Darbuotojai 2020]]</f>
        <v>#DIV/0!</v>
      </c>
      <c r="AJ129" s="2"/>
      <c r="AK129" s="2"/>
      <c r="AL129" s="2">
        <f>_20250609_reklama_data[[#This Row],[Atlyginimų vidurkis 2021]]*_20250609_reklama_data[[#This Row],[Darbuotojai 2021]]*12</f>
        <v>0</v>
      </c>
      <c r="AM129" s="2" t="e">
        <f>(_20250609_reklama_data[[#This Row],[Apyvarta 2021]]-_20250609_reklama_data[[#This Row],[Atlyginimų sąnaudos 2021]])/_20250609_reklama_data[[#This Row],[Darbuotojai 2021]]</f>
        <v>#DIV/0!</v>
      </c>
      <c r="AN129" s="2"/>
      <c r="AO129" s="2"/>
      <c r="AP129" s="2">
        <f>_20250609_reklama_data[[#This Row],[Atlyginimų vidurkis 2022]]*_20250609_reklama_data[[#This Row],[Darbuotojai 2022]]*12</f>
        <v>0</v>
      </c>
      <c r="AQ129" s="2" t="e">
        <f>(_20250609_reklama_data[[#This Row],[Apyvarta 2022]]-_20250609_reklama_data[[#This Row],[Atlyginimų sąnaudos 2022]])/_20250609_reklama_data[[#This Row],[Darbuotojai 2022]]</f>
        <v>#DIV/0!</v>
      </c>
      <c r="AR129" s="2"/>
      <c r="AS129" s="2"/>
      <c r="AT129" s="2">
        <f>_20250609_reklama_data[[#This Row],[Atlyginimų vidurkis 2023]]*_20250609_reklama_data[[#This Row],[Darbuotojai 2023]]*12</f>
        <v>0</v>
      </c>
      <c r="AU129" s="2" t="e">
        <f>(_20250609_reklama_data[[#This Row],[Apyvarta 2023]]-_20250609_reklama_data[[#This Row],[Atlyginimų sąnaudos 2023]])/_20250609_reklama_data[[#This Row],[Darbuotojai 2023]]</f>
        <v>#DIV/0!</v>
      </c>
      <c r="AV129" s="2"/>
      <c r="AW129" s="2"/>
      <c r="AX129" s="2">
        <f>_20250609_reklama_data[[#This Row],[Atlyginimų vidurkis 2024]]*_20250609_reklama_data[[#This Row],[Darbuotojai 2024]]*12</f>
        <v>0</v>
      </c>
      <c r="AY129" s="2" t="e">
        <f>(_20250609_reklama_data[[#This Row],[Apyvarta 2024]]-_20250609_reklama_data[[#This Row],[Atlyginimų sąnaudos 2024]])/_20250609_reklama_data[[#This Row],[Darbuotojai 2024]]</f>
        <v>#DIV/0!</v>
      </c>
      <c r="AZ129" s="2"/>
      <c r="BA129" s="2"/>
      <c r="BB129" s="2">
        <f>_20250609_reklama_data[[#This Row],[Atlyginimų vidurkis 2025 04]]*_20250609_reklama_data[[#This Row],[Darbuotojai 2025 06 09]]*5</f>
        <v>0</v>
      </c>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row>
    <row r="130" spans="2:83" x14ac:dyDescent="0.2">
      <c r="B130" s="41"/>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f>_20250609_reklama_data[[#This Row],[Atlyginimų vidurkis 2019]]*_20250609_reklama_data[[#This Row],[Darbuotojai 2019]]*12</f>
        <v>0</v>
      </c>
      <c r="AF130" s="2" t="e">
        <f>(_20250609_reklama_data[[#This Row],[Apyvarta 2019]]-_20250609_reklama_data[[#This Row],[Atlyginimų sąnaudos 2019]])/_20250609_reklama_data[[#This Row],[Darbuotojai 2019]]</f>
        <v>#DIV/0!</v>
      </c>
      <c r="AG130" s="2"/>
      <c r="AH130" s="2">
        <f>_20250609_reklama_data[[#This Row],[Atlyginimų vidurkis 2020]]*_20250609_reklama_data[[#This Row],[Darbuotojai 2020]]*12</f>
        <v>0</v>
      </c>
      <c r="AI130" s="2" t="e">
        <f>(_20250609_reklama_data[[#This Row],[Apyvarta 2020]]-_20250609_reklama_data[[#This Row],[Atlyginimų sąnaudos 2020]])/_20250609_reklama_data[[#This Row],[Darbuotojai 2020]]</f>
        <v>#DIV/0!</v>
      </c>
      <c r="AJ130" s="2"/>
      <c r="AK130" s="2"/>
      <c r="AL130" s="2">
        <f>_20250609_reklama_data[[#This Row],[Atlyginimų vidurkis 2021]]*_20250609_reklama_data[[#This Row],[Darbuotojai 2021]]*12</f>
        <v>0</v>
      </c>
      <c r="AM130" s="2" t="e">
        <f>(_20250609_reklama_data[[#This Row],[Apyvarta 2021]]-_20250609_reklama_data[[#This Row],[Atlyginimų sąnaudos 2021]])/_20250609_reklama_data[[#This Row],[Darbuotojai 2021]]</f>
        <v>#DIV/0!</v>
      </c>
      <c r="AN130" s="2"/>
      <c r="AO130" s="2"/>
      <c r="AP130" s="2">
        <f>_20250609_reklama_data[[#This Row],[Atlyginimų vidurkis 2022]]*_20250609_reklama_data[[#This Row],[Darbuotojai 2022]]*12</f>
        <v>0</v>
      </c>
      <c r="AQ130" s="2" t="e">
        <f>(_20250609_reklama_data[[#This Row],[Apyvarta 2022]]-_20250609_reklama_data[[#This Row],[Atlyginimų sąnaudos 2022]])/_20250609_reklama_data[[#This Row],[Darbuotojai 2022]]</f>
        <v>#DIV/0!</v>
      </c>
      <c r="AR130" s="2"/>
      <c r="AS130" s="2"/>
      <c r="AT130" s="2">
        <f>_20250609_reklama_data[[#This Row],[Atlyginimų vidurkis 2023]]*_20250609_reklama_data[[#This Row],[Darbuotojai 2023]]*12</f>
        <v>0</v>
      </c>
      <c r="AU130" s="2" t="e">
        <f>(_20250609_reklama_data[[#This Row],[Apyvarta 2023]]-_20250609_reklama_data[[#This Row],[Atlyginimų sąnaudos 2023]])/_20250609_reklama_data[[#This Row],[Darbuotojai 2023]]</f>
        <v>#DIV/0!</v>
      </c>
      <c r="AV130" s="2"/>
      <c r="AW130" s="2"/>
      <c r="AX130" s="2">
        <f>_20250609_reklama_data[[#This Row],[Atlyginimų vidurkis 2024]]*_20250609_reklama_data[[#This Row],[Darbuotojai 2024]]*12</f>
        <v>0</v>
      </c>
      <c r="AY130" s="2" t="e">
        <f>(_20250609_reklama_data[[#This Row],[Apyvarta 2024]]-_20250609_reklama_data[[#This Row],[Atlyginimų sąnaudos 2024]])/_20250609_reklama_data[[#This Row],[Darbuotojai 2024]]</f>
        <v>#DIV/0!</v>
      </c>
      <c r="AZ130" s="2"/>
      <c r="BA130" s="2"/>
      <c r="BB130" s="2">
        <f>_20250609_reklama_data[[#This Row],[Atlyginimų vidurkis 2025 04]]*_20250609_reklama_data[[#This Row],[Darbuotojai 2025 06 09]]*5</f>
        <v>0</v>
      </c>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row>
    <row r="131" spans="2:83" x14ac:dyDescent="0.2">
      <c r="B131" s="41"/>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f>_20250609_reklama_data[[#This Row],[Atlyginimų vidurkis 2019]]*_20250609_reklama_data[[#This Row],[Darbuotojai 2019]]*12</f>
        <v>0</v>
      </c>
      <c r="AF131" s="2" t="e">
        <f>(_20250609_reklama_data[[#This Row],[Apyvarta 2019]]-_20250609_reklama_data[[#This Row],[Atlyginimų sąnaudos 2019]])/_20250609_reklama_data[[#This Row],[Darbuotojai 2019]]</f>
        <v>#DIV/0!</v>
      </c>
      <c r="AG131" s="2"/>
      <c r="AH131" s="2">
        <f>_20250609_reklama_data[[#This Row],[Atlyginimų vidurkis 2020]]*_20250609_reklama_data[[#This Row],[Darbuotojai 2020]]*12</f>
        <v>0</v>
      </c>
      <c r="AI131" s="2" t="e">
        <f>(_20250609_reklama_data[[#This Row],[Apyvarta 2020]]-_20250609_reklama_data[[#This Row],[Atlyginimų sąnaudos 2020]])/_20250609_reklama_data[[#This Row],[Darbuotojai 2020]]</f>
        <v>#DIV/0!</v>
      </c>
      <c r="AJ131" s="2"/>
      <c r="AK131" s="2"/>
      <c r="AL131" s="2">
        <f>_20250609_reklama_data[[#This Row],[Atlyginimų vidurkis 2021]]*_20250609_reklama_data[[#This Row],[Darbuotojai 2021]]*12</f>
        <v>0</v>
      </c>
      <c r="AM131" s="2" t="e">
        <f>(_20250609_reklama_data[[#This Row],[Apyvarta 2021]]-_20250609_reklama_data[[#This Row],[Atlyginimų sąnaudos 2021]])/_20250609_reklama_data[[#This Row],[Darbuotojai 2021]]</f>
        <v>#DIV/0!</v>
      </c>
      <c r="AN131" s="2"/>
      <c r="AO131" s="2"/>
      <c r="AP131" s="2">
        <f>_20250609_reklama_data[[#This Row],[Atlyginimų vidurkis 2022]]*_20250609_reklama_data[[#This Row],[Darbuotojai 2022]]*12</f>
        <v>0</v>
      </c>
      <c r="AQ131" s="2" t="e">
        <f>(_20250609_reklama_data[[#This Row],[Apyvarta 2022]]-_20250609_reklama_data[[#This Row],[Atlyginimų sąnaudos 2022]])/_20250609_reklama_data[[#This Row],[Darbuotojai 2022]]</f>
        <v>#DIV/0!</v>
      </c>
      <c r="AR131" s="2"/>
      <c r="AS131" s="2"/>
      <c r="AT131" s="2">
        <f>_20250609_reklama_data[[#This Row],[Atlyginimų vidurkis 2023]]*_20250609_reklama_data[[#This Row],[Darbuotojai 2023]]*12</f>
        <v>0</v>
      </c>
      <c r="AU131" s="2" t="e">
        <f>(_20250609_reklama_data[[#This Row],[Apyvarta 2023]]-_20250609_reklama_data[[#This Row],[Atlyginimų sąnaudos 2023]])/_20250609_reklama_data[[#This Row],[Darbuotojai 2023]]</f>
        <v>#DIV/0!</v>
      </c>
      <c r="AV131" s="2"/>
      <c r="AW131" s="2"/>
      <c r="AX131" s="2">
        <f>_20250609_reklama_data[[#This Row],[Atlyginimų vidurkis 2024]]*_20250609_reklama_data[[#This Row],[Darbuotojai 2024]]*12</f>
        <v>0</v>
      </c>
      <c r="AY131" s="2" t="e">
        <f>(_20250609_reklama_data[[#This Row],[Apyvarta 2024]]-_20250609_reklama_data[[#This Row],[Atlyginimų sąnaudos 2024]])/_20250609_reklama_data[[#This Row],[Darbuotojai 2024]]</f>
        <v>#DIV/0!</v>
      </c>
      <c r="AZ131" s="2"/>
      <c r="BA131" s="2"/>
      <c r="BB131" s="2">
        <f>_20250609_reklama_data[[#This Row],[Atlyginimų vidurkis 2025 04]]*_20250609_reklama_data[[#This Row],[Darbuotojai 2025 06 09]]*5</f>
        <v>0</v>
      </c>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row>
    <row r="132" spans="2:83" x14ac:dyDescent="0.2">
      <c r="B132" s="41"/>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f>_20250609_reklama_data[[#This Row],[Atlyginimų vidurkis 2019]]*_20250609_reklama_data[[#This Row],[Darbuotojai 2019]]*12</f>
        <v>0</v>
      </c>
      <c r="AF132" s="2" t="e">
        <f>(_20250609_reklama_data[[#This Row],[Apyvarta 2019]]-_20250609_reklama_data[[#This Row],[Atlyginimų sąnaudos 2019]])/_20250609_reklama_data[[#This Row],[Darbuotojai 2019]]</f>
        <v>#DIV/0!</v>
      </c>
      <c r="AG132" s="2"/>
      <c r="AH132" s="2">
        <f>_20250609_reklama_data[[#This Row],[Atlyginimų vidurkis 2020]]*_20250609_reklama_data[[#This Row],[Darbuotojai 2020]]*12</f>
        <v>0</v>
      </c>
      <c r="AI132" s="2" t="e">
        <f>(_20250609_reklama_data[[#This Row],[Apyvarta 2020]]-_20250609_reklama_data[[#This Row],[Atlyginimų sąnaudos 2020]])/_20250609_reklama_data[[#This Row],[Darbuotojai 2020]]</f>
        <v>#DIV/0!</v>
      </c>
      <c r="AJ132" s="2"/>
      <c r="AK132" s="2"/>
      <c r="AL132" s="2">
        <f>_20250609_reklama_data[[#This Row],[Atlyginimų vidurkis 2021]]*_20250609_reklama_data[[#This Row],[Darbuotojai 2021]]*12</f>
        <v>0</v>
      </c>
      <c r="AM132" s="2" t="e">
        <f>(_20250609_reklama_data[[#This Row],[Apyvarta 2021]]-_20250609_reklama_data[[#This Row],[Atlyginimų sąnaudos 2021]])/_20250609_reklama_data[[#This Row],[Darbuotojai 2021]]</f>
        <v>#DIV/0!</v>
      </c>
      <c r="AN132" s="2"/>
      <c r="AO132" s="2"/>
      <c r="AP132" s="2">
        <f>_20250609_reklama_data[[#This Row],[Atlyginimų vidurkis 2022]]*_20250609_reklama_data[[#This Row],[Darbuotojai 2022]]*12</f>
        <v>0</v>
      </c>
      <c r="AQ132" s="2" t="e">
        <f>(_20250609_reklama_data[[#This Row],[Apyvarta 2022]]-_20250609_reklama_data[[#This Row],[Atlyginimų sąnaudos 2022]])/_20250609_reklama_data[[#This Row],[Darbuotojai 2022]]</f>
        <v>#DIV/0!</v>
      </c>
      <c r="AR132" s="2"/>
      <c r="AS132" s="2"/>
      <c r="AT132" s="2">
        <f>_20250609_reklama_data[[#This Row],[Atlyginimų vidurkis 2023]]*_20250609_reklama_data[[#This Row],[Darbuotojai 2023]]*12</f>
        <v>0</v>
      </c>
      <c r="AU132" s="2" t="e">
        <f>(_20250609_reklama_data[[#This Row],[Apyvarta 2023]]-_20250609_reklama_data[[#This Row],[Atlyginimų sąnaudos 2023]])/_20250609_reklama_data[[#This Row],[Darbuotojai 2023]]</f>
        <v>#DIV/0!</v>
      </c>
      <c r="AV132" s="2"/>
      <c r="AW132" s="2"/>
      <c r="AX132" s="2">
        <f>_20250609_reklama_data[[#This Row],[Atlyginimų vidurkis 2024]]*_20250609_reklama_data[[#This Row],[Darbuotojai 2024]]*12</f>
        <v>0</v>
      </c>
      <c r="AY132" s="2" t="e">
        <f>(_20250609_reklama_data[[#This Row],[Apyvarta 2024]]-_20250609_reklama_data[[#This Row],[Atlyginimų sąnaudos 2024]])/_20250609_reklama_data[[#This Row],[Darbuotojai 2024]]</f>
        <v>#DIV/0!</v>
      </c>
      <c r="AZ132" s="2"/>
      <c r="BA132" s="2"/>
      <c r="BB132" s="2">
        <f>_20250609_reklama_data[[#This Row],[Atlyginimų vidurkis 2025 04]]*_20250609_reklama_data[[#This Row],[Darbuotojai 2025 06 09]]*5</f>
        <v>0</v>
      </c>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row>
    <row r="133" spans="2:83" x14ac:dyDescent="0.2">
      <c r="B133" s="41"/>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f>_20250609_reklama_data[[#This Row],[Atlyginimų vidurkis 2019]]*_20250609_reklama_data[[#This Row],[Darbuotojai 2019]]*12</f>
        <v>0</v>
      </c>
      <c r="AF133" s="2" t="e">
        <f>(_20250609_reklama_data[[#This Row],[Apyvarta 2019]]-_20250609_reklama_data[[#This Row],[Atlyginimų sąnaudos 2019]])/_20250609_reklama_data[[#This Row],[Darbuotojai 2019]]</f>
        <v>#DIV/0!</v>
      </c>
      <c r="AG133" s="2"/>
      <c r="AH133" s="2">
        <f>_20250609_reklama_data[[#This Row],[Atlyginimų vidurkis 2020]]*_20250609_reklama_data[[#This Row],[Darbuotojai 2020]]*12</f>
        <v>0</v>
      </c>
      <c r="AI133" s="2" t="e">
        <f>(_20250609_reklama_data[[#This Row],[Apyvarta 2020]]-_20250609_reklama_data[[#This Row],[Atlyginimų sąnaudos 2020]])/_20250609_reklama_data[[#This Row],[Darbuotojai 2020]]</f>
        <v>#DIV/0!</v>
      </c>
      <c r="AJ133" s="2"/>
      <c r="AK133" s="2"/>
      <c r="AL133" s="2">
        <f>_20250609_reklama_data[[#This Row],[Atlyginimų vidurkis 2021]]*_20250609_reklama_data[[#This Row],[Darbuotojai 2021]]*12</f>
        <v>0</v>
      </c>
      <c r="AM133" s="2" t="e">
        <f>(_20250609_reklama_data[[#This Row],[Apyvarta 2021]]-_20250609_reklama_data[[#This Row],[Atlyginimų sąnaudos 2021]])/_20250609_reklama_data[[#This Row],[Darbuotojai 2021]]</f>
        <v>#DIV/0!</v>
      </c>
      <c r="AN133" s="2"/>
      <c r="AO133" s="2"/>
      <c r="AP133" s="2">
        <f>_20250609_reklama_data[[#This Row],[Atlyginimų vidurkis 2022]]*_20250609_reklama_data[[#This Row],[Darbuotojai 2022]]*12</f>
        <v>0</v>
      </c>
      <c r="AQ133" s="2" t="e">
        <f>(_20250609_reklama_data[[#This Row],[Apyvarta 2022]]-_20250609_reklama_data[[#This Row],[Atlyginimų sąnaudos 2022]])/_20250609_reklama_data[[#This Row],[Darbuotojai 2022]]</f>
        <v>#DIV/0!</v>
      </c>
      <c r="AR133" s="2"/>
      <c r="AS133" s="2"/>
      <c r="AT133" s="2">
        <f>_20250609_reklama_data[[#This Row],[Atlyginimų vidurkis 2023]]*_20250609_reklama_data[[#This Row],[Darbuotojai 2023]]*12</f>
        <v>0</v>
      </c>
      <c r="AU133" s="2" t="e">
        <f>(_20250609_reklama_data[[#This Row],[Apyvarta 2023]]-_20250609_reklama_data[[#This Row],[Atlyginimų sąnaudos 2023]])/_20250609_reklama_data[[#This Row],[Darbuotojai 2023]]</f>
        <v>#DIV/0!</v>
      </c>
      <c r="AV133" s="2"/>
      <c r="AW133" s="2"/>
      <c r="AX133" s="2">
        <f>_20250609_reklama_data[[#This Row],[Atlyginimų vidurkis 2024]]*_20250609_reklama_data[[#This Row],[Darbuotojai 2024]]*12</f>
        <v>0</v>
      </c>
      <c r="AY133" s="2" t="e">
        <f>(_20250609_reklama_data[[#This Row],[Apyvarta 2024]]-_20250609_reklama_data[[#This Row],[Atlyginimų sąnaudos 2024]])/_20250609_reklama_data[[#This Row],[Darbuotojai 2024]]</f>
        <v>#DIV/0!</v>
      </c>
      <c r="AZ133" s="2"/>
      <c r="BA133" s="2"/>
      <c r="BB133" s="2">
        <f>_20250609_reklama_data[[#This Row],[Atlyginimų vidurkis 2025 04]]*_20250609_reklama_data[[#This Row],[Darbuotojai 2025 06 09]]*5</f>
        <v>0</v>
      </c>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row>
    <row r="134" spans="2:83" x14ac:dyDescent="0.2">
      <c r="B134" s="41"/>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f>_20250609_reklama_data[[#This Row],[Atlyginimų vidurkis 2019]]*_20250609_reklama_data[[#This Row],[Darbuotojai 2019]]*12</f>
        <v>0</v>
      </c>
      <c r="AF134" s="2" t="e">
        <f>(_20250609_reklama_data[[#This Row],[Apyvarta 2019]]-_20250609_reklama_data[[#This Row],[Atlyginimų sąnaudos 2019]])/_20250609_reklama_data[[#This Row],[Darbuotojai 2019]]</f>
        <v>#DIV/0!</v>
      </c>
      <c r="AG134" s="2"/>
      <c r="AH134" s="2">
        <f>_20250609_reklama_data[[#This Row],[Atlyginimų vidurkis 2020]]*_20250609_reklama_data[[#This Row],[Darbuotojai 2020]]*12</f>
        <v>0</v>
      </c>
      <c r="AI134" s="2" t="e">
        <f>(_20250609_reklama_data[[#This Row],[Apyvarta 2020]]-_20250609_reklama_data[[#This Row],[Atlyginimų sąnaudos 2020]])/_20250609_reklama_data[[#This Row],[Darbuotojai 2020]]</f>
        <v>#DIV/0!</v>
      </c>
      <c r="AJ134" s="2"/>
      <c r="AK134" s="2"/>
      <c r="AL134" s="2">
        <f>_20250609_reklama_data[[#This Row],[Atlyginimų vidurkis 2021]]*_20250609_reklama_data[[#This Row],[Darbuotojai 2021]]*12</f>
        <v>0</v>
      </c>
      <c r="AM134" s="2" t="e">
        <f>(_20250609_reklama_data[[#This Row],[Apyvarta 2021]]-_20250609_reklama_data[[#This Row],[Atlyginimų sąnaudos 2021]])/_20250609_reklama_data[[#This Row],[Darbuotojai 2021]]</f>
        <v>#DIV/0!</v>
      </c>
      <c r="AN134" s="2"/>
      <c r="AO134" s="2"/>
      <c r="AP134" s="2">
        <f>_20250609_reklama_data[[#This Row],[Atlyginimų vidurkis 2022]]*_20250609_reklama_data[[#This Row],[Darbuotojai 2022]]*12</f>
        <v>0</v>
      </c>
      <c r="AQ134" s="2" t="e">
        <f>(_20250609_reklama_data[[#This Row],[Apyvarta 2022]]-_20250609_reklama_data[[#This Row],[Atlyginimų sąnaudos 2022]])/_20250609_reklama_data[[#This Row],[Darbuotojai 2022]]</f>
        <v>#DIV/0!</v>
      </c>
      <c r="AR134" s="2"/>
      <c r="AS134" s="2"/>
      <c r="AT134" s="2">
        <f>_20250609_reklama_data[[#This Row],[Atlyginimų vidurkis 2023]]*_20250609_reklama_data[[#This Row],[Darbuotojai 2023]]*12</f>
        <v>0</v>
      </c>
      <c r="AU134" s="2" t="e">
        <f>(_20250609_reklama_data[[#This Row],[Apyvarta 2023]]-_20250609_reklama_data[[#This Row],[Atlyginimų sąnaudos 2023]])/_20250609_reklama_data[[#This Row],[Darbuotojai 2023]]</f>
        <v>#DIV/0!</v>
      </c>
      <c r="AV134" s="2"/>
      <c r="AW134" s="2"/>
      <c r="AX134" s="2">
        <f>_20250609_reklama_data[[#This Row],[Atlyginimų vidurkis 2024]]*_20250609_reklama_data[[#This Row],[Darbuotojai 2024]]*12</f>
        <v>0</v>
      </c>
      <c r="AY134" s="2" t="e">
        <f>(_20250609_reklama_data[[#This Row],[Apyvarta 2024]]-_20250609_reklama_data[[#This Row],[Atlyginimų sąnaudos 2024]])/_20250609_reklama_data[[#This Row],[Darbuotojai 2024]]</f>
        <v>#DIV/0!</v>
      </c>
      <c r="AZ134" s="2"/>
      <c r="BA134" s="2"/>
      <c r="BB134" s="2">
        <f>_20250609_reklama_data[[#This Row],[Atlyginimų vidurkis 2025 04]]*_20250609_reklama_data[[#This Row],[Darbuotojai 2025 06 09]]*5</f>
        <v>0</v>
      </c>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row>
    <row r="135" spans="2:83" x14ac:dyDescent="0.2">
      <c r="B135" s="41"/>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f>_20250609_reklama_data[[#This Row],[Atlyginimų vidurkis 2019]]*_20250609_reklama_data[[#This Row],[Darbuotojai 2019]]*12</f>
        <v>0</v>
      </c>
      <c r="AF135" s="2" t="e">
        <f>(_20250609_reklama_data[[#This Row],[Apyvarta 2019]]-_20250609_reklama_data[[#This Row],[Atlyginimų sąnaudos 2019]])/_20250609_reklama_data[[#This Row],[Darbuotojai 2019]]</f>
        <v>#DIV/0!</v>
      </c>
      <c r="AG135" s="2"/>
      <c r="AH135" s="2">
        <f>_20250609_reklama_data[[#This Row],[Atlyginimų vidurkis 2020]]*_20250609_reklama_data[[#This Row],[Darbuotojai 2020]]*12</f>
        <v>0</v>
      </c>
      <c r="AI135" s="2" t="e">
        <f>(_20250609_reklama_data[[#This Row],[Apyvarta 2020]]-_20250609_reklama_data[[#This Row],[Atlyginimų sąnaudos 2020]])/_20250609_reklama_data[[#This Row],[Darbuotojai 2020]]</f>
        <v>#DIV/0!</v>
      </c>
      <c r="AJ135" s="2"/>
      <c r="AK135" s="2"/>
      <c r="AL135" s="2">
        <f>_20250609_reklama_data[[#This Row],[Atlyginimų vidurkis 2021]]*_20250609_reklama_data[[#This Row],[Darbuotojai 2021]]*12</f>
        <v>0</v>
      </c>
      <c r="AM135" s="2" t="e">
        <f>(_20250609_reklama_data[[#This Row],[Apyvarta 2021]]-_20250609_reklama_data[[#This Row],[Atlyginimų sąnaudos 2021]])/_20250609_reklama_data[[#This Row],[Darbuotojai 2021]]</f>
        <v>#DIV/0!</v>
      </c>
      <c r="AN135" s="2"/>
      <c r="AO135" s="2"/>
      <c r="AP135" s="2">
        <f>_20250609_reklama_data[[#This Row],[Atlyginimų vidurkis 2022]]*_20250609_reklama_data[[#This Row],[Darbuotojai 2022]]*12</f>
        <v>0</v>
      </c>
      <c r="AQ135" s="2" t="e">
        <f>(_20250609_reklama_data[[#This Row],[Apyvarta 2022]]-_20250609_reklama_data[[#This Row],[Atlyginimų sąnaudos 2022]])/_20250609_reklama_data[[#This Row],[Darbuotojai 2022]]</f>
        <v>#DIV/0!</v>
      </c>
      <c r="AR135" s="2"/>
      <c r="AS135" s="2"/>
      <c r="AT135" s="2">
        <f>_20250609_reklama_data[[#This Row],[Atlyginimų vidurkis 2023]]*_20250609_reklama_data[[#This Row],[Darbuotojai 2023]]*12</f>
        <v>0</v>
      </c>
      <c r="AU135" s="2" t="e">
        <f>(_20250609_reklama_data[[#This Row],[Apyvarta 2023]]-_20250609_reklama_data[[#This Row],[Atlyginimų sąnaudos 2023]])/_20250609_reklama_data[[#This Row],[Darbuotojai 2023]]</f>
        <v>#DIV/0!</v>
      </c>
      <c r="AV135" s="2"/>
      <c r="AW135" s="2"/>
      <c r="AX135" s="2">
        <f>_20250609_reklama_data[[#This Row],[Atlyginimų vidurkis 2024]]*_20250609_reklama_data[[#This Row],[Darbuotojai 2024]]*12</f>
        <v>0</v>
      </c>
      <c r="AY135" s="2" t="e">
        <f>(_20250609_reklama_data[[#This Row],[Apyvarta 2024]]-_20250609_reklama_data[[#This Row],[Atlyginimų sąnaudos 2024]])/_20250609_reklama_data[[#This Row],[Darbuotojai 2024]]</f>
        <v>#DIV/0!</v>
      </c>
      <c r="AZ135" s="2"/>
      <c r="BA135" s="2"/>
      <c r="BB135" s="2">
        <f>_20250609_reklama_data[[#This Row],[Atlyginimų vidurkis 2025 04]]*_20250609_reklama_data[[#This Row],[Darbuotojai 2025 06 09]]*5</f>
        <v>0</v>
      </c>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row>
    <row r="136" spans="2:83" x14ac:dyDescent="0.2">
      <c r="B136" s="41"/>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f>_20250609_reklama_data[[#This Row],[Atlyginimų vidurkis 2019]]*_20250609_reklama_data[[#This Row],[Darbuotojai 2019]]*12</f>
        <v>0</v>
      </c>
      <c r="AF136" s="2" t="e">
        <f>(_20250609_reklama_data[[#This Row],[Apyvarta 2019]]-_20250609_reklama_data[[#This Row],[Atlyginimų sąnaudos 2019]])/_20250609_reklama_data[[#This Row],[Darbuotojai 2019]]</f>
        <v>#DIV/0!</v>
      </c>
      <c r="AG136" s="2"/>
      <c r="AH136" s="2">
        <f>_20250609_reklama_data[[#This Row],[Atlyginimų vidurkis 2020]]*_20250609_reklama_data[[#This Row],[Darbuotojai 2020]]*12</f>
        <v>0</v>
      </c>
      <c r="AI136" s="2" t="e">
        <f>(_20250609_reklama_data[[#This Row],[Apyvarta 2020]]-_20250609_reklama_data[[#This Row],[Atlyginimų sąnaudos 2020]])/_20250609_reklama_data[[#This Row],[Darbuotojai 2020]]</f>
        <v>#DIV/0!</v>
      </c>
      <c r="AJ136" s="2"/>
      <c r="AK136" s="2"/>
      <c r="AL136" s="2">
        <f>_20250609_reklama_data[[#This Row],[Atlyginimų vidurkis 2021]]*_20250609_reklama_data[[#This Row],[Darbuotojai 2021]]*12</f>
        <v>0</v>
      </c>
      <c r="AM136" s="2" t="e">
        <f>(_20250609_reklama_data[[#This Row],[Apyvarta 2021]]-_20250609_reklama_data[[#This Row],[Atlyginimų sąnaudos 2021]])/_20250609_reklama_data[[#This Row],[Darbuotojai 2021]]</f>
        <v>#DIV/0!</v>
      </c>
      <c r="AN136" s="2"/>
      <c r="AO136" s="2"/>
      <c r="AP136" s="2">
        <f>_20250609_reklama_data[[#This Row],[Atlyginimų vidurkis 2022]]*_20250609_reklama_data[[#This Row],[Darbuotojai 2022]]*12</f>
        <v>0</v>
      </c>
      <c r="AQ136" s="2" t="e">
        <f>(_20250609_reklama_data[[#This Row],[Apyvarta 2022]]-_20250609_reklama_data[[#This Row],[Atlyginimų sąnaudos 2022]])/_20250609_reklama_data[[#This Row],[Darbuotojai 2022]]</f>
        <v>#DIV/0!</v>
      </c>
      <c r="AR136" s="2"/>
      <c r="AS136" s="2"/>
      <c r="AT136" s="2">
        <f>_20250609_reklama_data[[#This Row],[Atlyginimų vidurkis 2023]]*_20250609_reklama_data[[#This Row],[Darbuotojai 2023]]*12</f>
        <v>0</v>
      </c>
      <c r="AU136" s="2" t="e">
        <f>(_20250609_reklama_data[[#This Row],[Apyvarta 2023]]-_20250609_reklama_data[[#This Row],[Atlyginimų sąnaudos 2023]])/_20250609_reklama_data[[#This Row],[Darbuotojai 2023]]</f>
        <v>#DIV/0!</v>
      </c>
      <c r="AV136" s="2"/>
      <c r="AW136" s="2"/>
      <c r="AX136" s="2">
        <f>_20250609_reklama_data[[#This Row],[Atlyginimų vidurkis 2024]]*_20250609_reklama_data[[#This Row],[Darbuotojai 2024]]*12</f>
        <v>0</v>
      </c>
      <c r="AY136" s="2" t="e">
        <f>(_20250609_reklama_data[[#This Row],[Apyvarta 2024]]-_20250609_reklama_data[[#This Row],[Atlyginimų sąnaudos 2024]])/_20250609_reklama_data[[#This Row],[Darbuotojai 2024]]</f>
        <v>#DIV/0!</v>
      </c>
      <c r="AZ136" s="2"/>
      <c r="BA136" s="2"/>
      <c r="BB136" s="2">
        <f>_20250609_reklama_data[[#This Row],[Atlyginimų vidurkis 2025 04]]*_20250609_reklama_data[[#This Row],[Darbuotojai 2025 06 09]]*5</f>
        <v>0</v>
      </c>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row>
    <row r="137" spans="2:83" x14ac:dyDescent="0.2">
      <c r="B137" s="41"/>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f>_20250609_reklama_data[[#This Row],[Atlyginimų vidurkis 2019]]*_20250609_reklama_data[[#This Row],[Darbuotojai 2019]]*12</f>
        <v>0</v>
      </c>
      <c r="AF137" s="2" t="e">
        <f>(_20250609_reklama_data[[#This Row],[Apyvarta 2019]]-_20250609_reklama_data[[#This Row],[Atlyginimų sąnaudos 2019]])/_20250609_reklama_data[[#This Row],[Darbuotojai 2019]]</f>
        <v>#DIV/0!</v>
      </c>
      <c r="AG137" s="2"/>
      <c r="AH137" s="2">
        <f>_20250609_reklama_data[[#This Row],[Atlyginimų vidurkis 2020]]*_20250609_reklama_data[[#This Row],[Darbuotojai 2020]]*12</f>
        <v>0</v>
      </c>
      <c r="AI137" s="2" t="e">
        <f>(_20250609_reklama_data[[#This Row],[Apyvarta 2020]]-_20250609_reklama_data[[#This Row],[Atlyginimų sąnaudos 2020]])/_20250609_reklama_data[[#This Row],[Darbuotojai 2020]]</f>
        <v>#DIV/0!</v>
      </c>
      <c r="AJ137" s="2"/>
      <c r="AK137" s="2"/>
      <c r="AL137" s="2">
        <f>_20250609_reklama_data[[#This Row],[Atlyginimų vidurkis 2021]]*_20250609_reklama_data[[#This Row],[Darbuotojai 2021]]*12</f>
        <v>0</v>
      </c>
      <c r="AM137" s="2" t="e">
        <f>(_20250609_reklama_data[[#This Row],[Apyvarta 2021]]-_20250609_reklama_data[[#This Row],[Atlyginimų sąnaudos 2021]])/_20250609_reklama_data[[#This Row],[Darbuotojai 2021]]</f>
        <v>#DIV/0!</v>
      </c>
      <c r="AN137" s="2"/>
      <c r="AO137" s="2"/>
      <c r="AP137" s="2">
        <f>_20250609_reklama_data[[#This Row],[Atlyginimų vidurkis 2022]]*_20250609_reklama_data[[#This Row],[Darbuotojai 2022]]*12</f>
        <v>0</v>
      </c>
      <c r="AQ137" s="2" t="e">
        <f>(_20250609_reklama_data[[#This Row],[Apyvarta 2022]]-_20250609_reklama_data[[#This Row],[Atlyginimų sąnaudos 2022]])/_20250609_reklama_data[[#This Row],[Darbuotojai 2022]]</f>
        <v>#DIV/0!</v>
      </c>
      <c r="AR137" s="2"/>
      <c r="AS137" s="2"/>
      <c r="AT137" s="2">
        <f>_20250609_reklama_data[[#This Row],[Atlyginimų vidurkis 2023]]*_20250609_reklama_data[[#This Row],[Darbuotojai 2023]]*12</f>
        <v>0</v>
      </c>
      <c r="AU137" s="2" t="e">
        <f>(_20250609_reklama_data[[#This Row],[Apyvarta 2023]]-_20250609_reklama_data[[#This Row],[Atlyginimų sąnaudos 2023]])/_20250609_reklama_data[[#This Row],[Darbuotojai 2023]]</f>
        <v>#DIV/0!</v>
      </c>
      <c r="AV137" s="2"/>
      <c r="AW137" s="2"/>
      <c r="AX137" s="2">
        <f>_20250609_reklama_data[[#This Row],[Atlyginimų vidurkis 2024]]*_20250609_reklama_data[[#This Row],[Darbuotojai 2024]]*12</f>
        <v>0</v>
      </c>
      <c r="AY137" s="2" t="e">
        <f>(_20250609_reklama_data[[#This Row],[Apyvarta 2024]]-_20250609_reklama_data[[#This Row],[Atlyginimų sąnaudos 2024]])/_20250609_reklama_data[[#This Row],[Darbuotojai 2024]]</f>
        <v>#DIV/0!</v>
      </c>
      <c r="AZ137" s="2"/>
      <c r="BA137" s="2"/>
      <c r="BB137" s="2">
        <f>_20250609_reklama_data[[#This Row],[Atlyginimų vidurkis 2025 04]]*_20250609_reklama_data[[#This Row],[Darbuotojai 2025 06 09]]*5</f>
        <v>0</v>
      </c>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row>
    <row r="138" spans="2:83" x14ac:dyDescent="0.2">
      <c r="B138" s="41"/>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f>_20250609_reklama_data[[#This Row],[Atlyginimų vidurkis 2019]]*_20250609_reklama_data[[#This Row],[Darbuotojai 2019]]*12</f>
        <v>0</v>
      </c>
      <c r="AF138" s="2" t="e">
        <f>(_20250609_reklama_data[[#This Row],[Apyvarta 2019]]-_20250609_reklama_data[[#This Row],[Atlyginimų sąnaudos 2019]])/_20250609_reklama_data[[#This Row],[Darbuotojai 2019]]</f>
        <v>#DIV/0!</v>
      </c>
      <c r="AG138" s="2"/>
      <c r="AH138" s="2">
        <f>_20250609_reklama_data[[#This Row],[Atlyginimų vidurkis 2020]]*_20250609_reklama_data[[#This Row],[Darbuotojai 2020]]*12</f>
        <v>0</v>
      </c>
      <c r="AI138" s="2" t="e">
        <f>(_20250609_reklama_data[[#This Row],[Apyvarta 2020]]-_20250609_reklama_data[[#This Row],[Atlyginimų sąnaudos 2020]])/_20250609_reklama_data[[#This Row],[Darbuotojai 2020]]</f>
        <v>#DIV/0!</v>
      </c>
      <c r="AJ138" s="2"/>
      <c r="AK138" s="2"/>
      <c r="AL138" s="2">
        <f>_20250609_reklama_data[[#This Row],[Atlyginimų vidurkis 2021]]*_20250609_reklama_data[[#This Row],[Darbuotojai 2021]]*12</f>
        <v>0</v>
      </c>
      <c r="AM138" s="2" t="e">
        <f>(_20250609_reklama_data[[#This Row],[Apyvarta 2021]]-_20250609_reklama_data[[#This Row],[Atlyginimų sąnaudos 2021]])/_20250609_reklama_data[[#This Row],[Darbuotojai 2021]]</f>
        <v>#DIV/0!</v>
      </c>
      <c r="AN138" s="2"/>
      <c r="AO138" s="2"/>
      <c r="AP138" s="2">
        <f>_20250609_reklama_data[[#This Row],[Atlyginimų vidurkis 2022]]*_20250609_reklama_data[[#This Row],[Darbuotojai 2022]]*12</f>
        <v>0</v>
      </c>
      <c r="AQ138" s="2" t="e">
        <f>(_20250609_reklama_data[[#This Row],[Apyvarta 2022]]-_20250609_reklama_data[[#This Row],[Atlyginimų sąnaudos 2022]])/_20250609_reklama_data[[#This Row],[Darbuotojai 2022]]</f>
        <v>#DIV/0!</v>
      </c>
      <c r="AR138" s="2"/>
      <c r="AS138" s="2"/>
      <c r="AT138" s="2">
        <f>_20250609_reklama_data[[#This Row],[Atlyginimų vidurkis 2023]]*_20250609_reklama_data[[#This Row],[Darbuotojai 2023]]*12</f>
        <v>0</v>
      </c>
      <c r="AU138" s="2" t="e">
        <f>(_20250609_reklama_data[[#This Row],[Apyvarta 2023]]-_20250609_reklama_data[[#This Row],[Atlyginimų sąnaudos 2023]])/_20250609_reklama_data[[#This Row],[Darbuotojai 2023]]</f>
        <v>#DIV/0!</v>
      </c>
      <c r="AV138" s="2"/>
      <c r="AW138" s="2"/>
      <c r="AX138" s="2">
        <f>_20250609_reklama_data[[#This Row],[Atlyginimų vidurkis 2024]]*_20250609_reklama_data[[#This Row],[Darbuotojai 2024]]*12</f>
        <v>0</v>
      </c>
      <c r="AY138" s="2" t="e">
        <f>(_20250609_reklama_data[[#This Row],[Apyvarta 2024]]-_20250609_reklama_data[[#This Row],[Atlyginimų sąnaudos 2024]])/_20250609_reklama_data[[#This Row],[Darbuotojai 2024]]</f>
        <v>#DIV/0!</v>
      </c>
      <c r="AZ138" s="2"/>
      <c r="BA138" s="2"/>
      <c r="BB138" s="2">
        <f>_20250609_reklama_data[[#This Row],[Atlyginimų vidurkis 2025 04]]*_20250609_reklama_data[[#This Row],[Darbuotojai 2025 06 09]]*5</f>
        <v>0</v>
      </c>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row>
    <row r="139" spans="2:83" x14ac:dyDescent="0.2">
      <c r="B139" s="41"/>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f>_20250609_reklama_data[[#This Row],[Atlyginimų vidurkis 2019]]*_20250609_reklama_data[[#This Row],[Darbuotojai 2019]]*12</f>
        <v>0</v>
      </c>
      <c r="AF139" s="2" t="e">
        <f>(_20250609_reklama_data[[#This Row],[Apyvarta 2019]]-_20250609_reklama_data[[#This Row],[Atlyginimų sąnaudos 2019]])/_20250609_reklama_data[[#This Row],[Darbuotojai 2019]]</f>
        <v>#DIV/0!</v>
      </c>
      <c r="AG139" s="2"/>
      <c r="AH139" s="2">
        <f>_20250609_reklama_data[[#This Row],[Atlyginimų vidurkis 2020]]*_20250609_reklama_data[[#This Row],[Darbuotojai 2020]]*12</f>
        <v>0</v>
      </c>
      <c r="AI139" s="2" t="e">
        <f>(_20250609_reklama_data[[#This Row],[Apyvarta 2020]]-_20250609_reklama_data[[#This Row],[Atlyginimų sąnaudos 2020]])/_20250609_reklama_data[[#This Row],[Darbuotojai 2020]]</f>
        <v>#DIV/0!</v>
      </c>
      <c r="AJ139" s="2"/>
      <c r="AK139" s="2"/>
      <c r="AL139" s="2">
        <f>_20250609_reklama_data[[#This Row],[Atlyginimų vidurkis 2021]]*_20250609_reklama_data[[#This Row],[Darbuotojai 2021]]*12</f>
        <v>0</v>
      </c>
      <c r="AM139" s="2" t="e">
        <f>(_20250609_reklama_data[[#This Row],[Apyvarta 2021]]-_20250609_reklama_data[[#This Row],[Atlyginimų sąnaudos 2021]])/_20250609_reklama_data[[#This Row],[Darbuotojai 2021]]</f>
        <v>#DIV/0!</v>
      </c>
      <c r="AN139" s="2"/>
      <c r="AO139" s="2"/>
      <c r="AP139" s="2">
        <f>_20250609_reklama_data[[#This Row],[Atlyginimų vidurkis 2022]]*_20250609_reklama_data[[#This Row],[Darbuotojai 2022]]*12</f>
        <v>0</v>
      </c>
      <c r="AQ139" s="2" t="e">
        <f>(_20250609_reklama_data[[#This Row],[Apyvarta 2022]]-_20250609_reklama_data[[#This Row],[Atlyginimų sąnaudos 2022]])/_20250609_reklama_data[[#This Row],[Darbuotojai 2022]]</f>
        <v>#DIV/0!</v>
      </c>
      <c r="AR139" s="2"/>
      <c r="AS139" s="2"/>
      <c r="AT139" s="2">
        <f>_20250609_reklama_data[[#This Row],[Atlyginimų vidurkis 2023]]*_20250609_reklama_data[[#This Row],[Darbuotojai 2023]]*12</f>
        <v>0</v>
      </c>
      <c r="AU139" s="2" t="e">
        <f>(_20250609_reklama_data[[#This Row],[Apyvarta 2023]]-_20250609_reklama_data[[#This Row],[Atlyginimų sąnaudos 2023]])/_20250609_reklama_data[[#This Row],[Darbuotojai 2023]]</f>
        <v>#DIV/0!</v>
      </c>
      <c r="AV139" s="2"/>
      <c r="AW139" s="2"/>
      <c r="AX139" s="2">
        <f>_20250609_reklama_data[[#This Row],[Atlyginimų vidurkis 2024]]*_20250609_reklama_data[[#This Row],[Darbuotojai 2024]]*12</f>
        <v>0</v>
      </c>
      <c r="AY139" s="2" t="e">
        <f>(_20250609_reklama_data[[#This Row],[Apyvarta 2024]]-_20250609_reklama_data[[#This Row],[Atlyginimų sąnaudos 2024]])/_20250609_reklama_data[[#This Row],[Darbuotojai 2024]]</f>
        <v>#DIV/0!</v>
      </c>
      <c r="AZ139" s="2"/>
      <c r="BA139" s="2"/>
      <c r="BB139" s="2">
        <f>_20250609_reklama_data[[#This Row],[Atlyginimų vidurkis 2025 04]]*_20250609_reklama_data[[#This Row],[Darbuotojai 2025 06 09]]*5</f>
        <v>0</v>
      </c>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row>
    <row r="140" spans="2:83" x14ac:dyDescent="0.2">
      <c r="B140" s="41"/>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f>_20250609_reklama_data[[#This Row],[Atlyginimų vidurkis 2019]]*_20250609_reklama_data[[#This Row],[Darbuotojai 2019]]*12</f>
        <v>0</v>
      </c>
      <c r="AF140" s="2" t="e">
        <f>(_20250609_reklama_data[[#This Row],[Apyvarta 2019]]-_20250609_reklama_data[[#This Row],[Atlyginimų sąnaudos 2019]])/_20250609_reklama_data[[#This Row],[Darbuotojai 2019]]</f>
        <v>#DIV/0!</v>
      </c>
      <c r="AG140" s="2"/>
      <c r="AH140" s="2">
        <f>_20250609_reklama_data[[#This Row],[Atlyginimų vidurkis 2020]]*_20250609_reklama_data[[#This Row],[Darbuotojai 2020]]*12</f>
        <v>0</v>
      </c>
      <c r="AI140" s="2" t="e">
        <f>(_20250609_reklama_data[[#This Row],[Apyvarta 2020]]-_20250609_reklama_data[[#This Row],[Atlyginimų sąnaudos 2020]])/_20250609_reklama_data[[#This Row],[Darbuotojai 2020]]</f>
        <v>#DIV/0!</v>
      </c>
      <c r="AJ140" s="2"/>
      <c r="AK140" s="2"/>
      <c r="AL140" s="2">
        <f>_20250609_reklama_data[[#This Row],[Atlyginimų vidurkis 2021]]*_20250609_reklama_data[[#This Row],[Darbuotojai 2021]]*12</f>
        <v>0</v>
      </c>
      <c r="AM140" s="2" t="e">
        <f>(_20250609_reklama_data[[#This Row],[Apyvarta 2021]]-_20250609_reklama_data[[#This Row],[Atlyginimų sąnaudos 2021]])/_20250609_reklama_data[[#This Row],[Darbuotojai 2021]]</f>
        <v>#DIV/0!</v>
      </c>
      <c r="AN140" s="2"/>
      <c r="AO140" s="2"/>
      <c r="AP140" s="2">
        <f>_20250609_reklama_data[[#This Row],[Atlyginimų vidurkis 2022]]*_20250609_reklama_data[[#This Row],[Darbuotojai 2022]]*12</f>
        <v>0</v>
      </c>
      <c r="AQ140" s="2" t="e">
        <f>(_20250609_reklama_data[[#This Row],[Apyvarta 2022]]-_20250609_reklama_data[[#This Row],[Atlyginimų sąnaudos 2022]])/_20250609_reklama_data[[#This Row],[Darbuotojai 2022]]</f>
        <v>#DIV/0!</v>
      </c>
      <c r="AR140" s="2"/>
      <c r="AS140" s="2"/>
      <c r="AT140" s="2">
        <f>_20250609_reklama_data[[#This Row],[Atlyginimų vidurkis 2023]]*_20250609_reklama_data[[#This Row],[Darbuotojai 2023]]*12</f>
        <v>0</v>
      </c>
      <c r="AU140" s="2" t="e">
        <f>(_20250609_reklama_data[[#This Row],[Apyvarta 2023]]-_20250609_reklama_data[[#This Row],[Atlyginimų sąnaudos 2023]])/_20250609_reklama_data[[#This Row],[Darbuotojai 2023]]</f>
        <v>#DIV/0!</v>
      </c>
      <c r="AV140" s="2"/>
      <c r="AW140" s="2"/>
      <c r="AX140" s="2">
        <f>_20250609_reklama_data[[#This Row],[Atlyginimų vidurkis 2024]]*_20250609_reklama_data[[#This Row],[Darbuotojai 2024]]*12</f>
        <v>0</v>
      </c>
      <c r="AY140" s="2" t="e">
        <f>(_20250609_reklama_data[[#This Row],[Apyvarta 2024]]-_20250609_reklama_data[[#This Row],[Atlyginimų sąnaudos 2024]])/_20250609_reklama_data[[#This Row],[Darbuotojai 2024]]</f>
        <v>#DIV/0!</v>
      </c>
      <c r="AZ140" s="2"/>
      <c r="BA140" s="2"/>
      <c r="BB140" s="2">
        <f>_20250609_reklama_data[[#This Row],[Atlyginimų vidurkis 2025 04]]*_20250609_reklama_data[[#This Row],[Darbuotojai 2025 06 09]]*5</f>
        <v>0</v>
      </c>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row>
    <row r="141" spans="2:83" x14ac:dyDescent="0.2">
      <c r="B141" s="41"/>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f>_20250609_reklama_data[[#This Row],[Atlyginimų vidurkis 2019]]*_20250609_reklama_data[[#This Row],[Darbuotojai 2019]]*12</f>
        <v>0</v>
      </c>
      <c r="AF141" s="2" t="e">
        <f>(_20250609_reklama_data[[#This Row],[Apyvarta 2019]]-_20250609_reklama_data[[#This Row],[Atlyginimų sąnaudos 2019]])/_20250609_reklama_data[[#This Row],[Darbuotojai 2019]]</f>
        <v>#DIV/0!</v>
      </c>
      <c r="AG141" s="2"/>
      <c r="AH141" s="2">
        <f>_20250609_reklama_data[[#This Row],[Atlyginimų vidurkis 2020]]*_20250609_reklama_data[[#This Row],[Darbuotojai 2020]]*12</f>
        <v>0</v>
      </c>
      <c r="AI141" s="2" t="e">
        <f>(_20250609_reklama_data[[#This Row],[Apyvarta 2020]]-_20250609_reklama_data[[#This Row],[Atlyginimų sąnaudos 2020]])/_20250609_reklama_data[[#This Row],[Darbuotojai 2020]]</f>
        <v>#DIV/0!</v>
      </c>
      <c r="AJ141" s="2"/>
      <c r="AK141" s="2"/>
      <c r="AL141" s="2">
        <f>_20250609_reklama_data[[#This Row],[Atlyginimų vidurkis 2021]]*_20250609_reklama_data[[#This Row],[Darbuotojai 2021]]*12</f>
        <v>0</v>
      </c>
      <c r="AM141" s="2" t="e">
        <f>(_20250609_reklama_data[[#This Row],[Apyvarta 2021]]-_20250609_reklama_data[[#This Row],[Atlyginimų sąnaudos 2021]])/_20250609_reklama_data[[#This Row],[Darbuotojai 2021]]</f>
        <v>#DIV/0!</v>
      </c>
      <c r="AN141" s="2"/>
      <c r="AO141" s="2"/>
      <c r="AP141" s="2">
        <f>_20250609_reklama_data[[#This Row],[Atlyginimų vidurkis 2022]]*_20250609_reklama_data[[#This Row],[Darbuotojai 2022]]*12</f>
        <v>0</v>
      </c>
      <c r="AQ141" s="2" t="e">
        <f>(_20250609_reklama_data[[#This Row],[Apyvarta 2022]]-_20250609_reklama_data[[#This Row],[Atlyginimų sąnaudos 2022]])/_20250609_reklama_data[[#This Row],[Darbuotojai 2022]]</f>
        <v>#DIV/0!</v>
      </c>
      <c r="AR141" s="2"/>
      <c r="AS141" s="2"/>
      <c r="AT141" s="2">
        <f>_20250609_reklama_data[[#This Row],[Atlyginimų vidurkis 2023]]*_20250609_reklama_data[[#This Row],[Darbuotojai 2023]]*12</f>
        <v>0</v>
      </c>
      <c r="AU141" s="2" t="e">
        <f>(_20250609_reklama_data[[#This Row],[Apyvarta 2023]]-_20250609_reklama_data[[#This Row],[Atlyginimų sąnaudos 2023]])/_20250609_reklama_data[[#This Row],[Darbuotojai 2023]]</f>
        <v>#DIV/0!</v>
      </c>
      <c r="AV141" s="2"/>
      <c r="AW141" s="2"/>
      <c r="AX141" s="2">
        <f>_20250609_reklama_data[[#This Row],[Atlyginimų vidurkis 2024]]*_20250609_reklama_data[[#This Row],[Darbuotojai 2024]]*12</f>
        <v>0</v>
      </c>
      <c r="AY141" s="2" t="e">
        <f>(_20250609_reklama_data[[#This Row],[Apyvarta 2024]]-_20250609_reklama_data[[#This Row],[Atlyginimų sąnaudos 2024]])/_20250609_reklama_data[[#This Row],[Darbuotojai 2024]]</f>
        <v>#DIV/0!</v>
      </c>
      <c r="AZ141" s="2"/>
      <c r="BA141" s="2"/>
      <c r="BB141" s="2">
        <f>_20250609_reklama_data[[#This Row],[Atlyginimų vidurkis 2025 04]]*_20250609_reklama_data[[#This Row],[Darbuotojai 2025 06 09]]*5</f>
        <v>0</v>
      </c>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row>
    <row r="142" spans="2:83" x14ac:dyDescent="0.2">
      <c r="B142" s="41"/>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f>_20250609_reklama_data[[#This Row],[Atlyginimų vidurkis 2019]]*_20250609_reklama_data[[#This Row],[Darbuotojai 2019]]*12</f>
        <v>0</v>
      </c>
      <c r="AF142" s="2" t="e">
        <f>(_20250609_reklama_data[[#This Row],[Apyvarta 2019]]-_20250609_reklama_data[[#This Row],[Atlyginimų sąnaudos 2019]])/_20250609_reklama_data[[#This Row],[Darbuotojai 2019]]</f>
        <v>#DIV/0!</v>
      </c>
      <c r="AG142" s="2"/>
      <c r="AH142" s="2">
        <f>_20250609_reklama_data[[#This Row],[Atlyginimų vidurkis 2020]]*_20250609_reklama_data[[#This Row],[Darbuotojai 2020]]*12</f>
        <v>0</v>
      </c>
      <c r="AI142" s="2" t="e">
        <f>(_20250609_reklama_data[[#This Row],[Apyvarta 2020]]-_20250609_reklama_data[[#This Row],[Atlyginimų sąnaudos 2020]])/_20250609_reklama_data[[#This Row],[Darbuotojai 2020]]</f>
        <v>#DIV/0!</v>
      </c>
      <c r="AJ142" s="2"/>
      <c r="AK142" s="2"/>
      <c r="AL142" s="2">
        <f>_20250609_reklama_data[[#This Row],[Atlyginimų vidurkis 2021]]*_20250609_reklama_data[[#This Row],[Darbuotojai 2021]]*12</f>
        <v>0</v>
      </c>
      <c r="AM142" s="2" t="e">
        <f>(_20250609_reklama_data[[#This Row],[Apyvarta 2021]]-_20250609_reklama_data[[#This Row],[Atlyginimų sąnaudos 2021]])/_20250609_reklama_data[[#This Row],[Darbuotojai 2021]]</f>
        <v>#DIV/0!</v>
      </c>
      <c r="AN142" s="2"/>
      <c r="AO142" s="2"/>
      <c r="AP142" s="2">
        <f>_20250609_reklama_data[[#This Row],[Atlyginimų vidurkis 2022]]*_20250609_reklama_data[[#This Row],[Darbuotojai 2022]]*12</f>
        <v>0</v>
      </c>
      <c r="AQ142" s="2" t="e">
        <f>(_20250609_reklama_data[[#This Row],[Apyvarta 2022]]-_20250609_reklama_data[[#This Row],[Atlyginimų sąnaudos 2022]])/_20250609_reklama_data[[#This Row],[Darbuotojai 2022]]</f>
        <v>#DIV/0!</v>
      </c>
      <c r="AR142" s="2"/>
      <c r="AS142" s="2"/>
      <c r="AT142" s="2">
        <f>_20250609_reklama_data[[#This Row],[Atlyginimų vidurkis 2023]]*_20250609_reklama_data[[#This Row],[Darbuotojai 2023]]*12</f>
        <v>0</v>
      </c>
      <c r="AU142" s="2" t="e">
        <f>(_20250609_reklama_data[[#This Row],[Apyvarta 2023]]-_20250609_reklama_data[[#This Row],[Atlyginimų sąnaudos 2023]])/_20250609_reklama_data[[#This Row],[Darbuotojai 2023]]</f>
        <v>#DIV/0!</v>
      </c>
      <c r="AV142" s="2"/>
      <c r="AW142" s="2"/>
      <c r="AX142" s="2">
        <f>_20250609_reklama_data[[#This Row],[Atlyginimų vidurkis 2024]]*_20250609_reklama_data[[#This Row],[Darbuotojai 2024]]*12</f>
        <v>0</v>
      </c>
      <c r="AY142" s="2" t="e">
        <f>(_20250609_reklama_data[[#This Row],[Apyvarta 2024]]-_20250609_reklama_data[[#This Row],[Atlyginimų sąnaudos 2024]])/_20250609_reklama_data[[#This Row],[Darbuotojai 2024]]</f>
        <v>#DIV/0!</v>
      </c>
      <c r="AZ142" s="2"/>
      <c r="BA142" s="2"/>
      <c r="BB142" s="2">
        <f>_20250609_reklama_data[[#This Row],[Atlyginimų vidurkis 2025 04]]*_20250609_reklama_data[[#This Row],[Darbuotojai 2025 06 09]]*5</f>
        <v>0</v>
      </c>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row>
    <row r="143" spans="2:83" x14ac:dyDescent="0.2">
      <c r="B143" s="41"/>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f>_20250609_reklama_data[[#This Row],[Atlyginimų vidurkis 2019]]*_20250609_reklama_data[[#This Row],[Darbuotojai 2019]]*12</f>
        <v>0</v>
      </c>
      <c r="AF143" s="2" t="e">
        <f>(_20250609_reklama_data[[#This Row],[Apyvarta 2019]]-_20250609_reklama_data[[#This Row],[Atlyginimų sąnaudos 2019]])/_20250609_reklama_data[[#This Row],[Darbuotojai 2019]]</f>
        <v>#DIV/0!</v>
      </c>
      <c r="AG143" s="2"/>
      <c r="AH143" s="2">
        <f>_20250609_reklama_data[[#This Row],[Atlyginimų vidurkis 2020]]*_20250609_reklama_data[[#This Row],[Darbuotojai 2020]]*12</f>
        <v>0</v>
      </c>
      <c r="AI143" s="2" t="e">
        <f>(_20250609_reklama_data[[#This Row],[Apyvarta 2020]]-_20250609_reklama_data[[#This Row],[Atlyginimų sąnaudos 2020]])/_20250609_reklama_data[[#This Row],[Darbuotojai 2020]]</f>
        <v>#DIV/0!</v>
      </c>
      <c r="AJ143" s="2"/>
      <c r="AK143" s="2"/>
      <c r="AL143" s="2">
        <f>_20250609_reklama_data[[#This Row],[Atlyginimų vidurkis 2021]]*_20250609_reklama_data[[#This Row],[Darbuotojai 2021]]*12</f>
        <v>0</v>
      </c>
      <c r="AM143" s="2" t="e">
        <f>(_20250609_reklama_data[[#This Row],[Apyvarta 2021]]-_20250609_reklama_data[[#This Row],[Atlyginimų sąnaudos 2021]])/_20250609_reklama_data[[#This Row],[Darbuotojai 2021]]</f>
        <v>#DIV/0!</v>
      </c>
      <c r="AN143" s="2"/>
      <c r="AO143" s="2"/>
      <c r="AP143" s="2">
        <f>_20250609_reklama_data[[#This Row],[Atlyginimų vidurkis 2022]]*_20250609_reklama_data[[#This Row],[Darbuotojai 2022]]*12</f>
        <v>0</v>
      </c>
      <c r="AQ143" s="2" t="e">
        <f>(_20250609_reklama_data[[#This Row],[Apyvarta 2022]]-_20250609_reklama_data[[#This Row],[Atlyginimų sąnaudos 2022]])/_20250609_reklama_data[[#This Row],[Darbuotojai 2022]]</f>
        <v>#DIV/0!</v>
      </c>
      <c r="AR143" s="2"/>
      <c r="AS143" s="2"/>
      <c r="AT143" s="2">
        <f>_20250609_reklama_data[[#This Row],[Atlyginimų vidurkis 2023]]*_20250609_reklama_data[[#This Row],[Darbuotojai 2023]]*12</f>
        <v>0</v>
      </c>
      <c r="AU143" s="2" t="e">
        <f>(_20250609_reklama_data[[#This Row],[Apyvarta 2023]]-_20250609_reklama_data[[#This Row],[Atlyginimų sąnaudos 2023]])/_20250609_reklama_data[[#This Row],[Darbuotojai 2023]]</f>
        <v>#DIV/0!</v>
      </c>
      <c r="AV143" s="2"/>
      <c r="AW143" s="2"/>
      <c r="AX143" s="2">
        <f>_20250609_reklama_data[[#This Row],[Atlyginimų vidurkis 2024]]*_20250609_reklama_data[[#This Row],[Darbuotojai 2024]]*12</f>
        <v>0</v>
      </c>
      <c r="AY143" s="2" t="e">
        <f>(_20250609_reklama_data[[#This Row],[Apyvarta 2024]]-_20250609_reklama_data[[#This Row],[Atlyginimų sąnaudos 2024]])/_20250609_reklama_data[[#This Row],[Darbuotojai 2024]]</f>
        <v>#DIV/0!</v>
      </c>
      <c r="AZ143" s="2"/>
      <c r="BA143" s="2"/>
      <c r="BB143" s="2">
        <f>_20250609_reklama_data[[#This Row],[Atlyginimų vidurkis 2025 04]]*_20250609_reklama_data[[#This Row],[Darbuotojai 2025 06 09]]*5</f>
        <v>0</v>
      </c>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row>
    <row r="144" spans="2:83" x14ac:dyDescent="0.2">
      <c r="B144" s="41"/>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f>_20250609_reklama_data[[#This Row],[Atlyginimų vidurkis 2019]]*_20250609_reklama_data[[#This Row],[Darbuotojai 2019]]*12</f>
        <v>0</v>
      </c>
      <c r="AF144" s="2" t="e">
        <f>(_20250609_reklama_data[[#This Row],[Apyvarta 2019]]-_20250609_reklama_data[[#This Row],[Atlyginimų sąnaudos 2019]])/_20250609_reklama_data[[#This Row],[Darbuotojai 2019]]</f>
        <v>#DIV/0!</v>
      </c>
      <c r="AG144" s="2"/>
      <c r="AH144" s="2">
        <f>_20250609_reklama_data[[#This Row],[Atlyginimų vidurkis 2020]]*_20250609_reklama_data[[#This Row],[Darbuotojai 2020]]*12</f>
        <v>0</v>
      </c>
      <c r="AI144" s="2" t="e">
        <f>(_20250609_reklama_data[[#This Row],[Apyvarta 2020]]-_20250609_reklama_data[[#This Row],[Atlyginimų sąnaudos 2020]])/_20250609_reklama_data[[#This Row],[Darbuotojai 2020]]</f>
        <v>#DIV/0!</v>
      </c>
      <c r="AJ144" s="2"/>
      <c r="AK144" s="2"/>
      <c r="AL144" s="2">
        <f>_20250609_reklama_data[[#This Row],[Atlyginimų vidurkis 2021]]*_20250609_reklama_data[[#This Row],[Darbuotojai 2021]]*12</f>
        <v>0</v>
      </c>
      <c r="AM144" s="2" t="e">
        <f>(_20250609_reklama_data[[#This Row],[Apyvarta 2021]]-_20250609_reklama_data[[#This Row],[Atlyginimų sąnaudos 2021]])/_20250609_reklama_data[[#This Row],[Darbuotojai 2021]]</f>
        <v>#DIV/0!</v>
      </c>
      <c r="AN144" s="2"/>
      <c r="AO144" s="2"/>
      <c r="AP144" s="2">
        <f>_20250609_reklama_data[[#This Row],[Atlyginimų vidurkis 2022]]*_20250609_reklama_data[[#This Row],[Darbuotojai 2022]]*12</f>
        <v>0</v>
      </c>
      <c r="AQ144" s="2" t="e">
        <f>(_20250609_reklama_data[[#This Row],[Apyvarta 2022]]-_20250609_reklama_data[[#This Row],[Atlyginimų sąnaudos 2022]])/_20250609_reklama_data[[#This Row],[Darbuotojai 2022]]</f>
        <v>#DIV/0!</v>
      </c>
      <c r="AR144" s="2"/>
      <c r="AS144" s="2"/>
      <c r="AT144" s="2">
        <f>_20250609_reklama_data[[#This Row],[Atlyginimų vidurkis 2023]]*_20250609_reklama_data[[#This Row],[Darbuotojai 2023]]*12</f>
        <v>0</v>
      </c>
      <c r="AU144" s="2" t="e">
        <f>(_20250609_reklama_data[[#This Row],[Apyvarta 2023]]-_20250609_reklama_data[[#This Row],[Atlyginimų sąnaudos 2023]])/_20250609_reklama_data[[#This Row],[Darbuotojai 2023]]</f>
        <v>#DIV/0!</v>
      </c>
      <c r="AV144" s="2"/>
      <c r="AW144" s="2"/>
      <c r="AX144" s="2">
        <f>_20250609_reklama_data[[#This Row],[Atlyginimų vidurkis 2024]]*_20250609_reklama_data[[#This Row],[Darbuotojai 2024]]*12</f>
        <v>0</v>
      </c>
      <c r="AY144" s="2" t="e">
        <f>(_20250609_reklama_data[[#This Row],[Apyvarta 2024]]-_20250609_reklama_data[[#This Row],[Atlyginimų sąnaudos 2024]])/_20250609_reklama_data[[#This Row],[Darbuotojai 2024]]</f>
        <v>#DIV/0!</v>
      </c>
      <c r="AZ144" s="2"/>
      <c r="BA144" s="2"/>
      <c r="BB144" s="2">
        <f>_20250609_reklama_data[[#This Row],[Atlyginimų vidurkis 2025 04]]*_20250609_reklama_data[[#This Row],[Darbuotojai 2025 06 09]]*5</f>
        <v>0</v>
      </c>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row>
    <row r="145" spans="2:83" x14ac:dyDescent="0.2">
      <c r="B145" s="41"/>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f>_20250609_reklama_data[[#This Row],[Atlyginimų vidurkis 2019]]*_20250609_reklama_data[[#This Row],[Darbuotojai 2019]]*12</f>
        <v>0</v>
      </c>
      <c r="AF145" s="2" t="e">
        <f>(_20250609_reklama_data[[#This Row],[Apyvarta 2019]]-_20250609_reklama_data[[#This Row],[Atlyginimų sąnaudos 2019]])/_20250609_reklama_data[[#This Row],[Darbuotojai 2019]]</f>
        <v>#DIV/0!</v>
      </c>
      <c r="AG145" s="2"/>
      <c r="AH145" s="2">
        <f>_20250609_reklama_data[[#This Row],[Atlyginimų vidurkis 2020]]*_20250609_reklama_data[[#This Row],[Darbuotojai 2020]]*12</f>
        <v>0</v>
      </c>
      <c r="AI145" s="2" t="e">
        <f>(_20250609_reklama_data[[#This Row],[Apyvarta 2020]]-_20250609_reklama_data[[#This Row],[Atlyginimų sąnaudos 2020]])/_20250609_reklama_data[[#This Row],[Darbuotojai 2020]]</f>
        <v>#DIV/0!</v>
      </c>
      <c r="AJ145" s="2"/>
      <c r="AK145" s="2"/>
      <c r="AL145" s="2">
        <f>_20250609_reklama_data[[#This Row],[Atlyginimų vidurkis 2021]]*_20250609_reklama_data[[#This Row],[Darbuotojai 2021]]*12</f>
        <v>0</v>
      </c>
      <c r="AM145" s="2" t="e">
        <f>(_20250609_reklama_data[[#This Row],[Apyvarta 2021]]-_20250609_reklama_data[[#This Row],[Atlyginimų sąnaudos 2021]])/_20250609_reklama_data[[#This Row],[Darbuotojai 2021]]</f>
        <v>#DIV/0!</v>
      </c>
      <c r="AN145" s="2"/>
      <c r="AO145" s="2"/>
      <c r="AP145" s="2">
        <f>_20250609_reklama_data[[#This Row],[Atlyginimų vidurkis 2022]]*_20250609_reklama_data[[#This Row],[Darbuotojai 2022]]*12</f>
        <v>0</v>
      </c>
      <c r="AQ145" s="2" t="e">
        <f>(_20250609_reklama_data[[#This Row],[Apyvarta 2022]]-_20250609_reklama_data[[#This Row],[Atlyginimų sąnaudos 2022]])/_20250609_reklama_data[[#This Row],[Darbuotojai 2022]]</f>
        <v>#DIV/0!</v>
      </c>
      <c r="AR145" s="2"/>
      <c r="AS145" s="2"/>
      <c r="AT145" s="2">
        <f>_20250609_reklama_data[[#This Row],[Atlyginimų vidurkis 2023]]*_20250609_reklama_data[[#This Row],[Darbuotojai 2023]]*12</f>
        <v>0</v>
      </c>
      <c r="AU145" s="2" t="e">
        <f>(_20250609_reklama_data[[#This Row],[Apyvarta 2023]]-_20250609_reklama_data[[#This Row],[Atlyginimų sąnaudos 2023]])/_20250609_reklama_data[[#This Row],[Darbuotojai 2023]]</f>
        <v>#DIV/0!</v>
      </c>
      <c r="AV145" s="2"/>
      <c r="AW145" s="2"/>
      <c r="AX145" s="2">
        <f>_20250609_reklama_data[[#This Row],[Atlyginimų vidurkis 2024]]*_20250609_reklama_data[[#This Row],[Darbuotojai 2024]]*12</f>
        <v>0</v>
      </c>
      <c r="AY145" s="2" t="e">
        <f>(_20250609_reklama_data[[#This Row],[Apyvarta 2024]]-_20250609_reklama_data[[#This Row],[Atlyginimų sąnaudos 2024]])/_20250609_reklama_data[[#This Row],[Darbuotojai 2024]]</f>
        <v>#DIV/0!</v>
      </c>
      <c r="AZ145" s="2"/>
      <c r="BA145" s="2"/>
      <c r="BB145" s="2">
        <f>_20250609_reklama_data[[#This Row],[Atlyginimų vidurkis 2025 04]]*_20250609_reklama_data[[#This Row],[Darbuotojai 2025 06 09]]*5</f>
        <v>0</v>
      </c>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row>
    <row r="146" spans="2:83" x14ac:dyDescent="0.2">
      <c r="B146" s="41"/>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f>_20250609_reklama_data[[#This Row],[Atlyginimų vidurkis 2019]]*_20250609_reklama_data[[#This Row],[Darbuotojai 2019]]*12</f>
        <v>0</v>
      </c>
      <c r="AF146" s="2" t="e">
        <f>(_20250609_reklama_data[[#This Row],[Apyvarta 2019]]-_20250609_reklama_data[[#This Row],[Atlyginimų sąnaudos 2019]])/_20250609_reklama_data[[#This Row],[Darbuotojai 2019]]</f>
        <v>#DIV/0!</v>
      </c>
      <c r="AG146" s="2"/>
      <c r="AH146" s="2">
        <f>_20250609_reklama_data[[#This Row],[Atlyginimų vidurkis 2020]]*_20250609_reklama_data[[#This Row],[Darbuotojai 2020]]*12</f>
        <v>0</v>
      </c>
      <c r="AI146" s="2" t="e">
        <f>(_20250609_reklama_data[[#This Row],[Apyvarta 2020]]-_20250609_reklama_data[[#This Row],[Atlyginimų sąnaudos 2020]])/_20250609_reklama_data[[#This Row],[Darbuotojai 2020]]</f>
        <v>#DIV/0!</v>
      </c>
      <c r="AJ146" s="2"/>
      <c r="AK146" s="2"/>
      <c r="AL146" s="2">
        <f>_20250609_reklama_data[[#This Row],[Atlyginimų vidurkis 2021]]*_20250609_reklama_data[[#This Row],[Darbuotojai 2021]]*12</f>
        <v>0</v>
      </c>
      <c r="AM146" s="2" t="e">
        <f>(_20250609_reklama_data[[#This Row],[Apyvarta 2021]]-_20250609_reklama_data[[#This Row],[Atlyginimų sąnaudos 2021]])/_20250609_reklama_data[[#This Row],[Darbuotojai 2021]]</f>
        <v>#DIV/0!</v>
      </c>
      <c r="AN146" s="2"/>
      <c r="AO146" s="2"/>
      <c r="AP146" s="2">
        <f>_20250609_reklama_data[[#This Row],[Atlyginimų vidurkis 2022]]*_20250609_reklama_data[[#This Row],[Darbuotojai 2022]]*12</f>
        <v>0</v>
      </c>
      <c r="AQ146" s="2" t="e">
        <f>(_20250609_reklama_data[[#This Row],[Apyvarta 2022]]-_20250609_reklama_data[[#This Row],[Atlyginimų sąnaudos 2022]])/_20250609_reklama_data[[#This Row],[Darbuotojai 2022]]</f>
        <v>#DIV/0!</v>
      </c>
      <c r="AR146" s="2"/>
      <c r="AS146" s="2"/>
      <c r="AT146" s="2">
        <f>_20250609_reklama_data[[#This Row],[Atlyginimų vidurkis 2023]]*_20250609_reklama_data[[#This Row],[Darbuotojai 2023]]*12</f>
        <v>0</v>
      </c>
      <c r="AU146" s="2" t="e">
        <f>(_20250609_reklama_data[[#This Row],[Apyvarta 2023]]-_20250609_reklama_data[[#This Row],[Atlyginimų sąnaudos 2023]])/_20250609_reklama_data[[#This Row],[Darbuotojai 2023]]</f>
        <v>#DIV/0!</v>
      </c>
      <c r="AV146" s="2"/>
      <c r="AW146" s="2"/>
      <c r="AX146" s="2">
        <f>_20250609_reklama_data[[#This Row],[Atlyginimų vidurkis 2024]]*_20250609_reklama_data[[#This Row],[Darbuotojai 2024]]*12</f>
        <v>0</v>
      </c>
      <c r="AY146" s="2" t="e">
        <f>(_20250609_reklama_data[[#This Row],[Apyvarta 2024]]-_20250609_reklama_data[[#This Row],[Atlyginimų sąnaudos 2024]])/_20250609_reklama_data[[#This Row],[Darbuotojai 2024]]</f>
        <v>#DIV/0!</v>
      </c>
      <c r="AZ146" s="2"/>
      <c r="BA146" s="2"/>
      <c r="BB146" s="2">
        <f>_20250609_reklama_data[[#This Row],[Atlyginimų vidurkis 2025 04]]*_20250609_reklama_data[[#This Row],[Darbuotojai 2025 06 09]]*5</f>
        <v>0</v>
      </c>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row>
    <row r="147" spans="2:83" x14ac:dyDescent="0.2">
      <c r="B147" s="41"/>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f>_20250609_reklama_data[[#This Row],[Atlyginimų vidurkis 2019]]*_20250609_reklama_data[[#This Row],[Darbuotojai 2019]]*12</f>
        <v>0</v>
      </c>
      <c r="AF147" s="2" t="e">
        <f>(_20250609_reklama_data[[#This Row],[Apyvarta 2019]]-_20250609_reklama_data[[#This Row],[Atlyginimų sąnaudos 2019]])/_20250609_reklama_data[[#This Row],[Darbuotojai 2019]]</f>
        <v>#DIV/0!</v>
      </c>
      <c r="AG147" s="2"/>
      <c r="AH147" s="2">
        <f>_20250609_reklama_data[[#This Row],[Atlyginimų vidurkis 2020]]*_20250609_reklama_data[[#This Row],[Darbuotojai 2020]]*12</f>
        <v>0</v>
      </c>
      <c r="AI147" s="2" t="e">
        <f>(_20250609_reklama_data[[#This Row],[Apyvarta 2020]]-_20250609_reklama_data[[#This Row],[Atlyginimų sąnaudos 2020]])/_20250609_reklama_data[[#This Row],[Darbuotojai 2020]]</f>
        <v>#DIV/0!</v>
      </c>
      <c r="AJ147" s="2"/>
      <c r="AK147" s="2"/>
      <c r="AL147" s="2">
        <f>_20250609_reklama_data[[#This Row],[Atlyginimų vidurkis 2021]]*_20250609_reklama_data[[#This Row],[Darbuotojai 2021]]*12</f>
        <v>0</v>
      </c>
      <c r="AM147" s="2" t="e">
        <f>(_20250609_reklama_data[[#This Row],[Apyvarta 2021]]-_20250609_reklama_data[[#This Row],[Atlyginimų sąnaudos 2021]])/_20250609_reklama_data[[#This Row],[Darbuotojai 2021]]</f>
        <v>#DIV/0!</v>
      </c>
      <c r="AN147" s="2"/>
      <c r="AO147" s="2"/>
      <c r="AP147" s="2">
        <f>_20250609_reklama_data[[#This Row],[Atlyginimų vidurkis 2022]]*_20250609_reklama_data[[#This Row],[Darbuotojai 2022]]*12</f>
        <v>0</v>
      </c>
      <c r="AQ147" s="2" t="e">
        <f>(_20250609_reklama_data[[#This Row],[Apyvarta 2022]]-_20250609_reklama_data[[#This Row],[Atlyginimų sąnaudos 2022]])/_20250609_reklama_data[[#This Row],[Darbuotojai 2022]]</f>
        <v>#DIV/0!</v>
      </c>
      <c r="AR147" s="2"/>
      <c r="AS147" s="2"/>
      <c r="AT147" s="2">
        <f>_20250609_reklama_data[[#This Row],[Atlyginimų vidurkis 2023]]*_20250609_reklama_data[[#This Row],[Darbuotojai 2023]]*12</f>
        <v>0</v>
      </c>
      <c r="AU147" s="2" t="e">
        <f>(_20250609_reklama_data[[#This Row],[Apyvarta 2023]]-_20250609_reklama_data[[#This Row],[Atlyginimų sąnaudos 2023]])/_20250609_reklama_data[[#This Row],[Darbuotojai 2023]]</f>
        <v>#DIV/0!</v>
      </c>
      <c r="AV147" s="2"/>
      <c r="AW147" s="2"/>
      <c r="AX147" s="2">
        <f>_20250609_reklama_data[[#This Row],[Atlyginimų vidurkis 2024]]*_20250609_reklama_data[[#This Row],[Darbuotojai 2024]]*12</f>
        <v>0</v>
      </c>
      <c r="AY147" s="2" t="e">
        <f>(_20250609_reklama_data[[#This Row],[Apyvarta 2024]]-_20250609_reklama_data[[#This Row],[Atlyginimų sąnaudos 2024]])/_20250609_reklama_data[[#This Row],[Darbuotojai 2024]]</f>
        <v>#DIV/0!</v>
      </c>
      <c r="AZ147" s="2"/>
      <c r="BA147" s="2"/>
      <c r="BB147" s="2">
        <f>_20250609_reklama_data[[#This Row],[Atlyginimų vidurkis 2025 04]]*_20250609_reklama_data[[#This Row],[Darbuotojai 2025 06 09]]*5</f>
        <v>0</v>
      </c>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row>
    <row r="148" spans="2:83" x14ac:dyDescent="0.2">
      <c r="B148" s="41"/>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f>_20250609_reklama_data[[#This Row],[Atlyginimų vidurkis 2019]]*_20250609_reklama_data[[#This Row],[Darbuotojai 2019]]*12</f>
        <v>0</v>
      </c>
      <c r="AF148" s="2" t="e">
        <f>(_20250609_reklama_data[[#This Row],[Apyvarta 2019]]-_20250609_reklama_data[[#This Row],[Atlyginimų sąnaudos 2019]])/_20250609_reklama_data[[#This Row],[Darbuotojai 2019]]</f>
        <v>#DIV/0!</v>
      </c>
      <c r="AG148" s="2"/>
      <c r="AH148" s="2">
        <f>_20250609_reklama_data[[#This Row],[Atlyginimų vidurkis 2020]]*_20250609_reklama_data[[#This Row],[Darbuotojai 2020]]*12</f>
        <v>0</v>
      </c>
      <c r="AI148" s="2" t="e">
        <f>(_20250609_reklama_data[[#This Row],[Apyvarta 2020]]-_20250609_reklama_data[[#This Row],[Atlyginimų sąnaudos 2020]])/_20250609_reklama_data[[#This Row],[Darbuotojai 2020]]</f>
        <v>#DIV/0!</v>
      </c>
      <c r="AJ148" s="2"/>
      <c r="AK148" s="2"/>
      <c r="AL148" s="2">
        <f>_20250609_reklama_data[[#This Row],[Atlyginimų vidurkis 2021]]*_20250609_reklama_data[[#This Row],[Darbuotojai 2021]]*12</f>
        <v>0</v>
      </c>
      <c r="AM148" s="2" t="e">
        <f>(_20250609_reklama_data[[#This Row],[Apyvarta 2021]]-_20250609_reklama_data[[#This Row],[Atlyginimų sąnaudos 2021]])/_20250609_reklama_data[[#This Row],[Darbuotojai 2021]]</f>
        <v>#DIV/0!</v>
      </c>
      <c r="AN148" s="2"/>
      <c r="AO148" s="2"/>
      <c r="AP148" s="2">
        <f>_20250609_reklama_data[[#This Row],[Atlyginimų vidurkis 2022]]*_20250609_reklama_data[[#This Row],[Darbuotojai 2022]]*12</f>
        <v>0</v>
      </c>
      <c r="AQ148" s="2" t="e">
        <f>(_20250609_reklama_data[[#This Row],[Apyvarta 2022]]-_20250609_reklama_data[[#This Row],[Atlyginimų sąnaudos 2022]])/_20250609_reklama_data[[#This Row],[Darbuotojai 2022]]</f>
        <v>#DIV/0!</v>
      </c>
      <c r="AR148" s="2"/>
      <c r="AS148" s="2"/>
      <c r="AT148" s="2">
        <f>_20250609_reklama_data[[#This Row],[Atlyginimų vidurkis 2023]]*_20250609_reklama_data[[#This Row],[Darbuotojai 2023]]*12</f>
        <v>0</v>
      </c>
      <c r="AU148" s="2" t="e">
        <f>(_20250609_reklama_data[[#This Row],[Apyvarta 2023]]-_20250609_reklama_data[[#This Row],[Atlyginimų sąnaudos 2023]])/_20250609_reklama_data[[#This Row],[Darbuotojai 2023]]</f>
        <v>#DIV/0!</v>
      </c>
      <c r="AV148" s="2"/>
      <c r="AW148" s="2"/>
      <c r="AX148" s="2">
        <f>_20250609_reklama_data[[#This Row],[Atlyginimų vidurkis 2024]]*_20250609_reklama_data[[#This Row],[Darbuotojai 2024]]*12</f>
        <v>0</v>
      </c>
      <c r="AY148" s="2" t="e">
        <f>(_20250609_reklama_data[[#This Row],[Apyvarta 2024]]-_20250609_reklama_data[[#This Row],[Atlyginimų sąnaudos 2024]])/_20250609_reklama_data[[#This Row],[Darbuotojai 2024]]</f>
        <v>#DIV/0!</v>
      </c>
      <c r="AZ148" s="2"/>
      <c r="BA148" s="2"/>
      <c r="BB148" s="2">
        <f>_20250609_reklama_data[[#This Row],[Atlyginimų vidurkis 2025 04]]*_20250609_reklama_data[[#This Row],[Darbuotojai 2025 06 09]]*5</f>
        <v>0</v>
      </c>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row>
    <row r="149" spans="2:83" x14ac:dyDescent="0.2">
      <c r="B149" s="41"/>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f>_20250609_reklama_data[[#This Row],[Atlyginimų vidurkis 2019]]*_20250609_reklama_data[[#This Row],[Darbuotojai 2019]]*12</f>
        <v>0</v>
      </c>
      <c r="AF149" s="2" t="e">
        <f>(_20250609_reklama_data[[#This Row],[Apyvarta 2019]]-_20250609_reklama_data[[#This Row],[Atlyginimų sąnaudos 2019]])/_20250609_reklama_data[[#This Row],[Darbuotojai 2019]]</f>
        <v>#DIV/0!</v>
      </c>
      <c r="AG149" s="2"/>
      <c r="AH149" s="2">
        <f>_20250609_reklama_data[[#This Row],[Atlyginimų vidurkis 2020]]*_20250609_reklama_data[[#This Row],[Darbuotojai 2020]]*12</f>
        <v>0</v>
      </c>
      <c r="AI149" s="2" t="e">
        <f>(_20250609_reklama_data[[#This Row],[Apyvarta 2020]]-_20250609_reklama_data[[#This Row],[Atlyginimų sąnaudos 2020]])/_20250609_reklama_data[[#This Row],[Darbuotojai 2020]]</f>
        <v>#DIV/0!</v>
      </c>
      <c r="AJ149" s="2"/>
      <c r="AK149" s="2"/>
      <c r="AL149" s="2">
        <f>_20250609_reklama_data[[#This Row],[Atlyginimų vidurkis 2021]]*_20250609_reklama_data[[#This Row],[Darbuotojai 2021]]*12</f>
        <v>0</v>
      </c>
      <c r="AM149" s="2" t="e">
        <f>(_20250609_reklama_data[[#This Row],[Apyvarta 2021]]-_20250609_reklama_data[[#This Row],[Atlyginimų sąnaudos 2021]])/_20250609_reklama_data[[#This Row],[Darbuotojai 2021]]</f>
        <v>#DIV/0!</v>
      </c>
      <c r="AN149" s="2"/>
      <c r="AO149" s="2"/>
      <c r="AP149" s="2">
        <f>_20250609_reklama_data[[#This Row],[Atlyginimų vidurkis 2022]]*_20250609_reklama_data[[#This Row],[Darbuotojai 2022]]*12</f>
        <v>0</v>
      </c>
      <c r="AQ149" s="2" t="e">
        <f>(_20250609_reklama_data[[#This Row],[Apyvarta 2022]]-_20250609_reklama_data[[#This Row],[Atlyginimų sąnaudos 2022]])/_20250609_reklama_data[[#This Row],[Darbuotojai 2022]]</f>
        <v>#DIV/0!</v>
      </c>
      <c r="AR149" s="2"/>
      <c r="AS149" s="2"/>
      <c r="AT149" s="2">
        <f>_20250609_reklama_data[[#This Row],[Atlyginimų vidurkis 2023]]*_20250609_reklama_data[[#This Row],[Darbuotojai 2023]]*12</f>
        <v>0</v>
      </c>
      <c r="AU149" s="2" t="e">
        <f>(_20250609_reklama_data[[#This Row],[Apyvarta 2023]]-_20250609_reklama_data[[#This Row],[Atlyginimų sąnaudos 2023]])/_20250609_reklama_data[[#This Row],[Darbuotojai 2023]]</f>
        <v>#DIV/0!</v>
      </c>
      <c r="AV149" s="2"/>
      <c r="AW149" s="2"/>
      <c r="AX149" s="2">
        <f>_20250609_reklama_data[[#This Row],[Atlyginimų vidurkis 2024]]*_20250609_reklama_data[[#This Row],[Darbuotojai 2024]]*12</f>
        <v>0</v>
      </c>
      <c r="AY149" s="2" t="e">
        <f>(_20250609_reklama_data[[#This Row],[Apyvarta 2024]]-_20250609_reklama_data[[#This Row],[Atlyginimų sąnaudos 2024]])/_20250609_reklama_data[[#This Row],[Darbuotojai 2024]]</f>
        <v>#DIV/0!</v>
      </c>
      <c r="AZ149" s="2"/>
      <c r="BA149" s="2"/>
      <c r="BB149" s="2">
        <f>_20250609_reklama_data[[#This Row],[Atlyginimų vidurkis 2025 04]]*_20250609_reklama_data[[#This Row],[Darbuotojai 2025 06 09]]*5</f>
        <v>0</v>
      </c>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row>
    <row r="150" spans="2:83" x14ac:dyDescent="0.2">
      <c r="B150" s="41"/>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f>_20250609_reklama_data[[#This Row],[Atlyginimų vidurkis 2019]]*_20250609_reklama_data[[#This Row],[Darbuotojai 2019]]*12</f>
        <v>0</v>
      </c>
      <c r="AF150" s="2" t="e">
        <f>(_20250609_reklama_data[[#This Row],[Apyvarta 2019]]-_20250609_reklama_data[[#This Row],[Atlyginimų sąnaudos 2019]])/_20250609_reklama_data[[#This Row],[Darbuotojai 2019]]</f>
        <v>#DIV/0!</v>
      </c>
      <c r="AG150" s="2"/>
      <c r="AH150" s="2">
        <f>_20250609_reklama_data[[#This Row],[Atlyginimų vidurkis 2020]]*_20250609_reklama_data[[#This Row],[Darbuotojai 2020]]*12</f>
        <v>0</v>
      </c>
      <c r="AI150" s="2" t="e">
        <f>(_20250609_reklama_data[[#This Row],[Apyvarta 2020]]-_20250609_reklama_data[[#This Row],[Atlyginimų sąnaudos 2020]])/_20250609_reklama_data[[#This Row],[Darbuotojai 2020]]</f>
        <v>#DIV/0!</v>
      </c>
      <c r="AJ150" s="2"/>
      <c r="AK150" s="2"/>
      <c r="AL150" s="2">
        <f>_20250609_reklama_data[[#This Row],[Atlyginimų vidurkis 2021]]*_20250609_reklama_data[[#This Row],[Darbuotojai 2021]]*12</f>
        <v>0</v>
      </c>
      <c r="AM150" s="2" t="e">
        <f>(_20250609_reklama_data[[#This Row],[Apyvarta 2021]]-_20250609_reklama_data[[#This Row],[Atlyginimų sąnaudos 2021]])/_20250609_reklama_data[[#This Row],[Darbuotojai 2021]]</f>
        <v>#DIV/0!</v>
      </c>
      <c r="AN150" s="2"/>
      <c r="AO150" s="2"/>
      <c r="AP150" s="2">
        <f>_20250609_reklama_data[[#This Row],[Atlyginimų vidurkis 2022]]*_20250609_reklama_data[[#This Row],[Darbuotojai 2022]]*12</f>
        <v>0</v>
      </c>
      <c r="AQ150" s="2" t="e">
        <f>(_20250609_reklama_data[[#This Row],[Apyvarta 2022]]-_20250609_reklama_data[[#This Row],[Atlyginimų sąnaudos 2022]])/_20250609_reklama_data[[#This Row],[Darbuotojai 2022]]</f>
        <v>#DIV/0!</v>
      </c>
      <c r="AR150" s="2"/>
      <c r="AS150" s="2"/>
      <c r="AT150" s="2">
        <f>_20250609_reklama_data[[#This Row],[Atlyginimų vidurkis 2023]]*_20250609_reklama_data[[#This Row],[Darbuotojai 2023]]*12</f>
        <v>0</v>
      </c>
      <c r="AU150" s="2" t="e">
        <f>(_20250609_reklama_data[[#This Row],[Apyvarta 2023]]-_20250609_reklama_data[[#This Row],[Atlyginimų sąnaudos 2023]])/_20250609_reklama_data[[#This Row],[Darbuotojai 2023]]</f>
        <v>#DIV/0!</v>
      </c>
      <c r="AV150" s="2"/>
      <c r="AW150" s="2"/>
      <c r="AX150" s="2">
        <f>_20250609_reklama_data[[#This Row],[Atlyginimų vidurkis 2024]]*_20250609_reklama_data[[#This Row],[Darbuotojai 2024]]*12</f>
        <v>0</v>
      </c>
      <c r="AY150" s="2" t="e">
        <f>(_20250609_reklama_data[[#This Row],[Apyvarta 2024]]-_20250609_reklama_data[[#This Row],[Atlyginimų sąnaudos 2024]])/_20250609_reklama_data[[#This Row],[Darbuotojai 2024]]</f>
        <v>#DIV/0!</v>
      </c>
      <c r="AZ150" s="2"/>
      <c r="BA150" s="2"/>
      <c r="BB150" s="2">
        <f>_20250609_reklama_data[[#This Row],[Atlyginimų vidurkis 2025 04]]*_20250609_reklama_data[[#This Row],[Darbuotojai 2025 06 09]]*5</f>
        <v>0</v>
      </c>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row>
    <row r="151" spans="2:83" x14ac:dyDescent="0.2">
      <c r="B151" s="41"/>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f>_20250609_reklama_data[[#This Row],[Atlyginimų vidurkis 2019]]*_20250609_reklama_data[[#This Row],[Darbuotojai 2019]]*12</f>
        <v>0</v>
      </c>
      <c r="AF151" s="2" t="e">
        <f>(_20250609_reklama_data[[#This Row],[Apyvarta 2019]]-_20250609_reklama_data[[#This Row],[Atlyginimų sąnaudos 2019]])/_20250609_reklama_data[[#This Row],[Darbuotojai 2019]]</f>
        <v>#DIV/0!</v>
      </c>
      <c r="AG151" s="2"/>
      <c r="AH151" s="2">
        <f>_20250609_reklama_data[[#This Row],[Atlyginimų vidurkis 2020]]*_20250609_reklama_data[[#This Row],[Darbuotojai 2020]]*12</f>
        <v>0</v>
      </c>
      <c r="AI151" s="2" t="e">
        <f>(_20250609_reklama_data[[#This Row],[Apyvarta 2020]]-_20250609_reklama_data[[#This Row],[Atlyginimų sąnaudos 2020]])/_20250609_reklama_data[[#This Row],[Darbuotojai 2020]]</f>
        <v>#DIV/0!</v>
      </c>
      <c r="AJ151" s="2"/>
      <c r="AK151" s="2"/>
      <c r="AL151" s="2">
        <f>_20250609_reklama_data[[#This Row],[Atlyginimų vidurkis 2021]]*_20250609_reklama_data[[#This Row],[Darbuotojai 2021]]*12</f>
        <v>0</v>
      </c>
      <c r="AM151" s="2" t="e">
        <f>(_20250609_reklama_data[[#This Row],[Apyvarta 2021]]-_20250609_reklama_data[[#This Row],[Atlyginimų sąnaudos 2021]])/_20250609_reklama_data[[#This Row],[Darbuotojai 2021]]</f>
        <v>#DIV/0!</v>
      </c>
      <c r="AN151" s="2"/>
      <c r="AO151" s="2"/>
      <c r="AP151" s="2">
        <f>_20250609_reklama_data[[#This Row],[Atlyginimų vidurkis 2022]]*_20250609_reklama_data[[#This Row],[Darbuotojai 2022]]*12</f>
        <v>0</v>
      </c>
      <c r="AQ151" s="2" t="e">
        <f>(_20250609_reklama_data[[#This Row],[Apyvarta 2022]]-_20250609_reklama_data[[#This Row],[Atlyginimų sąnaudos 2022]])/_20250609_reklama_data[[#This Row],[Darbuotojai 2022]]</f>
        <v>#DIV/0!</v>
      </c>
      <c r="AR151" s="2"/>
      <c r="AS151" s="2"/>
      <c r="AT151" s="2">
        <f>_20250609_reklama_data[[#This Row],[Atlyginimų vidurkis 2023]]*_20250609_reklama_data[[#This Row],[Darbuotojai 2023]]*12</f>
        <v>0</v>
      </c>
      <c r="AU151" s="2" t="e">
        <f>(_20250609_reklama_data[[#This Row],[Apyvarta 2023]]-_20250609_reklama_data[[#This Row],[Atlyginimų sąnaudos 2023]])/_20250609_reklama_data[[#This Row],[Darbuotojai 2023]]</f>
        <v>#DIV/0!</v>
      </c>
      <c r="AV151" s="2"/>
      <c r="AW151" s="2"/>
      <c r="AX151" s="2">
        <f>_20250609_reklama_data[[#This Row],[Atlyginimų vidurkis 2024]]*_20250609_reklama_data[[#This Row],[Darbuotojai 2024]]*12</f>
        <v>0</v>
      </c>
      <c r="AY151" s="2" t="e">
        <f>(_20250609_reklama_data[[#This Row],[Apyvarta 2024]]-_20250609_reklama_data[[#This Row],[Atlyginimų sąnaudos 2024]])/_20250609_reklama_data[[#This Row],[Darbuotojai 2024]]</f>
        <v>#DIV/0!</v>
      </c>
      <c r="AZ151" s="2"/>
      <c r="BA151" s="2"/>
      <c r="BB151" s="2">
        <f>_20250609_reklama_data[[#This Row],[Atlyginimų vidurkis 2025 04]]*_20250609_reklama_data[[#This Row],[Darbuotojai 2025 06 09]]*5</f>
        <v>0</v>
      </c>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row>
    <row r="152" spans="2:83" x14ac:dyDescent="0.2">
      <c r="B152" s="41"/>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f>_20250609_reklama_data[[#This Row],[Atlyginimų vidurkis 2019]]*_20250609_reklama_data[[#This Row],[Darbuotojai 2019]]*12</f>
        <v>0</v>
      </c>
      <c r="AF152" s="2" t="e">
        <f>(_20250609_reklama_data[[#This Row],[Apyvarta 2019]]-_20250609_reklama_data[[#This Row],[Atlyginimų sąnaudos 2019]])/_20250609_reklama_data[[#This Row],[Darbuotojai 2019]]</f>
        <v>#DIV/0!</v>
      </c>
      <c r="AG152" s="2"/>
      <c r="AH152" s="2">
        <f>_20250609_reklama_data[[#This Row],[Atlyginimų vidurkis 2020]]*_20250609_reklama_data[[#This Row],[Darbuotojai 2020]]*12</f>
        <v>0</v>
      </c>
      <c r="AI152" s="2" t="e">
        <f>(_20250609_reklama_data[[#This Row],[Apyvarta 2020]]-_20250609_reklama_data[[#This Row],[Atlyginimų sąnaudos 2020]])/_20250609_reklama_data[[#This Row],[Darbuotojai 2020]]</f>
        <v>#DIV/0!</v>
      </c>
      <c r="AJ152" s="2"/>
      <c r="AK152" s="2"/>
      <c r="AL152" s="2">
        <f>_20250609_reklama_data[[#This Row],[Atlyginimų vidurkis 2021]]*_20250609_reklama_data[[#This Row],[Darbuotojai 2021]]*12</f>
        <v>0</v>
      </c>
      <c r="AM152" s="2" t="e">
        <f>(_20250609_reklama_data[[#This Row],[Apyvarta 2021]]-_20250609_reklama_data[[#This Row],[Atlyginimų sąnaudos 2021]])/_20250609_reklama_data[[#This Row],[Darbuotojai 2021]]</f>
        <v>#DIV/0!</v>
      </c>
      <c r="AN152" s="2"/>
      <c r="AO152" s="2"/>
      <c r="AP152" s="2">
        <f>_20250609_reklama_data[[#This Row],[Atlyginimų vidurkis 2022]]*_20250609_reklama_data[[#This Row],[Darbuotojai 2022]]*12</f>
        <v>0</v>
      </c>
      <c r="AQ152" s="2" t="e">
        <f>(_20250609_reklama_data[[#This Row],[Apyvarta 2022]]-_20250609_reklama_data[[#This Row],[Atlyginimų sąnaudos 2022]])/_20250609_reklama_data[[#This Row],[Darbuotojai 2022]]</f>
        <v>#DIV/0!</v>
      </c>
      <c r="AR152" s="2"/>
      <c r="AS152" s="2"/>
      <c r="AT152" s="2">
        <f>_20250609_reklama_data[[#This Row],[Atlyginimų vidurkis 2023]]*_20250609_reklama_data[[#This Row],[Darbuotojai 2023]]*12</f>
        <v>0</v>
      </c>
      <c r="AU152" s="2" t="e">
        <f>(_20250609_reklama_data[[#This Row],[Apyvarta 2023]]-_20250609_reklama_data[[#This Row],[Atlyginimų sąnaudos 2023]])/_20250609_reklama_data[[#This Row],[Darbuotojai 2023]]</f>
        <v>#DIV/0!</v>
      </c>
      <c r="AV152" s="2"/>
      <c r="AW152" s="2"/>
      <c r="AX152" s="2">
        <f>_20250609_reklama_data[[#This Row],[Atlyginimų vidurkis 2024]]*_20250609_reklama_data[[#This Row],[Darbuotojai 2024]]*12</f>
        <v>0</v>
      </c>
      <c r="AY152" s="2" t="e">
        <f>(_20250609_reklama_data[[#This Row],[Apyvarta 2024]]-_20250609_reklama_data[[#This Row],[Atlyginimų sąnaudos 2024]])/_20250609_reklama_data[[#This Row],[Darbuotojai 2024]]</f>
        <v>#DIV/0!</v>
      </c>
      <c r="AZ152" s="2"/>
      <c r="BA152" s="2"/>
      <c r="BB152" s="2">
        <f>_20250609_reklama_data[[#This Row],[Atlyginimų vidurkis 2025 04]]*_20250609_reklama_data[[#This Row],[Darbuotojai 2025 06 09]]*5</f>
        <v>0</v>
      </c>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row>
    <row r="153" spans="2:83" x14ac:dyDescent="0.2">
      <c r="B153" s="41"/>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f>_20250609_reklama_data[[#This Row],[Atlyginimų vidurkis 2019]]*_20250609_reklama_data[[#This Row],[Darbuotojai 2019]]*12</f>
        <v>0</v>
      </c>
      <c r="AF153" s="2" t="e">
        <f>(_20250609_reklama_data[[#This Row],[Apyvarta 2019]]-_20250609_reklama_data[[#This Row],[Atlyginimų sąnaudos 2019]])/_20250609_reklama_data[[#This Row],[Darbuotojai 2019]]</f>
        <v>#DIV/0!</v>
      </c>
      <c r="AG153" s="2"/>
      <c r="AH153" s="2">
        <f>_20250609_reklama_data[[#This Row],[Atlyginimų vidurkis 2020]]*_20250609_reklama_data[[#This Row],[Darbuotojai 2020]]*12</f>
        <v>0</v>
      </c>
      <c r="AI153" s="2" t="e">
        <f>(_20250609_reklama_data[[#This Row],[Apyvarta 2020]]-_20250609_reklama_data[[#This Row],[Atlyginimų sąnaudos 2020]])/_20250609_reklama_data[[#This Row],[Darbuotojai 2020]]</f>
        <v>#DIV/0!</v>
      </c>
      <c r="AJ153" s="2"/>
      <c r="AK153" s="2"/>
      <c r="AL153" s="2">
        <f>_20250609_reklama_data[[#This Row],[Atlyginimų vidurkis 2021]]*_20250609_reklama_data[[#This Row],[Darbuotojai 2021]]*12</f>
        <v>0</v>
      </c>
      <c r="AM153" s="2" t="e">
        <f>(_20250609_reklama_data[[#This Row],[Apyvarta 2021]]-_20250609_reklama_data[[#This Row],[Atlyginimų sąnaudos 2021]])/_20250609_reklama_data[[#This Row],[Darbuotojai 2021]]</f>
        <v>#DIV/0!</v>
      </c>
      <c r="AN153" s="2"/>
      <c r="AO153" s="2"/>
      <c r="AP153" s="2">
        <f>_20250609_reklama_data[[#This Row],[Atlyginimų vidurkis 2022]]*_20250609_reklama_data[[#This Row],[Darbuotojai 2022]]*12</f>
        <v>0</v>
      </c>
      <c r="AQ153" s="2" t="e">
        <f>(_20250609_reklama_data[[#This Row],[Apyvarta 2022]]-_20250609_reklama_data[[#This Row],[Atlyginimų sąnaudos 2022]])/_20250609_reklama_data[[#This Row],[Darbuotojai 2022]]</f>
        <v>#DIV/0!</v>
      </c>
      <c r="AR153" s="2"/>
      <c r="AS153" s="2"/>
      <c r="AT153" s="2">
        <f>_20250609_reklama_data[[#This Row],[Atlyginimų vidurkis 2023]]*_20250609_reklama_data[[#This Row],[Darbuotojai 2023]]*12</f>
        <v>0</v>
      </c>
      <c r="AU153" s="2" t="e">
        <f>(_20250609_reklama_data[[#This Row],[Apyvarta 2023]]-_20250609_reklama_data[[#This Row],[Atlyginimų sąnaudos 2023]])/_20250609_reklama_data[[#This Row],[Darbuotojai 2023]]</f>
        <v>#DIV/0!</v>
      </c>
      <c r="AV153" s="2"/>
      <c r="AW153" s="2"/>
      <c r="AX153" s="2">
        <f>_20250609_reklama_data[[#This Row],[Atlyginimų vidurkis 2024]]*_20250609_reklama_data[[#This Row],[Darbuotojai 2024]]*12</f>
        <v>0</v>
      </c>
      <c r="AY153" s="2" t="e">
        <f>(_20250609_reklama_data[[#This Row],[Apyvarta 2024]]-_20250609_reklama_data[[#This Row],[Atlyginimų sąnaudos 2024]])/_20250609_reklama_data[[#This Row],[Darbuotojai 2024]]</f>
        <v>#DIV/0!</v>
      </c>
      <c r="AZ153" s="2"/>
      <c r="BA153" s="2"/>
      <c r="BB153" s="2">
        <f>_20250609_reklama_data[[#This Row],[Atlyginimų vidurkis 2025 04]]*_20250609_reklama_data[[#This Row],[Darbuotojai 2025 06 09]]*5</f>
        <v>0</v>
      </c>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row>
    <row r="154" spans="2:83" x14ac:dyDescent="0.2">
      <c r="B154" s="41"/>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f>_20250609_reklama_data[[#This Row],[Atlyginimų vidurkis 2019]]*_20250609_reklama_data[[#This Row],[Darbuotojai 2019]]*12</f>
        <v>0</v>
      </c>
      <c r="AF154" s="2" t="e">
        <f>(_20250609_reklama_data[[#This Row],[Apyvarta 2019]]-_20250609_reklama_data[[#This Row],[Atlyginimų sąnaudos 2019]])/_20250609_reklama_data[[#This Row],[Darbuotojai 2019]]</f>
        <v>#DIV/0!</v>
      </c>
      <c r="AG154" s="2"/>
      <c r="AH154" s="2">
        <f>_20250609_reklama_data[[#This Row],[Atlyginimų vidurkis 2020]]*_20250609_reklama_data[[#This Row],[Darbuotojai 2020]]*12</f>
        <v>0</v>
      </c>
      <c r="AI154" s="2" t="e">
        <f>(_20250609_reklama_data[[#This Row],[Apyvarta 2020]]-_20250609_reklama_data[[#This Row],[Atlyginimų sąnaudos 2020]])/_20250609_reklama_data[[#This Row],[Darbuotojai 2020]]</f>
        <v>#DIV/0!</v>
      </c>
      <c r="AJ154" s="2"/>
      <c r="AK154" s="2"/>
      <c r="AL154" s="2">
        <f>_20250609_reklama_data[[#This Row],[Atlyginimų vidurkis 2021]]*_20250609_reklama_data[[#This Row],[Darbuotojai 2021]]*12</f>
        <v>0</v>
      </c>
      <c r="AM154" s="2" t="e">
        <f>(_20250609_reklama_data[[#This Row],[Apyvarta 2021]]-_20250609_reklama_data[[#This Row],[Atlyginimų sąnaudos 2021]])/_20250609_reklama_data[[#This Row],[Darbuotojai 2021]]</f>
        <v>#DIV/0!</v>
      </c>
      <c r="AN154" s="2"/>
      <c r="AO154" s="2"/>
      <c r="AP154" s="2">
        <f>_20250609_reklama_data[[#This Row],[Atlyginimų vidurkis 2022]]*_20250609_reklama_data[[#This Row],[Darbuotojai 2022]]*12</f>
        <v>0</v>
      </c>
      <c r="AQ154" s="2" t="e">
        <f>(_20250609_reklama_data[[#This Row],[Apyvarta 2022]]-_20250609_reklama_data[[#This Row],[Atlyginimų sąnaudos 2022]])/_20250609_reklama_data[[#This Row],[Darbuotojai 2022]]</f>
        <v>#DIV/0!</v>
      </c>
      <c r="AR154" s="2"/>
      <c r="AS154" s="2"/>
      <c r="AT154" s="2">
        <f>_20250609_reklama_data[[#This Row],[Atlyginimų vidurkis 2023]]*_20250609_reklama_data[[#This Row],[Darbuotojai 2023]]*12</f>
        <v>0</v>
      </c>
      <c r="AU154" s="2" t="e">
        <f>(_20250609_reklama_data[[#This Row],[Apyvarta 2023]]-_20250609_reklama_data[[#This Row],[Atlyginimų sąnaudos 2023]])/_20250609_reklama_data[[#This Row],[Darbuotojai 2023]]</f>
        <v>#DIV/0!</v>
      </c>
      <c r="AV154" s="2"/>
      <c r="AW154" s="2"/>
      <c r="AX154" s="2">
        <f>_20250609_reklama_data[[#This Row],[Atlyginimų vidurkis 2024]]*_20250609_reklama_data[[#This Row],[Darbuotojai 2024]]*12</f>
        <v>0</v>
      </c>
      <c r="AY154" s="2" t="e">
        <f>(_20250609_reklama_data[[#This Row],[Apyvarta 2024]]-_20250609_reklama_data[[#This Row],[Atlyginimų sąnaudos 2024]])/_20250609_reklama_data[[#This Row],[Darbuotojai 2024]]</f>
        <v>#DIV/0!</v>
      </c>
      <c r="AZ154" s="2"/>
      <c r="BA154" s="2"/>
      <c r="BB154" s="2">
        <f>_20250609_reklama_data[[#This Row],[Atlyginimų vidurkis 2025 04]]*_20250609_reklama_data[[#This Row],[Darbuotojai 2025 06 09]]*5</f>
        <v>0</v>
      </c>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row>
    <row r="155" spans="2:83" x14ac:dyDescent="0.2">
      <c r="B155" s="41"/>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f>_20250609_reklama_data[[#This Row],[Atlyginimų vidurkis 2019]]*_20250609_reklama_data[[#This Row],[Darbuotojai 2019]]*12</f>
        <v>0</v>
      </c>
      <c r="AF155" s="2" t="e">
        <f>(_20250609_reklama_data[[#This Row],[Apyvarta 2019]]-_20250609_reklama_data[[#This Row],[Atlyginimų sąnaudos 2019]])/_20250609_reklama_data[[#This Row],[Darbuotojai 2019]]</f>
        <v>#DIV/0!</v>
      </c>
      <c r="AG155" s="2"/>
      <c r="AH155" s="2">
        <f>_20250609_reklama_data[[#This Row],[Atlyginimų vidurkis 2020]]*_20250609_reklama_data[[#This Row],[Darbuotojai 2020]]*12</f>
        <v>0</v>
      </c>
      <c r="AI155" s="2" t="e">
        <f>(_20250609_reklama_data[[#This Row],[Apyvarta 2020]]-_20250609_reklama_data[[#This Row],[Atlyginimų sąnaudos 2020]])/_20250609_reklama_data[[#This Row],[Darbuotojai 2020]]</f>
        <v>#DIV/0!</v>
      </c>
      <c r="AJ155" s="2"/>
      <c r="AK155" s="2"/>
      <c r="AL155" s="2">
        <f>_20250609_reklama_data[[#This Row],[Atlyginimų vidurkis 2021]]*_20250609_reklama_data[[#This Row],[Darbuotojai 2021]]*12</f>
        <v>0</v>
      </c>
      <c r="AM155" s="2" t="e">
        <f>(_20250609_reklama_data[[#This Row],[Apyvarta 2021]]-_20250609_reklama_data[[#This Row],[Atlyginimų sąnaudos 2021]])/_20250609_reklama_data[[#This Row],[Darbuotojai 2021]]</f>
        <v>#DIV/0!</v>
      </c>
      <c r="AN155" s="2"/>
      <c r="AO155" s="2"/>
      <c r="AP155" s="2">
        <f>_20250609_reklama_data[[#This Row],[Atlyginimų vidurkis 2022]]*_20250609_reklama_data[[#This Row],[Darbuotojai 2022]]*12</f>
        <v>0</v>
      </c>
      <c r="AQ155" s="2" t="e">
        <f>(_20250609_reklama_data[[#This Row],[Apyvarta 2022]]-_20250609_reklama_data[[#This Row],[Atlyginimų sąnaudos 2022]])/_20250609_reklama_data[[#This Row],[Darbuotojai 2022]]</f>
        <v>#DIV/0!</v>
      </c>
      <c r="AR155" s="2"/>
      <c r="AS155" s="2"/>
      <c r="AT155" s="2">
        <f>_20250609_reklama_data[[#This Row],[Atlyginimų vidurkis 2023]]*_20250609_reklama_data[[#This Row],[Darbuotojai 2023]]*12</f>
        <v>0</v>
      </c>
      <c r="AU155" s="2" t="e">
        <f>(_20250609_reklama_data[[#This Row],[Apyvarta 2023]]-_20250609_reklama_data[[#This Row],[Atlyginimų sąnaudos 2023]])/_20250609_reklama_data[[#This Row],[Darbuotojai 2023]]</f>
        <v>#DIV/0!</v>
      </c>
      <c r="AV155" s="2"/>
      <c r="AW155" s="2"/>
      <c r="AX155" s="2">
        <f>_20250609_reklama_data[[#This Row],[Atlyginimų vidurkis 2024]]*_20250609_reklama_data[[#This Row],[Darbuotojai 2024]]*12</f>
        <v>0</v>
      </c>
      <c r="AY155" s="2" t="e">
        <f>(_20250609_reklama_data[[#This Row],[Apyvarta 2024]]-_20250609_reklama_data[[#This Row],[Atlyginimų sąnaudos 2024]])/_20250609_reklama_data[[#This Row],[Darbuotojai 2024]]</f>
        <v>#DIV/0!</v>
      </c>
      <c r="AZ155" s="2"/>
      <c r="BA155" s="2"/>
      <c r="BB155" s="2">
        <f>_20250609_reklama_data[[#This Row],[Atlyginimų vidurkis 2025 04]]*_20250609_reklama_data[[#This Row],[Darbuotojai 2025 06 09]]*5</f>
        <v>0</v>
      </c>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row>
    <row r="156" spans="2:83" x14ac:dyDescent="0.2">
      <c r="B156" s="41"/>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f>_20250609_reklama_data[[#This Row],[Atlyginimų vidurkis 2019]]*_20250609_reklama_data[[#This Row],[Darbuotojai 2019]]*12</f>
        <v>0</v>
      </c>
      <c r="AF156" s="2" t="e">
        <f>(_20250609_reklama_data[[#This Row],[Apyvarta 2019]]-_20250609_reklama_data[[#This Row],[Atlyginimų sąnaudos 2019]])/_20250609_reklama_data[[#This Row],[Darbuotojai 2019]]</f>
        <v>#DIV/0!</v>
      </c>
      <c r="AG156" s="2"/>
      <c r="AH156" s="2">
        <f>_20250609_reklama_data[[#This Row],[Atlyginimų vidurkis 2020]]*_20250609_reklama_data[[#This Row],[Darbuotojai 2020]]*12</f>
        <v>0</v>
      </c>
      <c r="AI156" s="2" t="e">
        <f>(_20250609_reklama_data[[#This Row],[Apyvarta 2020]]-_20250609_reklama_data[[#This Row],[Atlyginimų sąnaudos 2020]])/_20250609_reklama_data[[#This Row],[Darbuotojai 2020]]</f>
        <v>#DIV/0!</v>
      </c>
      <c r="AJ156" s="2"/>
      <c r="AK156" s="2"/>
      <c r="AL156" s="2">
        <f>_20250609_reklama_data[[#This Row],[Atlyginimų vidurkis 2021]]*_20250609_reklama_data[[#This Row],[Darbuotojai 2021]]*12</f>
        <v>0</v>
      </c>
      <c r="AM156" s="2" t="e">
        <f>(_20250609_reklama_data[[#This Row],[Apyvarta 2021]]-_20250609_reklama_data[[#This Row],[Atlyginimų sąnaudos 2021]])/_20250609_reklama_data[[#This Row],[Darbuotojai 2021]]</f>
        <v>#DIV/0!</v>
      </c>
      <c r="AN156" s="2"/>
      <c r="AO156" s="2"/>
      <c r="AP156" s="2">
        <f>_20250609_reklama_data[[#This Row],[Atlyginimų vidurkis 2022]]*_20250609_reklama_data[[#This Row],[Darbuotojai 2022]]*12</f>
        <v>0</v>
      </c>
      <c r="AQ156" s="2" t="e">
        <f>(_20250609_reklama_data[[#This Row],[Apyvarta 2022]]-_20250609_reklama_data[[#This Row],[Atlyginimų sąnaudos 2022]])/_20250609_reklama_data[[#This Row],[Darbuotojai 2022]]</f>
        <v>#DIV/0!</v>
      </c>
      <c r="AR156" s="2"/>
      <c r="AS156" s="2"/>
      <c r="AT156" s="2">
        <f>_20250609_reklama_data[[#This Row],[Atlyginimų vidurkis 2023]]*_20250609_reklama_data[[#This Row],[Darbuotojai 2023]]*12</f>
        <v>0</v>
      </c>
      <c r="AU156" s="2" t="e">
        <f>(_20250609_reklama_data[[#This Row],[Apyvarta 2023]]-_20250609_reklama_data[[#This Row],[Atlyginimų sąnaudos 2023]])/_20250609_reklama_data[[#This Row],[Darbuotojai 2023]]</f>
        <v>#DIV/0!</v>
      </c>
      <c r="AV156" s="2"/>
      <c r="AW156" s="2"/>
      <c r="AX156" s="2">
        <f>_20250609_reklama_data[[#This Row],[Atlyginimų vidurkis 2024]]*_20250609_reklama_data[[#This Row],[Darbuotojai 2024]]*12</f>
        <v>0</v>
      </c>
      <c r="AY156" s="2" t="e">
        <f>(_20250609_reklama_data[[#This Row],[Apyvarta 2024]]-_20250609_reklama_data[[#This Row],[Atlyginimų sąnaudos 2024]])/_20250609_reklama_data[[#This Row],[Darbuotojai 2024]]</f>
        <v>#DIV/0!</v>
      </c>
      <c r="AZ156" s="2"/>
      <c r="BA156" s="2"/>
      <c r="BB156" s="2">
        <f>_20250609_reklama_data[[#This Row],[Atlyginimų vidurkis 2025 04]]*_20250609_reklama_data[[#This Row],[Darbuotojai 2025 06 09]]*5</f>
        <v>0</v>
      </c>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row>
    <row r="157" spans="2:83" x14ac:dyDescent="0.2">
      <c r="B157" s="41"/>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f>_20250609_reklama_data[[#This Row],[Atlyginimų vidurkis 2019]]*_20250609_reklama_data[[#This Row],[Darbuotojai 2019]]*12</f>
        <v>0</v>
      </c>
      <c r="AF157" s="2" t="e">
        <f>(_20250609_reklama_data[[#This Row],[Apyvarta 2019]]-_20250609_reklama_data[[#This Row],[Atlyginimų sąnaudos 2019]])/_20250609_reklama_data[[#This Row],[Darbuotojai 2019]]</f>
        <v>#DIV/0!</v>
      </c>
      <c r="AG157" s="2"/>
      <c r="AH157" s="2">
        <f>_20250609_reklama_data[[#This Row],[Atlyginimų vidurkis 2020]]*_20250609_reklama_data[[#This Row],[Darbuotojai 2020]]*12</f>
        <v>0</v>
      </c>
      <c r="AI157" s="2" t="e">
        <f>(_20250609_reklama_data[[#This Row],[Apyvarta 2020]]-_20250609_reklama_data[[#This Row],[Atlyginimų sąnaudos 2020]])/_20250609_reklama_data[[#This Row],[Darbuotojai 2020]]</f>
        <v>#DIV/0!</v>
      </c>
      <c r="AJ157" s="2"/>
      <c r="AK157" s="2"/>
      <c r="AL157" s="2">
        <f>_20250609_reklama_data[[#This Row],[Atlyginimų vidurkis 2021]]*_20250609_reklama_data[[#This Row],[Darbuotojai 2021]]*12</f>
        <v>0</v>
      </c>
      <c r="AM157" s="2" t="e">
        <f>(_20250609_reklama_data[[#This Row],[Apyvarta 2021]]-_20250609_reklama_data[[#This Row],[Atlyginimų sąnaudos 2021]])/_20250609_reklama_data[[#This Row],[Darbuotojai 2021]]</f>
        <v>#DIV/0!</v>
      </c>
      <c r="AN157" s="2"/>
      <c r="AO157" s="2"/>
      <c r="AP157" s="2">
        <f>_20250609_reklama_data[[#This Row],[Atlyginimų vidurkis 2022]]*_20250609_reklama_data[[#This Row],[Darbuotojai 2022]]*12</f>
        <v>0</v>
      </c>
      <c r="AQ157" s="2" t="e">
        <f>(_20250609_reklama_data[[#This Row],[Apyvarta 2022]]-_20250609_reklama_data[[#This Row],[Atlyginimų sąnaudos 2022]])/_20250609_reklama_data[[#This Row],[Darbuotojai 2022]]</f>
        <v>#DIV/0!</v>
      </c>
      <c r="AR157" s="2"/>
      <c r="AS157" s="2"/>
      <c r="AT157" s="2">
        <f>_20250609_reklama_data[[#This Row],[Atlyginimų vidurkis 2023]]*_20250609_reklama_data[[#This Row],[Darbuotojai 2023]]*12</f>
        <v>0</v>
      </c>
      <c r="AU157" s="2" t="e">
        <f>(_20250609_reklama_data[[#This Row],[Apyvarta 2023]]-_20250609_reklama_data[[#This Row],[Atlyginimų sąnaudos 2023]])/_20250609_reklama_data[[#This Row],[Darbuotojai 2023]]</f>
        <v>#DIV/0!</v>
      </c>
      <c r="AV157" s="2"/>
      <c r="AW157" s="2"/>
      <c r="AX157" s="2">
        <f>_20250609_reklama_data[[#This Row],[Atlyginimų vidurkis 2024]]*_20250609_reklama_data[[#This Row],[Darbuotojai 2024]]*12</f>
        <v>0</v>
      </c>
      <c r="AY157" s="2" t="e">
        <f>(_20250609_reklama_data[[#This Row],[Apyvarta 2024]]-_20250609_reklama_data[[#This Row],[Atlyginimų sąnaudos 2024]])/_20250609_reklama_data[[#This Row],[Darbuotojai 2024]]</f>
        <v>#DIV/0!</v>
      </c>
      <c r="AZ157" s="2"/>
      <c r="BA157" s="2"/>
      <c r="BB157" s="2">
        <f>_20250609_reklama_data[[#This Row],[Atlyginimų vidurkis 2025 04]]*_20250609_reklama_data[[#This Row],[Darbuotojai 2025 06 09]]*5</f>
        <v>0</v>
      </c>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row>
    <row r="158" spans="2:83" x14ac:dyDescent="0.2">
      <c r="B158" s="41"/>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f>_20250609_reklama_data[[#This Row],[Atlyginimų vidurkis 2019]]*_20250609_reklama_data[[#This Row],[Darbuotojai 2019]]*12</f>
        <v>0</v>
      </c>
      <c r="AF158" s="2" t="e">
        <f>(_20250609_reklama_data[[#This Row],[Apyvarta 2019]]-_20250609_reklama_data[[#This Row],[Atlyginimų sąnaudos 2019]])/_20250609_reklama_data[[#This Row],[Darbuotojai 2019]]</f>
        <v>#DIV/0!</v>
      </c>
      <c r="AG158" s="2"/>
      <c r="AH158" s="2">
        <f>_20250609_reklama_data[[#This Row],[Atlyginimų vidurkis 2020]]*_20250609_reklama_data[[#This Row],[Darbuotojai 2020]]*12</f>
        <v>0</v>
      </c>
      <c r="AI158" s="2" t="e">
        <f>(_20250609_reklama_data[[#This Row],[Apyvarta 2020]]-_20250609_reklama_data[[#This Row],[Atlyginimų sąnaudos 2020]])/_20250609_reklama_data[[#This Row],[Darbuotojai 2020]]</f>
        <v>#DIV/0!</v>
      </c>
      <c r="AJ158" s="2"/>
      <c r="AK158" s="2"/>
      <c r="AL158" s="2">
        <f>_20250609_reklama_data[[#This Row],[Atlyginimų vidurkis 2021]]*_20250609_reklama_data[[#This Row],[Darbuotojai 2021]]*12</f>
        <v>0</v>
      </c>
      <c r="AM158" s="2" t="e">
        <f>(_20250609_reklama_data[[#This Row],[Apyvarta 2021]]-_20250609_reklama_data[[#This Row],[Atlyginimų sąnaudos 2021]])/_20250609_reklama_data[[#This Row],[Darbuotojai 2021]]</f>
        <v>#DIV/0!</v>
      </c>
      <c r="AN158" s="2"/>
      <c r="AO158" s="2"/>
      <c r="AP158" s="2">
        <f>_20250609_reklama_data[[#This Row],[Atlyginimų vidurkis 2022]]*_20250609_reklama_data[[#This Row],[Darbuotojai 2022]]*12</f>
        <v>0</v>
      </c>
      <c r="AQ158" s="2" t="e">
        <f>(_20250609_reklama_data[[#This Row],[Apyvarta 2022]]-_20250609_reklama_data[[#This Row],[Atlyginimų sąnaudos 2022]])/_20250609_reklama_data[[#This Row],[Darbuotojai 2022]]</f>
        <v>#DIV/0!</v>
      </c>
      <c r="AR158" s="2"/>
      <c r="AS158" s="2"/>
      <c r="AT158" s="2">
        <f>_20250609_reklama_data[[#This Row],[Atlyginimų vidurkis 2023]]*_20250609_reklama_data[[#This Row],[Darbuotojai 2023]]*12</f>
        <v>0</v>
      </c>
      <c r="AU158" s="2" t="e">
        <f>(_20250609_reklama_data[[#This Row],[Apyvarta 2023]]-_20250609_reklama_data[[#This Row],[Atlyginimų sąnaudos 2023]])/_20250609_reklama_data[[#This Row],[Darbuotojai 2023]]</f>
        <v>#DIV/0!</v>
      </c>
      <c r="AV158" s="2"/>
      <c r="AW158" s="2"/>
      <c r="AX158" s="2">
        <f>_20250609_reklama_data[[#This Row],[Atlyginimų vidurkis 2024]]*_20250609_reklama_data[[#This Row],[Darbuotojai 2024]]*12</f>
        <v>0</v>
      </c>
      <c r="AY158" s="2" t="e">
        <f>(_20250609_reklama_data[[#This Row],[Apyvarta 2024]]-_20250609_reklama_data[[#This Row],[Atlyginimų sąnaudos 2024]])/_20250609_reklama_data[[#This Row],[Darbuotojai 2024]]</f>
        <v>#DIV/0!</v>
      </c>
      <c r="AZ158" s="2"/>
      <c r="BA158" s="2"/>
      <c r="BB158" s="2">
        <f>_20250609_reklama_data[[#This Row],[Atlyginimų vidurkis 2025 04]]*_20250609_reklama_data[[#This Row],[Darbuotojai 2025 06 09]]*5</f>
        <v>0</v>
      </c>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row>
    <row r="159" spans="2:83" x14ac:dyDescent="0.2">
      <c r="B159" s="41"/>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f>_20250609_reklama_data[[#This Row],[Atlyginimų vidurkis 2019]]*_20250609_reklama_data[[#This Row],[Darbuotojai 2019]]*12</f>
        <v>0</v>
      </c>
      <c r="AF159" s="2" t="e">
        <f>(_20250609_reklama_data[[#This Row],[Apyvarta 2019]]-_20250609_reklama_data[[#This Row],[Atlyginimų sąnaudos 2019]])/_20250609_reklama_data[[#This Row],[Darbuotojai 2019]]</f>
        <v>#DIV/0!</v>
      </c>
      <c r="AG159" s="2"/>
      <c r="AH159" s="2">
        <f>_20250609_reklama_data[[#This Row],[Atlyginimų vidurkis 2020]]*_20250609_reklama_data[[#This Row],[Darbuotojai 2020]]*12</f>
        <v>0</v>
      </c>
      <c r="AI159" s="2" t="e">
        <f>(_20250609_reklama_data[[#This Row],[Apyvarta 2020]]-_20250609_reklama_data[[#This Row],[Atlyginimų sąnaudos 2020]])/_20250609_reklama_data[[#This Row],[Darbuotojai 2020]]</f>
        <v>#DIV/0!</v>
      </c>
      <c r="AJ159" s="2"/>
      <c r="AK159" s="2"/>
      <c r="AL159" s="2">
        <f>_20250609_reklama_data[[#This Row],[Atlyginimų vidurkis 2021]]*_20250609_reklama_data[[#This Row],[Darbuotojai 2021]]*12</f>
        <v>0</v>
      </c>
      <c r="AM159" s="2" t="e">
        <f>(_20250609_reklama_data[[#This Row],[Apyvarta 2021]]-_20250609_reklama_data[[#This Row],[Atlyginimų sąnaudos 2021]])/_20250609_reklama_data[[#This Row],[Darbuotojai 2021]]</f>
        <v>#DIV/0!</v>
      </c>
      <c r="AN159" s="2"/>
      <c r="AO159" s="2"/>
      <c r="AP159" s="2">
        <f>_20250609_reklama_data[[#This Row],[Atlyginimų vidurkis 2022]]*_20250609_reklama_data[[#This Row],[Darbuotojai 2022]]*12</f>
        <v>0</v>
      </c>
      <c r="AQ159" s="2" t="e">
        <f>(_20250609_reklama_data[[#This Row],[Apyvarta 2022]]-_20250609_reklama_data[[#This Row],[Atlyginimų sąnaudos 2022]])/_20250609_reklama_data[[#This Row],[Darbuotojai 2022]]</f>
        <v>#DIV/0!</v>
      </c>
      <c r="AR159" s="2"/>
      <c r="AS159" s="2"/>
      <c r="AT159" s="2">
        <f>_20250609_reklama_data[[#This Row],[Atlyginimų vidurkis 2023]]*_20250609_reklama_data[[#This Row],[Darbuotojai 2023]]*12</f>
        <v>0</v>
      </c>
      <c r="AU159" s="2" t="e">
        <f>(_20250609_reklama_data[[#This Row],[Apyvarta 2023]]-_20250609_reklama_data[[#This Row],[Atlyginimų sąnaudos 2023]])/_20250609_reklama_data[[#This Row],[Darbuotojai 2023]]</f>
        <v>#DIV/0!</v>
      </c>
      <c r="AV159" s="2"/>
      <c r="AW159" s="2"/>
      <c r="AX159" s="2">
        <f>_20250609_reklama_data[[#This Row],[Atlyginimų vidurkis 2024]]*_20250609_reklama_data[[#This Row],[Darbuotojai 2024]]*12</f>
        <v>0</v>
      </c>
      <c r="AY159" s="2" t="e">
        <f>(_20250609_reklama_data[[#This Row],[Apyvarta 2024]]-_20250609_reklama_data[[#This Row],[Atlyginimų sąnaudos 2024]])/_20250609_reklama_data[[#This Row],[Darbuotojai 2024]]</f>
        <v>#DIV/0!</v>
      </c>
      <c r="AZ159" s="2"/>
      <c r="BA159" s="2"/>
      <c r="BB159" s="2">
        <f>_20250609_reklama_data[[#This Row],[Atlyginimų vidurkis 2025 04]]*_20250609_reklama_data[[#This Row],[Darbuotojai 2025 06 09]]*5</f>
        <v>0</v>
      </c>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row>
    <row r="160" spans="2:83" x14ac:dyDescent="0.2">
      <c r="B160" s="41"/>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f>_20250609_reklama_data[[#This Row],[Atlyginimų vidurkis 2019]]*_20250609_reklama_data[[#This Row],[Darbuotojai 2019]]*12</f>
        <v>0</v>
      </c>
      <c r="AF160" s="2" t="e">
        <f>(_20250609_reklama_data[[#This Row],[Apyvarta 2019]]-_20250609_reklama_data[[#This Row],[Atlyginimų sąnaudos 2019]])/_20250609_reklama_data[[#This Row],[Darbuotojai 2019]]</f>
        <v>#DIV/0!</v>
      </c>
      <c r="AG160" s="2"/>
      <c r="AH160" s="2">
        <f>_20250609_reklama_data[[#This Row],[Atlyginimų vidurkis 2020]]*_20250609_reklama_data[[#This Row],[Darbuotojai 2020]]*12</f>
        <v>0</v>
      </c>
      <c r="AI160" s="2" t="e">
        <f>(_20250609_reklama_data[[#This Row],[Apyvarta 2020]]-_20250609_reklama_data[[#This Row],[Atlyginimų sąnaudos 2020]])/_20250609_reklama_data[[#This Row],[Darbuotojai 2020]]</f>
        <v>#DIV/0!</v>
      </c>
      <c r="AJ160" s="2"/>
      <c r="AK160" s="2"/>
      <c r="AL160" s="2">
        <f>_20250609_reklama_data[[#This Row],[Atlyginimų vidurkis 2021]]*_20250609_reklama_data[[#This Row],[Darbuotojai 2021]]*12</f>
        <v>0</v>
      </c>
      <c r="AM160" s="2" t="e">
        <f>(_20250609_reklama_data[[#This Row],[Apyvarta 2021]]-_20250609_reklama_data[[#This Row],[Atlyginimų sąnaudos 2021]])/_20250609_reklama_data[[#This Row],[Darbuotojai 2021]]</f>
        <v>#DIV/0!</v>
      </c>
      <c r="AN160" s="2"/>
      <c r="AO160" s="2"/>
      <c r="AP160" s="2">
        <f>_20250609_reklama_data[[#This Row],[Atlyginimų vidurkis 2022]]*_20250609_reklama_data[[#This Row],[Darbuotojai 2022]]*12</f>
        <v>0</v>
      </c>
      <c r="AQ160" s="2" t="e">
        <f>(_20250609_reklama_data[[#This Row],[Apyvarta 2022]]-_20250609_reklama_data[[#This Row],[Atlyginimų sąnaudos 2022]])/_20250609_reklama_data[[#This Row],[Darbuotojai 2022]]</f>
        <v>#DIV/0!</v>
      </c>
      <c r="AR160" s="2"/>
      <c r="AS160" s="2"/>
      <c r="AT160" s="2">
        <f>_20250609_reklama_data[[#This Row],[Atlyginimų vidurkis 2023]]*_20250609_reklama_data[[#This Row],[Darbuotojai 2023]]*12</f>
        <v>0</v>
      </c>
      <c r="AU160" s="2" t="e">
        <f>(_20250609_reklama_data[[#This Row],[Apyvarta 2023]]-_20250609_reklama_data[[#This Row],[Atlyginimų sąnaudos 2023]])/_20250609_reklama_data[[#This Row],[Darbuotojai 2023]]</f>
        <v>#DIV/0!</v>
      </c>
      <c r="AV160" s="2"/>
      <c r="AW160" s="2"/>
      <c r="AX160" s="2">
        <f>_20250609_reklama_data[[#This Row],[Atlyginimų vidurkis 2024]]*_20250609_reklama_data[[#This Row],[Darbuotojai 2024]]*12</f>
        <v>0</v>
      </c>
      <c r="AY160" s="2" t="e">
        <f>(_20250609_reklama_data[[#This Row],[Apyvarta 2024]]-_20250609_reklama_data[[#This Row],[Atlyginimų sąnaudos 2024]])/_20250609_reklama_data[[#This Row],[Darbuotojai 2024]]</f>
        <v>#DIV/0!</v>
      </c>
      <c r="AZ160" s="2"/>
      <c r="BA160" s="2"/>
      <c r="BB160" s="2">
        <f>_20250609_reklama_data[[#This Row],[Atlyginimų vidurkis 2025 04]]*_20250609_reklama_data[[#This Row],[Darbuotojai 2025 06 09]]*5</f>
        <v>0</v>
      </c>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row>
    <row r="161" spans="2:83" x14ac:dyDescent="0.2">
      <c r="B161" s="41"/>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f>_20250609_reklama_data[[#This Row],[Atlyginimų vidurkis 2019]]*_20250609_reklama_data[[#This Row],[Darbuotojai 2019]]*12</f>
        <v>0</v>
      </c>
      <c r="AF161" s="2" t="e">
        <f>(_20250609_reklama_data[[#This Row],[Apyvarta 2019]]-_20250609_reklama_data[[#This Row],[Atlyginimų sąnaudos 2019]])/_20250609_reklama_data[[#This Row],[Darbuotojai 2019]]</f>
        <v>#DIV/0!</v>
      </c>
      <c r="AG161" s="2"/>
      <c r="AH161" s="2">
        <f>_20250609_reklama_data[[#This Row],[Atlyginimų vidurkis 2020]]*_20250609_reklama_data[[#This Row],[Darbuotojai 2020]]*12</f>
        <v>0</v>
      </c>
      <c r="AI161" s="2" t="e">
        <f>(_20250609_reklama_data[[#This Row],[Apyvarta 2020]]-_20250609_reklama_data[[#This Row],[Atlyginimų sąnaudos 2020]])/_20250609_reklama_data[[#This Row],[Darbuotojai 2020]]</f>
        <v>#DIV/0!</v>
      </c>
      <c r="AJ161" s="2"/>
      <c r="AK161" s="2"/>
      <c r="AL161" s="2">
        <f>_20250609_reklama_data[[#This Row],[Atlyginimų vidurkis 2021]]*_20250609_reklama_data[[#This Row],[Darbuotojai 2021]]*12</f>
        <v>0</v>
      </c>
      <c r="AM161" s="2" t="e">
        <f>(_20250609_reklama_data[[#This Row],[Apyvarta 2021]]-_20250609_reklama_data[[#This Row],[Atlyginimų sąnaudos 2021]])/_20250609_reklama_data[[#This Row],[Darbuotojai 2021]]</f>
        <v>#DIV/0!</v>
      </c>
      <c r="AN161" s="2"/>
      <c r="AO161" s="2"/>
      <c r="AP161" s="2">
        <f>_20250609_reklama_data[[#This Row],[Atlyginimų vidurkis 2022]]*_20250609_reklama_data[[#This Row],[Darbuotojai 2022]]*12</f>
        <v>0</v>
      </c>
      <c r="AQ161" s="2" t="e">
        <f>(_20250609_reklama_data[[#This Row],[Apyvarta 2022]]-_20250609_reklama_data[[#This Row],[Atlyginimų sąnaudos 2022]])/_20250609_reklama_data[[#This Row],[Darbuotojai 2022]]</f>
        <v>#DIV/0!</v>
      </c>
      <c r="AR161" s="2"/>
      <c r="AS161" s="2"/>
      <c r="AT161" s="2">
        <f>_20250609_reklama_data[[#This Row],[Atlyginimų vidurkis 2023]]*_20250609_reklama_data[[#This Row],[Darbuotojai 2023]]*12</f>
        <v>0</v>
      </c>
      <c r="AU161" s="2" t="e">
        <f>(_20250609_reklama_data[[#This Row],[Apyvarta 2023]]-_20250609_reklama_data[[#This Row],[Atlyginimų sąnaudos 2023]])/_20250609_reklama_data[[#This Row],[Darbuotojai 2023]]</f>
        <v>#DIV/0!</v>
      </c>
      <c r="AV161" s="2"/>
      <c r="AW161" s="2"/>
      <c r="AX161" s="2">
        <f>_20250609_reklama_data[[#This Row],[Atlyginimų vidurkis 2024]]*_20250609_reklama_data[[#This Row],[Darbuotojai 2024]]*12</f>
        <v>0</v>
      </c>
      <c r="AY161" s="2" t="e">
        <f>(_20250609_reklama_data[[#This Row],[Apyvarta 2024]]-_20250609_reklama_data[[#This Row],[Atlyginimų sąnaudos 2024]])/_20250609_reklama_data[[#This Row],[Darbuotojai 2024]]</f>
        <v>#DIV/0!</v>
      </c>
      <c r="AZ161" s="2"/>
      <c r="BA161" s="2"/>
      <c r="BB161" s="2">
        <f>_20250609_reklama_data[[#This Row],[Atlyginimų vidurkis 2025 04]]*_20250609_reklama_data[[#This Row],[Darbuotojai 2025 06 09]]*5</f>
        <v>0</v>
      </c>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row>
    <row r="162" spans="2:83" x14ac:dyDescent="0.2">
      <c r="B162" s="41"/>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f>_20250609_reklama_data[[#This Row],[Atlyginimų vidurkis 2019]]*_20250609_reklama_data[[#This Row],[Darbuotojai 2019]]*12</f>
        <v>0</v>
      </c>
      <c r="AF162" s="2" t="e">
        <f>(_20250609_reklama_data[[#This Row],[Apyvarta 2019]]-_20250609_reklama_data[[#This Row],[Atlyginimų sąnaudos 2019]])/_20250609_reklama_data[[#This Row],[Darbuotojai 2019]]</f>
        <v>#DIV/0!</v>
      </c>
      <c r="AG162" s="2"/>
      <c r="AH162" s="2">
        <f>_20250609_reklama_data[[#This Row],[Atlyginimų vidurkis 2020]]*_20250609_reklama_data[[#This Row],[Darbuotojai 2020]]*12</f>
        <v>0</v>
      </c>
      <c r="AI162" s="2" t="e">
        <f>(_20250609_reklama_data[[#This Row],[Apyvarta 2020]]-_20250609_reklama_data[[#This Row],[Atlyginimų sąnaudos 2020]])/_20250609_reklama_data[[#This Row],[Darbuotojai 2020]]</f>
        <v>#DIV/0!</v>
      </c>
      <c r="AJ162" s="2"/>
      <c r="AK162" s="2"/>
      <c r="AL162" s="2">
        <f>_20250609_reklama_data[[#This Row],[Atlyginimų vidurkis 2021]]*_20250609_reklama_data[[#This Row],[Darbuotojai 2021]]*12</f>
        <v>0</v>
      </c>
      <c r="AM162" s="2" t="e">
        <f>(_20250609_reklama_data[[#This Row],[Apyvarta 2021]]-_20250609_reklama_data[[#This Row],[Atlyginimų sąnaudos 2021]])/_20250609_reklama_data[[#This Row],[Darbuotojai 2021]]</f>
        <v>#DIV/0!</v>
      </c>
      <c r="AN162" s="2"/>
      <c r="AO162" s="2"/>
      <c r="AP162" s="2">
        <f>_20250609_reklama_data[[#This Row],[Atlyginimų vidurkis 2022]]*_20250609_reklama_data[[#This Row],[Darbuotojai 2022]]*12</f>
        <v>0</v>
      </c>
      <c r="AQ162" s="2" t="e">
        <f>(_20250609_reklama_data[[#This Row],[Apyvarta 2022]]-_20250609_reklama_data[[#This Row],[Atlyginimų sąnaudos 2022]])/_20250609_reklama_data[[#This Row],[Darbuotojai 2022]]</f>
        <v>#DIV/0!</v>
      </c>
      <c r="AR162" s="2"/>
      <c r="AS162" s="2"/>
      <c r="AT162" s="2">
        <f>_20250609_reklama_data[[#This Row],[Atlyginimų vidurkis 2023]]*_20250609_reklama_data[[#This Row],[Darbuotojai 2023]]*12</f>
        <v>0</v>
      </c>
      <c r="AU162" s="2" t="e">
        <f>(_20250609_reklama_data[[#This Row],[Apyvarta 2023]]-_20250609_reklama_data[[#This Row],[Atlyginimų sąnaudos 2023]])/_20250609_reklama_data[[#This Row],[Darbuotojai 2023]]</f>
        <v>#DIV/0!</v>
      </c>
      <c r="AV162" s="2"/>
      <c r="AW162" s="2"/>
      <c r="AX162" s="2">
        <f>_20250609_reklama_data[[#This Row],[Atlyginimų vidurkis 2024]]*_20250609_reklama_data[[#This Row],[Darbuotojai 2024]]*12</f>
        <v>0</v>
      </c>
      <c r="AY162" s="2" t="e">
        <f>(_20250609_reklama_data[[#This Row],[Apyvarta 2024]]-_20250609_reklama_data[[#This Row],[Atlyginimų sąnaudos 2024]])/_20250609_reklama_data[[#This Row],[Darbuotojai 2024]]</f>
        <v>#DIV/0!</v>
      </c>
      <c r="AZ162" s="2"/>
      <c r="BA162" s="2"/>
      <c r="BB162" s="2">
        <f>_20250609_reklama_data[[#This Row],[Atlyginimų vidurkis 2025 04]]*_20250609_reklama_data[[#This Row],[Darbuotojai 2025 06 09]]*5</f>
        <v>0</v>
      </c>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row>
    <row r="163" spans="2:83" x14ac:dyDescent="0.2">
      <c r="B163" s="41"/>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f>_20250609_reklama_data[[#This Row],[Atlyginimų vidurkis 2019]]*_20250609_reklama_data[[#This Row],[Darbuotojai 2019]]*12</f>
        <v>0</v>
      </c>
      <c r="AF163" s="2" t="e">
        <f>(_20250609_reklama_data[[#This Row],[Apyvarta 2019]]-_20250609_reklama_data[[#This Row],[Atlyginimų sąnaudos 2019]])/_20250609_reklama_data[[#This Row],[Darbuotojai 2019]]</f>
        <v>#DIV/0!</v>
      </c>
      <c r="AG163" s="2"/>
      <c r="AH163" s="2">
        <f>_20250609_reklama_data[[#This Row],[Atlyginimų vidurkis 2020]]*_20250609_reklama_data[[#This Row],[Darbuotojai 2020]]*12</f>
        <v>0</v>
      </c>
      <c r="AI163" s="2" t="e">
        <f>(_20250609_reklama_data[[#This Row],[Apyvarta 2020]]-_20250609_reklama_data[[#This Row],[Atlyginimų sąnaudos 2020]])/_20250609_reklama_data[[#This Row],[Darbuotojai 2020]]</f>
        <v>#DIV/0!</v>
      </c>
      <c r="AJ163" s="2"/>
      <c r="AK163" s="2"/>
      <c r="AL163" s="2">
        <f>_20250609_reklama_data[[#This Row],[Atlyginimų vidurkis 2021]]*_20250609_reklama_data[[#This Row],[Darbuotojai 2021]]*12</f>
        <v>0</v>
      </c>
      <c r="AM163" s="2" t="e">
        <f>(_20250609_reklama_data[[#This Row],[Apyvarta 2021]]-_20250609_reklama_data[[#This Row],[Atlyginimų sąnaudos 2021]])/_20250609_reklama_data[[#This Row],[Darbuotojai 2021]]</f>
        <v>#DIV/0!</v>
      </c>
      <c r="AN163" s="2"/>
      <c r="AO163" s="2"/>
      <c r="AP163" s="2">
        <f>_20250609_reklama_data[[#This Row],[Atlyginimų vidurkis 2022]]*_20250609_reklama_data[[#This Row],[Darbuotojai 2022]]*12</f>
        <v>0</v>
      </c>
      <c r="AQ163" s="2" t="e">
        <f>(_20250609_reklama_data[[#This Row],[Apyvarta 2022]]-_20250609_reklama_data[[#This Row],[Atlyginimų sąnaudos 2022]])/_20250609_reklama_data[[#This Row],[Darbuotojai 2022]]</f>
        <v>#DIV/0!</v>
      </c>
      <c r="AR163" s="2"/>
      <c r="AS163" s="2"/>
      <c r="AT163" s="2">
        <f>_20250609_reklama_data[[#This Row],[Atlyginimų vidurkis 2023]]*_20250609_reklama_data[[#This Row],[Darbuotojai 2023]]*12</f>
        <v>0</v>
      </c>
      <c r="AU163" s="2" t="e">
        <f>(_20250609_reklama_data[[#This Row],[Apyvarta 2023]]-_20250609_reklama_data[[#This Row],[Atlyginimų sąnaudos 2023]])/_20250609_reklama_data[[#This Row],[Darbuotojai 2023]]</f>
        <v>#DIV/0!</v>
      </c>
      <c r="AV163" s="2"/>
      <c r="AW163" s="2"/>
      <c r="AX163" s="2">
        <f>_20250609_reklama_data[[#This Row],[Atlyginimų vidurkis 2024]]*_20250609_reklama_data[[#This Row],[Darbuotojai 2024]]*12</f>
        <v>0</v>
      </c>
      <c r="AY163" s="2" t="e">
        <f>(_20250609_reklama_data[[#This Row],[Apyvarta 2024]]-_20250609_reklama_data[[#This Row],[Atlyginimų sąnaudos 2024]])/_20250609_reklama_data[[#This Row],[Darbuotojai 2024]]</f>
        <v>#DIV/0!</v>
      </c>
      <c r="AZ163" s="2"/>
      <c r="BA163" s="2"/>
      <c r="BB163" s="2">
        <f>_20250609_reklama_data[[#This Row],[Atlyginimų vidurkis 2025 04]]*_20250609_reklama_data[[#This Row],[Darbuotojai 2025 06 09]]*5</f>
        <v>0</v>
      </c>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row>
    <row r="164" spans="2:83" x14ac:dyDescent="0.2">
      <c r="B164" s="41"/>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f>_20250609_reklama_data[[#This Row],[Atlyginimų vidurkis 2019]]*_20250609_reklama_data[[#This Row],[Darbuotojai 2019]]*12</f>
        <v>0</v>
      </c>
      <c r="AF164" s="2" t="e">
        <f>(_20250609_reklama_data[[#This Row],[Apyvarta 2019]]-_20250609_reklama_data[[#This Row],[Atlyginimų sąnaudos 2019]])/_20250609_reklama_data[[#This Row],[Darbuotojai 2019]]</f>
        <v>#DIV/0!</v>
      </c>
      <c r="AG164" s="2"/>
      <c r="AH164" s="2">
        <f>_20250609_reklama_data[[#This Row],[Atlyginimų vidurkis 2020]]*_20250609_reklama_data[[#This Row],[Darbuotojai 2020]]*12</f>
        <v>0</v>
      </c>
      <c r="AI164" s="2" t="e">
        <f>(_20250609_reklama_data[[#This Row],[Apyvarta 2020]]-_20250609_reklama_data[[#This Row],[Atlyginimų sąnaudos 2020]])/_20250609_reklama_data[[#This Row],[Darbuotojai 2020]]</f>
        <v>#DIV/0!</v>
      </c>
      <c r="AJ164" s="2"/>
      <c r="AK164" s="2"/>
      <c r="AL164" s="2">
        <f>_20250609_reklama_data[[#This Row],[Atlyginimų vidurkis 2021]]*_20250609_reklama_data[[#This Row],[Darbuotojai 2021]]*12</f>
        <v>0</v>
      </c>
      <c r="AM164" s="2" t="e">
        <f>(_20250609_reklama_data[[#This Row],[Apyvarta 2021]]-_20250609_reklama_data[[#This Row],[Atlyginimų sąnaudos 2021]])/_20250609_reklama_data[[#This Row],[Darbuotojai 2021]]</f>
        <v>#DIV/0!</v>
      </c>
      <c r="AN164" s="2"/>
      <c r="AO164" s="2"/>
      <c r="AP164" s="2">
        <f>_20250609_reklama_data[[#This Row],[Atlyginimų vidurkis 2022]]*_20250609_reklama_data[[#This Row],[Darbuotojai 2022]]*12</f>
        <v>0</v>
      </c>
      <c r="AQ164" s="2" t="e">
        <f>(_20250609_reklama_data[[#This Row],[Apyvarta 2022]]-_20250609_reklama_data[[#This Row],[Atlyginimų sąnaudos 2022]])/_20250609_reklama_data[[#This Row],[Darbuotojai 2022]]</f>
        <v>#DIV/0!</v>
      </c>
      <c r="AR164" s="2"/>
      <c r="AS164" s="2"/>
      <c r="AT164" s="2">
        <f>_20250609_reklama_data[[#This Row],[Atlyginimų vidurkis 2023]]*_20250609_reklama_data[[#This Row],[Darbuotojai 2023]]*12</f>
        <v>0</v>
      </c>
      <c r="AU164" s="2" t="e">
        <f>(_20250609_reklama_data[[#This Row],[Apyvarta 2023]]-_20250609_reklama_data[[#This Row],[Atlyginimų sąnaudos 2023]])/_20250609_reklama_data[[#This Row],[Darbuotojai 2023]]</f>
        <v>#DIV/0!</v>
      </c>
      <c r="AV164" s="2"/>
      <c r="AW164" s="2"/>
      <c r="AX164" s="2">
        <f>_20250609_reklama_data[[#This Row],[Atlyginimų vidurkis 2024]]*_20250609_reklama_data[[#This Row],[Darbuotojai 2024]]*12</f>
        <v>0</v>
      </c>
      <c r="AY164" s="2" t="e">
        <f>(_20250609_reklama_data[[#This Row],[Apyvarta 2024]]-_20250609_reklama_data[[#This Row],[Atlyginimų sąnaudos 2024]])/_20250609_reklama_data[[#This Row],[Darbuotojai 2024]]</f>
        <v>#DIV/0!</v>
      </c>
      <c r="AZ164" s="2"/>
      <c r="BA164" s="2"/>
      <c r="BB164" s="2">
        <f>_20250609_reklama_data[[#This Row],[Atlyginimų vidurkis 2025 04]]*_20250609_reklama_data[[#This Row],[Darbuotojai 2025 06 09]]*5</f>
        <v>0</v>
      </c>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row>
    <row r="165" spans="2:83" x14ac:dyDescent="0.2">
      <c r="B165" s="41"/>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f>_20250609_reklama_data[[#This Row],[Atlyginimų vidurkis 2019]]*_20250609_reklama_data[[#This Row],[Darbuotojai 2019]]*12</f>
        <v>0</v>
      </c>
      <c r="AF165" s="2" t="e">
        <f>(_20250609_reklama_data[[#This Row],[Apyvarta 2019]]-_20250609_reklama_data[[#This Row],[Atlyginimų sąnaudos 2019]])/_20250609_reklama_data[[#This Row],[Darbuotojai 2019]]</f>
        <v>#DIV/0!</v>
      </c>
      <c r="AG165" s="2"/>
      <c r="AH165" s="2">
        <f>_20250609_reklama_data[[#This Row],[Atlyginimų vidurkis 2020]]*_20250609_reklama_data[[#This Row],[Darbuotojai 2020]]*12</f>
        <v>0</v>
      </c>
      <c r="AI165" s="2" t="e">
        <f>(_20250609_reklama_data[[#This Row],[Apyvarta 2020]]-_20250609_reklama_data[[#This Row],[Atlyginimų sąnaudos 2020]])/_20250609_reklama_data[[#This Row],[Darbuotojai 2020]]</f>
        <v>#DIV/0!</v>
      </c>
      <c r="AJ165" s="2"/>
      <c r="AK165" s="2"/>
      <c r="AL165" s="2">
        <f>_20250609_reklama_data[[#This Row],[Atlyginimų vidurkis 2021]]*_20250609_reklama_data[[#This Row],[Darbuotojai 2021]]*12</f>
        <v>0</v>
      </c>
      <c r="AM165" s="2" t="e">
        <f>(_20250609_reklama_data[[#This Row],[Apyvarta 2021]]-_20250609_reklama_data[[#This Row],[Atlyginimų sąnaudos 2021]])/_20250609_reklama_data[[#This Row],[Darbuotojai 2021]]</f>
        <v>#DIV/0!</v>
      </c>
      <c r="AN165" s="2"/>
      <c r="AO165" s="2"/>
      <c r="AP165" s="2">
        <f>_20250609_reklama_data[[#This Row],[Atlyginimų vidurkis 2022]]*_20250609_reklama_data[[#This Row],[Darbuotojai 2022]]*12</f>
        <v>0</v>
      </c>
      <c r="AQ165" s="2" t="e">
        <f>(_20250609_reklama_data[[#This Row],[Apyvarta 2022]]-_20250609_reklama_data[[#This Row],[Atlyginimų sąnaudos 2022]])/_20250609_reklama_data[[#This Row],[Darbuotojai 2022]]</f>
        <v>#DIV/0!</v>
      </c>
      <c r="AR165" s="2"/>
      <c r="AS165" s="2"/>
      <c r="AT165" s="2">
        <f>_20250609_reklama_data[[#This Row],[Atlyginimų vidurkis 2023]]*_20250609_reklama_data[[#This Row],[Darbuotojai 2023]]*12</f>
        <v>0</v>
      </c>
      <c r="AU165" s="2" t="e">
        <f>(_20250609_reklama_data[[#This Row],[Apyvarta 2023]]-_20250609_reklama_data[[#This Row],[Atlyginimų sąnaudos 2023]])/_20250609_reklama_data[[#This Row],[Darbuotojai 2023]]</f>
        <v>#DIV/0!</v>
      </c>
      <c r="AV165" s="2"/>
      <c r="AW165" s="2"/>
      <c r="AX165" s="2">
        <f>_20250609_reklama_data[[#This Row],[Atlyginimų vidurkis 2024]]*_20250609_reklama_data[[#This Row],[Darbuotojai 2024]]*12</f>
        <v>0</v>
      </c>
      <c r="AY165" s="2" t="e">
        <f>(_20250609_reklama_data[[#This Row],[Apyvarta 2024]]-_20250609_reklama_data[[#This Row],[Atlyginimų sąnaudos 2024]])/_20250609_reklama_data[[#This Row],[Darbuotojai 2024]]</f>
        <v>#DIV/0!</v>
      </c>
      <c r="AZ165" s="2"/>
      <c r="BA165" s="2"/>
      <c r="BB165" s="2">
        <f>_20250609_reklama_data[[#This Row],[Atlyginimų vidurkis 2025 04]]*_20250609_reklama_data[[#This Row],[Darbuotojai 2025 06 09]]*5</f>
        <v>0</v>
      </c>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row>
    <row r="166" spans="2:83" x14ac:dyDescent="0.2">
      <c r="B166" s="41"/>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f>_20250609_reklama_data[[#This Row],[Atlyginimų vidurkis 2019]]*_20250609_reklama_data[[#This Row],[Darbuotojai 2019]]*12</f>
        <v>0</v>
      </c>
      <c r="AF166" s="2" t="e">
        <f>(_20250609_reklama_data[[#This Row],[Apyvarta 2019]]-_20250609_reklama_data[[#This Row],[Atlyginimų sąnaudos 2019]])/_20250609_reklama_data[[#This Row],[Darbuotojai 2019]]</f>
        <v>#DIV/0!</v>
      </c>
      <c r="AG166" s="2"/>
      <c r="AH166" s="2">
        <f>_20250609_reklama_data[[#This Row],[Atlyginimų vidurkis 2020]]*_20250609_reklama_data[[#This Row],[Darbuotojai 2020]]*12</f>
        <v>0</v>
      </c>
      <c r="AI166" s="2" t="e">
        <f>(_20250609_reklama_data[[#This Row],[Apyvarta 2020]]-_20250609_reklama_data[[#This Row],[Atlyginimų sąnaudos 2020]])/_20250609_reklama_data[[#This Row],[Darbuotojai 2020]]</f>
        <v>#DIV/0!</v>
      </c>
      <c r="AJ166" s="2"/>
      <c r="AK166" s="2"/>
      <c r="AL166" s="2">
        <f>_20250609_reklama_data[[#This Row],[Atlyginimų vidurkis 2021]]*_20250609_reklama_data[[#This Row],[Darbuotojai 2021]]*12</f>
        <v>0</v>
      </c>
      <c r="AM166" s="2" t="e">
        <f>(_20250609_reklama_data[[#This Row],[Apyvarta 2021]]-_20250609_reklama_data[[#This Row],[Atlyginimų sąnaudos 2021]])/_20250609_reklama_data[[#This Row],[Darbuotojai 2021]]</f>
        <v>#DIV/0!</v>
      </c>
      <c r="AN166" s="2"/>
      <c r="AO166" s="2"/>
      <c r="AP166" s="2">
        <f>_20250609_reklama_data[[#This Row],[Atlyginimų vidurkis 2022]]*_20250609_reklama_data[[#This Row],[Darbuotojai 2022]]*12</f>
        <v>0</v>
      </c>
      <c r="AQ166" s="2" t="e">
        <f>(_20250609_reklama_data[[#This Row],[Apyvarta 2022]]-_20250609_reklama_data[[#This Row],[Atlyginimų sąnaudos 2022]])/_20250609_reklama_data[[#This Row],[Darbuotojai 2022]]</f>
        <v>#DIV/0!</v>
      </c>
      <c r="AR166" s="2"/>
      <c r="AS166" s="2"/>
      <c r="AT166" s="2">
        <f>_20250609_reklama_data[[#This Row],[Atlyginimų vidurkis 2023]]*_20250609_reklama_data[[#This Row],[Darbuotojai 2023]]*12</f>
        <v>0</v>
      </c>
      <c r="AU166" s="2" t="e">
        <f>(_20250609_reklama_data[[#This Row],[Apyvarta 2023]]-_20250609_reklama_data[[#This Row],[Atlyginimų sąnaudos 2023]])/_20250609_reklama_data[[#This Row],[Darbuotojai 2023]]</f>
        <v>#DIV/0!</v>
      </c>
      <c r="AV166" s="2"/>
      <c r="AW166" s="2"/>
      <c r="AX166" s="2">
        <f>_20250609_reklama_data[[#This Row],[Atlyginimų vidurkis 2024]]*_20250609_reklama_data[[#This Row],[Darbuotojai 2024]]*12</f>
        <v>0</v>
      </c>
      <c r="AY166" s="2" t="e">
        <f>(_20250609_reklama_data[[#This Row],[Apyvarta 2024]]-_20250609_reklama_data[[#This Row],[Atlyginimų sąnaudos 2024]])/_20250609_reklama_data[[#This Row],[Darbuotojai 2024]]</f>
        <v>#DIV/0!</v>
      </c>
      <c r="AZ166" s="2"/>
      <c r="BA166" s="2"/>
      <c r="BB166" s="2">
        <f>_20250609_reklama_data[[#This Row],[Atlyginimų vidurkis 2025 04]]*_20250609_reklama_data[[#This Row],[Darbuotojai 2025 06 09]]*5</f>
        <v>0</v>
      </c>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row>
    <row r="167" spans="2:83" x14ac:dyDescent="0.2">
      <c r="B167" s="41"/>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f>_20250609_reklama_data[[#This Row],[Atlyginimų vidurkis 2019]]*_20250609_reklama_data[[#This Row],[Darbuotojai 2019]]*12</f>
        <v>0</v>
      </c>
      <c r="AF167" s="2" t="e">
        <f>(_20250609_reklama_data[[#This Row],[Apyvarta 2019]]-_20250609_reklama_data[[#This Row],[Atlyginimų sąnaudos 2019]])/_20250609_reklama_data[[#This Row],[Darbuotojai 2019]]</f>
        <v>#DIV/0!</v>
      </c>
      <c r="AG167" s="2"/>
      <c r="AH167" s="2">
        <f>_20250609_reklama_data[[#This Row],[Atlyginimų vidurkis 2020]]*_20250609_reklama_data[[#This Row],[Darbuotojai 2020]]*12</f>
        <v>0</v>
      </c>
      <c r="AI167" s="2" t="e">
        <f>(_20250609_reklama_data[[#This Row],[Apyvarta 2020]]-_20250609_reklama_data[[#This Row],[Atlyginimų sąnaudos 2020]])/_20250609_reklama_data[[#This Row],[Darbuotojai 2020]]</f>
        <v>#DIV/0!</v>
      </c>
      <c r="AJ167" s="2"/>
      <c r="AK167" s="2"/>
      <c r="AL167" s="2">
        <f>_20250609_reklama_data[[#This Row],[Atlyginimų vidurkis 2021]]*_20250609_reklama_data[[#This Row],[Darbuotojai 2021]]*12</f>
        <v>0</v>
      </c>
      <c r="AM167" s="2" t="e">
        <f>(_20250609_reklama_data[[#This Row],[Apyvarta 2021]]-_20250609_reklama_data[[#This Row],[Atlyginimų sąnaudos 2021]])/_20250609_reklama_data[[#This Row],[Darbuotojai 2021]]</f>
        <v>#DIV/0!</v>
      </c>
      <c r="AN167" s="2"/>
      <c r="AO167" s="2"/>
      <c r="AP167" s="2">
        <f>_20250609_reklama_data[[#This Row],[Atlyginimų vidurkis 2022]]*_20250609_reklama_data[[#This Row],[Darbuotojai 2022]]*12</f>
        <v>0</v>
      </c>
      <c r="AQ167" s="2" t="e">
        <f>(_20250609_reklama_data[[#This Row],[Apyvarta 2022]]-_20250609_reklama_data[[#This Row],[Atlyginimų sąnaudos 2022]])/_20250609_reklama_data[[#This Row],[Darbuotojai 2022]]</f>
        <v>#DIV/0!</v>
      </c>
      <c r="AR167" s="2"/>
      <c r="AS167" s="2"/>
      <c r="AT167" s="2">
        <f>_20250609_reklama_data[[#This Row],[Atlyginimų vidurkis 2023]]*_20250609_reklama_data[[#This Row],[Darbuotojai 2023]]*12</f>
        <v>0</v>
      </c>
      <c r="AU167" s="2" t="e">
        <f>(_20250609_reklama_data[[#This Row],[Apyvarta 2023]]-_20250609_reklama_data[[#This Row],[Atlyginimų sąnaudos 2023]])/_20250609_reklama_data[[#This Row],[Darbuotojai 2023]]</f>
        <v>#DIV/0!</v>
      </c>
      <c r="AV167" s="2"/>
      <c r="AW167" s="2"/>
      <c r="AX167" s="2">
        <f>_20250609_reklama_data[[#This Row],[Atlyginimų vidurkis 2024]]*_20250609_reklama_data[[#This Row],[Darbuotojai 2024]]*12</f>
        <v>0</v>
      </c>
      <c r="AY167" s="2" t="e">
        <f>(_20250609_reklama_data[[#This Row],[Apyvarta 2024]]-_20250609_reklama_data[[#This Row],[Atlyginimų sąnaudos 2024]])/_20250609_reklama_data[[#This Row],[Darbuotojai 2024]]</f>
        <v>#DIV/0!</v>
      </c>
      <c r="AZ167" s="2"/>
      <c r="BA167" s="2"/>
      <c r="BB167" s="2">
        <f>_20250609_reklama_data[[#This Row],[Atlyginimų vidurkis 2025 04]]*_20250609_reklama_data[[#This Row],[Darbuotojai 2025 06 09]]*5</f>
        <v>0</v>
      </c>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row>
    <row r="168" spans="2:83" x14ac:dyDescent="0.2">
      <c r="B168" s="41"/>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f>_20250609_reklama_data[[#This Row],[Atlyginimų vidurkis 2019]]*_20250609_reklama_data[[#This Row],[Darbuotojai 2019]]*12</f>
        <v>0</v>
      </c>
      <c r="AF168" s="2" t="e">
        <f>(_20250609_reklama_data[[#This Row],[Apyvarta 2019]]-_20250609_reklama_data[[#This Row],[Atlyginimų sąnaudos 2019]])/_20250609_reklama_data[[#This Row],[Darbuotojai 2019]]</f>
        <v>#DIV/0!</v>
      </c>
      <c r="AG168" s="2"/>
      <c r="AH168" s="2">
        <f>_20250609_reklama_data[[#This Row],[Atlyginimų vidurkis 2020]]*_20250609_reklama_data[[#This Row],[Darbuotojai 2020]]*12</f>
        <v>0</v>
      </c>
      <c r="AI168" s="2" t="e">
        <f>(_20250609_reklama_data[[#This Row],[Apyvarta 2020]]-_20250609_reklama_data[[#This Row],[Atlyginimų sąnaudos 2020]])/_20250609_reklama_data[[#This Row],[Darbuotojai 2020]]</f>
        <v>#DIV/0!</v>
      </c>
      <c r="AJ168" s="2"/>
      <c r="AK168" s="2"/>
      <c r="AL168" s="2">
        <f>_20250609_reklama_data[[#This Row],[Atlyginimų vidurkis 2021]]*_20250609_reklama_data[[#This Row],[Darbuotojai 2021]]*12</f>
        <v>0</v>
      </c>
      <c r="AM168" s="2" t="e">
        <f>(_20250609_reklama_data[[#This Row],[Apyvarta 2021]]-_20250609_reklama_data[[#This Row],[Atlyginimų sąnaudos 2021]])/_20250609_reklama_data[[#This Row],[Darbuotojai 2021]]</f>
        <v>#DIV/0!</v>
      </c>
      <c r="AN168" s="2"/>
      <c r="AO168" s="2"/>
      <c r="AP168" s="2">
        <f>_20250609_reklama_data[[#This Row],[Atlyginimų vidurkis 2022]]*_20250609_reklama_data[[#This Row],[Darbuotojai 2022]]*12</f>
        <v>0</v>
      </c>
      <c r="AQ168" s="2" t="e">
        <f>(_20250609_reklama_data[[#This Row],[Apyvarta 2022]]-_20250609_reklama_data[[#This Row],[Atlyginimų sąnaudos 2022]])/_20250609_reklama_data[[#This Row],[Darbuotojai 2022]]</f>
        <v>#DIV/0!</v>
      </c>
      <c r="AR168" s="2"/>
      <c r="AS168" s="2"/>
      <c r="AT168" s="2">
        <f>_20250609_reklama_data[[#This Row],[Atlyginimų vidurkis 2023]]*_20250609_reklama_data[[#This Row],[Darbuotojai 2023]]*12</f>
        <v>0</v>
      </c>
      <c r="AU168" s="2" t="e">
        <f>(_20250609_reklama_data[[#This Row],[Apyvarta 2023]]-_20250609_reklama_data[[#This Row],[Atlyginimų sąnaudos 2023]])/_20250609_reklama_data[[#This Row],[Darbuotojai 2023]]</f>
        <v>#DIV/0!</v>
      </c>
      <c r="AV168" s="2"/>
      <c r="AW168" s="2"/>
      <c r="AX168" s="2">
        <f>_20250609_reklama_data[[#This Row],[Atlyginimų vidurkis 2024]]*_20250609_reklama_data[[#This Row],[Darbuotojai 2024]]*12</f>
        <v>0</v>
      </c>
      <c r="AY168" s="2" t="e">
        <f>(_20250609_reklama_data[[#This Row],[Apyvarta 2024]]-_20250609_reklama_data[[#This Row],[Atlyginimų sąnaudos 2024]])/_20250609_reklama_data[[#This Row],[Darbuotojai 2024]]</f>
        <v>#DIV/0!</v>
      </c>
      <c r="AZ168" s="2"/>
      <c r="BA168" s="2"/>
      <c r="BB168" s="2">
        <f>_20250609_reklama_data[[#This Row],[Atlyginimų vidurkis 2025 04]]*_20250609_reklama_data[[#This Row],[Darbuotojai 2025 06 09]]*5</f>
        <v>0</v>
      </c>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row>
    <row r="169" spans="2:83" x14ac:dyDescent="0.2">
      <c r="B169" s="41"/>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f>_20250609_reklama_data[[#This Row],[Atlyginimų vidurkis 2019]]*_20250609_reklama_data[[#This Row],[Darbuotojai 2019]]*12</f>
        <v>0</v>
      </c>
      <c r="AF169" s="2" t="e">
        <f>(_20250609_reklama_data[[#This Row],[Apyvarta 2019]]-_20250609_reklama_data[[#This Row],[Atlyginimų sąnaudos 2019]])/_20250609_reklama_data[[#This Row],[Darbuotojai 2019]]</f>
        <v>#DIV/0!</v>
      </c>
      <c r="AG169" s="2"/>
      <c r="AH169" s="2">
        <f>_20250609_reklama_data[[#This Row],[Atlyginimų vidurkis 2020]]*_20250609_reklama_data[[#This Row],[Darbuotojai 2020]]*12</f>
        <v>0</v>
      </c>
      <c r="AI169" s="2" t="e">
        <f>(_20250609_reklama_data[[#This Row],[Apyvarta 2020]]-_20250609_reklama_data[[#This Row],[Atlyginimų sąnaudos 2020]])/_20250609_reklama_data[[#This Row],[Darbuotojai 2020]]</f>
        <v>#DIV/0!</v>
      </c>
      <c r="AJ169" s="2"/>
      <c r="AK169" s="2"/>
      <c r="AL169" s="2">
        <f>_20250609_reklama_data[[#This Row],[Atlyginimų vidurkis 2021]]*_20250609_reklama_data[[#This Row],[Darbuotojai 2021]]*12</f>
        <v>0</v>
      </c>
      <c r="AM169" s="2" t="e">
        <f>(_20250609_reklama_data[[#This Row],[Apyvarta 2021]]-_20250609_reklama_data[[#This Row],[Atlyginimų sąnaudos 2021]])/_20250609_reklama_data[[#This Row],[Darbuotojai 2021]]</f>
        <v>#DIV/0!</v>
      </c>
      <c r="AN169" s="2"/>
      <c r="AO169" s="2"/>
      <c r="AP169" s="2">
        <f>_20250609_reklama_data[[#This Row],[Atlyginimų vidurkis 2022]]*_20250609_reklama_data[[#This Row],[Darbuotojai 2022]]*12</f>
        <v>0</v>
      </c>
      <c r="AQ169" s="2" t="e">
        <f>(_20250609_reklama_data[[#This Row],[Apyvarta 2022]]-_20250609_reklama_data[[#This Row],[Atlyginimų sąnaudos 2022]])/_20250609_reklama_data[[#This Row],[Darbuotojai 2022]]</f>
        <v>#DIV/0!</v>
      </c>
      <c r="AR169" s="2"/>
      <c r="AS169" s="2"/>
      <c r="AT169" s="2">
        <f>_20250609_reklama_data[[#This Row],[Atlyginimų vidurkis 2023]]*_20250609_reklama_data[[#This Row],[Darbuotojai 2023]]*12</f>
        <v>0</v>
      </c>
      <c r="AU169" s="2" t="e">
        <f>(_20250609_reklama_data[[#This Row],[Apyvarta 2023]]-_20250609_reklama_data[[#This Row],[Atlyginimų sąnaudos 2023]])/_20250609_reklama_data[[#This Row],[Darbuotojai 2023]]</f>
        <v>#DIV/0!</v>
      </c>
      <c r="AV169" s="2"/>
      <c r="AW169" s="2"/>
      <c r="AX169" s="2">
        <f>_20250609_reklama_data[[#This Row],[Atlyginimų vidurkis 2024]]*_20250609_reklama_data[[#This Row],[Darbuotojai 2024]]*12</f>
        <v>0</v>
      </c>
      <c r="AY169" s="2" t="e">
        <f>(_20250609_reklama_data[[#This Row],[Apyvarta 2024]]-_20250609_reklama_data[[#This Row],[Atlyginimų sąnaudos 2024]])/_20250609_reklama_data[[#This Row],[Darbuotojai 2024]]</f>
        <v>#DIV/0!</v>
      </c>
      <c r="AZ169" s="2"/>
      <c r="BA169" s="2"/>
      <c r="BB169" s="2">
        <f>_20250609_reklama_data[[#This Row],[Atlyginimų vidurkis 2025 04]]*_20250609_reklama_data[[#This Row],[Darbuotojai 2025 06 09]]*5</f>
        <v>0</v>
      </c>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row>
    <row r="170" spans="2:83" x14ac:dyDescent="0.2">
      <c r="B170" s="41"/>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f>_20250609_reklama_data[[#This Row],[Atlyginimų vidurkis 2019]]*_20250609_reklama_data[[#This Row],[Darbuotojai 2019]]*12</f>
        <v>0</v>
      </c>
      <c r="AF170" s="2" t="e">
        <f>(_20250609_reklama_data[[#This Row],[Apyvarta 2019]]-_20250609_reklama_data[[#This Row],[Atlyginimų sąnaudos 2019]])/_20250609_reklama_data[[#This Row],[Darbuotojai 2019]]</f>
        <v>#DIV/0!</v>
      </c>
      <c r="AG170" s="2"/>
      <c r="AH170" s="2">
        <f>_20250609_reklama_data[[#This Row],[Atlyginimų vidurkis 2020]]*_20250609_reklama_data[[#This Row],[Darbuotojai 2020]]*12</f>
        <v>0</v>
      </c>
      <c r="AI170" s="2" t="e">
        <f>(_20250609_reklama_data[[#This Row],[Apyvarta 2020]]-_20250609_reklama_data[[#This Row],[Atlyginimų sąnaudos 2020]])/_20250609_reklama_data[[#This Row],[Darbuotojai 2020]]</f>
        <v>#DIV/0!</v>
      </c>
      <c r="AJ170" s="2"/>
      <c r="AK170" s="2"/>
      <c r="AL170" s="2">
        <f>_20250609_reklama_data[[#This Row],[Atlyginimų vidurkis 2021]]*_20250609_reklama_data[[#This Row],[Darbuotojai 2021]]*12</f>
        <v>0</v>
      </c>
      <c r="AM170" s="2" t="e">
        <f>(_20250609_reklama_data[[#This Row],[Apyvarta 2021]]-_20250609_reklama_data[[#This Row],[Atlyginimų sąnaudos 2021]])/_20250609_reklama_data[[#This Row],[Darbuotojai 2021]]</f>
        <v>#DIV/0!</v>
      </c>
      <c r="AN170" s="2"/>
      <c r="AO170" s="2"/>
      <c r="AP170" s="2">
        <f>_20250609_reklama_data[[#This Row],[Atlyginimų vidurkis 2022]]*_20250609_reklama_data[[#This Row],[Darbuotojai 2022]]*12</f>
        <v>0</v>
      </c>
      <c r="AQ170" s="2" t="e">
        <f>(_20250609_reklama_data[[#This Row],[Apyvarta 2022]]-_20250609_reklama_data[[#This Row],[Atlyginimų sąnaudos 2022]])/_20250609_reklama_data[[#This Row],[Darbuotojai 2022]]</f>
        <v>#DIV/0!</v>
      </c>
      <c r="AR170" s="2"/>
      <c r="AS170" s="2"/>
      <c r="AT170" s="2">
        <f>_20250609_reklama_data[[#This Row],[Atlyginimų vidurkis 2023]]*_20250609_reklama_data[[#This Row],[Darbuotojai 2023]]*12</f>
        <v>0</v>
      </c>
      <c r="AU170" s="2" t="e">
        <f>(_20250609_reklama_data[[#This Row],[Apyvarta 2023]]-_20250609_reklama_data[[#This Row],[Atlyginimų sąnaudos 2023]])/_20250609_reklama_data[[#This Row],[Darbuotojai 2023]]</f>
        <v>#DIV/0!</v>
      </c>
      <c r="AV170" s="2"/>
      <c r="AW170" s="2"/>
      <c r="AX170" s="2">
        <f>_20250609_reklama_data[[#This Row],[Atlyginimų vidurkis 2024]]*_20250609_reklama_data[[#This Row],[Darbuotojai 2024]]*12</f>
        <v>0</v>
      </c>
      <c r="AY170" s="2" t="e">
        <f>(_20250609_reklama_data[[#This Row],[Apyvarta 2024]]-_20250609_reklama_data[[#This Row],[Atlyginimų sąnaudos 2024]])/_20250609_reklama_data[[#This Row],[Darbuotojai 2024]]</f>
        <v>#DIV/0!</v>
      </c>
      <c r="AZ170" s="2"/>
      <c r="BA170" s="2"/>
      <c r="BB170" s="2">
        <f>_20250609_reklama_data[[#This Row],[Atlyginimų vidurkis 2025 04]]*_20250609_reklama_data[[#This Row],[Darbuotojai 2025 06 09]]*5</f>
        <v>0</v>
      </c>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row>
  </sheetData>
  <phoneticPr fontId="2" type="noConversion"/>
  <hyperlinks>
    <hyperlink ref="C63" r:id="rId1" xr:uid="{9D9BC374-8018-7649-B9DC-30612D24EDDC}"/>
    <hyperlink ref="C94" r:id="rId2" display="http://www.ventonuovo.lt/" xr:uid="{86E26FA5-6D7C-1D4A-A8AF-BF0C546821B7}"/>
    <hyperlink ref="CA22" r:id="rId3" xr:uid="{FFEAD6CB-ED14-4121-9274-40A9134F7D22}"/>
    <hyperlink ref="CC22" r:id="rId4" xr:uid="{2DFDD965-A2B8-486B-8BBE-5EF5DF7C2541}"/>
    <hyperlink ref="CB48" r:id="rId5" xr:uid="{DCEB2947-7658-4D67-AD35-B146C1506600}"/>
    <hyperlink ref="CC96" r:id="rId6" xr:uid="{1EC9C382-C2CC-47C4-B238-33FB912E343B}"/>
    <hyperlink ref="BZ81" r:id="rId7" xr:uid="{5800A169-3017-47B9-A7D4-0D34F0234866}"/>
    <hyperlink ref="CB83" r:id="rId8" xr:uid="{71EFF60F-B05E-4C43-A1A6-60658943646B}"/>
    <hyperlink ref="CC74" r:id="rId9" xr:uid="{AE28C3FE-414E-487A-AC10-9D93C3B9324B}"/>
    <hyperlink ref="CC97" r:id="rId10" xr:uid="{DD65BF5E-D1E3-4504-A5AB-D8BC92E43029}"/>
    <hyperlink ref="CB97" r:id="rId11" xr:uid="{77CF7B20-955B-4041-9F43-E07B8768B74C}"/>
    <hyperlink ref="CB57" r:id="rId12" xr:uid="{A30AE90F-6F4D-4687-B074-3869A300E2C2}"/>
    <hyperlink ref="BZ63" r:id="rId13" xr:uid="{82AA598E-D36D-4738-B7CC-DDD94E40BC3D}"/>
    <hyperlink ref="C62" r:id="rId14" xr:uid="{6D669D51-A698-48B4-A059-429958C40148}"/>
  </hyperlinks>
  <pageMargins left="0.7" right="0.7" top="0.75" bottom="0.75" header="0.3" footer="0.3"/>
  <pageSetup paperSize="9" orientation="portrait" verticalDpi="0" r:id="rId15"/>
  <tableParts count="1">
    <tablePart r:id="rId1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E351-4FC5-48B3-AC4C-95EBEFC02B5F}">
  <dimension ref="A1:Z841"/>
  <sheetViews>
    <sheetView zoomScale="90" zoomScaleNormal="70" workbookViewId="0">
      <pane xSplit="1" ySplit="1" topLeftCell="R406" activePane="bottomRight" state="frozen"/>
      <selection pane="topRight" activeCell="B1" sqref="B1"/>
      <selection pane="bottomLeft" activeCell="A2" sqref="A2"/>
      <selection pane="bottomRight" sqref="A1:Z582"/>
    </sheetView>
  </sheetViews>
  <sheetFormatPr baseColWidth="10" defaultColWidth="8.83203125" defaultRowHeight="15" outlineLevelCol="1" x14ac:dyDescent="0.2"/>
  <cols>
    <col min="1" max="1" width="18.83203125" customWidth="1"/>
    <col min="2" max="2" width="24.33203125" bestFit="1" customWidth="1"/>
    <col min="3" max="3" width="7.83203125" customWidth="1"/>
    <col min="4" max="8" width="19.33203125" customWidth="1" outlineLevel="1"/>
    <col min="9" max="9" width="15.1640625" customWidth="1" outlineLevel="1"/>
    <col min="10" max="10" width="12.1640625" customWidth="1" outlineLevel="1"/>
    <col min="11" max="11" width="20.6640625" customWidth="1" outlineLevel="1"/>
    <col min="12" max="12" width="12.1640625" customWidth="1" outlineLevel="1"/>
    <col min="13" max="13" width="21" style="2" customWidth="1"/>
    <col min="14" max="14" width="20.6640625" style="1" customWidth="1"/>
    <col min="15" max="15" width="29.83203125" style="2" customWidth="1"/>
    <col min="16" max="16" width="29.83203125" style="1" customWidth="1"/>
    <col min="17" max="18" width="29.83203125" style="2" customWidth="1"/>
    <col min="19" max="19" width="20.33203125" style="1" customWidth="1"/>
    <col min="20" max="20" width="19.6640625" style="1" customWidth="1"/>
    <col min="21" max="21" width="35.1640625" customWidth="1"/>
    <col min="22" max="22" width="35.1640625" style="30" customWidth="1"/>
    <col min="23" max="23" width="22.5" bestFit="1" customWidth="1"/>
    <col min="24" max="24" width="16.1640625" style="1" customWidth="1"/>
    <col min="25" max="25" width="22.33203125" bestFit="1" customWidth="1"/>
    <col min="26" max="26" width="20" bestFit="1" customWidth="1"/>
  </cols>
  <sheetData>
    <row r="1" spans="1:26" x14ac:dyDescent="0.2">
      <c r="A1" s="25" t="s">
        <v>1700</v>
      </c>
      <c r="B1" s="25" t="s">
        <v>1384</v>
      </c>
      <c r="C1" s="25" t="s">
        <v>1701</v>
      </c>
      <c r="D1" s="25" t="s">
        <v>1702</v>
      </c>
      <c r="E1" s="25" t="s">
        <v>1703</v>
      </c>
      <c r="F1" s="25" t="s">
        <v>1704</v>
      </c>
      <c r="G1" s="25" t="s">
        <v>1705</v>
      </c>
      <c r="H1" s="25" t="s">
        <v>1706</v>
      </c>
      <c r="I1" s="25" t="s">
        <v>1385</v>
      </c>
      <c r="J1" s="25" t="s">
        <v>1386</v>
      </c>
      <c r="K1" s="25" t="s">
        <v>1387</v>
      </c>
      <c r="L1" s="25" t="s">
        <v>1388</v>
      </c>
      <c r="M1" s="26" t="s">
        <v>1707</v>
      </c>
      <c r="N1" s="27" t="s">
        <v>1708</v>
      </c>
      <c r="O1" s="26" t="s">
        <v>1709</v>
      </c>
      <c r="P1" s="27" t="s">
        <v>1710</v>
      </c>
      <c r="Q1" s="26" t="s">
        <v>1711</v>
      </c>
      <c r="R1" s="26" t="s">
        <v>1712</v>
      </c>
      <c r="S1" s="27" t="s">
        <v>1713</v>
      </c>
      <c r="T1" s="27" t="s">
        <v>1714</v>
      </c>
      <c r="U1" s="25" t="s">
        <v>1715</v>
      </c>
      <c r="V1" s="47" t="s">
        <v>1716</v>
      </c>
      <c r="W1" s="25" t="s">
        <v>1717</v>
      </c>
      <c r="X1" s="27" t="s">
        <v>1718</v>
      </c>
      <c r="Y1" s="25" t="s">
        <v>1719</v>
      </c>
      <c r="Z1" s="25" t="s">
        <v>1720</v>
      </c>
    </row>
    <row r="2" spans="1:26" hidden="1" x14ac:dyDescent="0.2">
      <c r="A2" s="5" t="s">
        <v>903</v>
      </c>
      <c r="B2" s="5" t="s">
        <v>1402</v>
      </c>
      <c r="C2" s="5">
        <v>2019</v>
      </c>
      <c r="D2" s="5" t="s">
        <v>1721</v>
      </c>
      <c r="E2" s="5" t="s">
        <v>1721</v>
      </c>
      <c r="F2" s="5" t="s">
        <v>1721</v>
      </c>
      <c r="G2" s="5" t="s">
        <v>1721</v>
      </c>
      <c r="H2" s="5" t="s">
        <v>1721</v>
      </c>
      <c r="I2" s="5" t="s">
        <v>1721</v>
      </c>
      <c r="J2" s="5" t="s">
        <v>1721</v>
      </c>
      <c r="K2" s="5" t="s">
        <v>193</v>
      </c>
      <c r="L2" s="5" t="s">
        <v>1721</v>
      </c>
      <c r="M2" s="9">
        <v>0</v>
      </c>
      <c r="N2" s="6">
        <v>0</v>
      </c>
      <c r="O2" s="9">
        <v>0</v>
      </c>
      <c r="P2" s="6">
        <v>0</v>
      </c>
      <c r="Q2" s="9">
        <f>Table2[[#This Row],[Atlyginimo vidurkis]]*Table2[[#This Row],[Darbuotojų skaičius]]*12</f>
        <v>0</v>
      </c>
      <c r="R2" s="49">
        <v>0</v>
      </c>
      <c r="S2" s="9">
        <v>3060</v>
      </c>
      <c r="T2" s="6">
        <v>0</v>
      </c>
      <c r="U2" s="9">
        <f>IF(Table2[[#This Row],[DU sąnaudos]]=0,0,Table2[[#This Row],[Apyvarta]]-Table2[[#This Row],[DU sąnaudos]]-Table2[[#This Row],[Pelnas]])</f>
        <v>0</v>
      </c>
      <c r="V2" s="49">
        <v>0</v>
      </c>
      <c r="W2" s="9">
        <v>-3087</v>
      </c>
      <c r="X2" s="6">
        <v>0</v>
      </c>
      <c r="Y2" s="8">
        <f>Table2[[#This Row],[DU sąnaudos]]*0.43</f>
        <v>0</v>
      </c>
      <c r="Z2" s="8">
        <f>Table2[[#This Row],[Apyvarta]]-Table2[[#This Row],[Ne-atlyginimų sąnaudos]]+Table2[[#This Row],[Fiks ir pelno mokestis]]</f>
        <v>3060</v>
      </c>
    </row>
    <row r="3" spans="1:26" hidden="1" x14ac:dyDescent="0.2">
      <c r="A3" s="5" t="s">
        <v>903</v>
      </c>
      <c r="B3" s="5" t="s">
        <v>1402</v>
      </c>
      <c r="C3" s="5">
        <v>2020</v>
      </c>
      <c r="D3" s="5" t="s">
        <v>1721</v>
      </c>
      <c r="E3" s="5" t="s">
        <v>1721</v>
      </c>
      <c r="F3" s="5" t="s">
        <v>1721</v>
      </c>
      <c r="G3" s="5" t="s">
        <v>1721</v>
      </c>
      <c r="H3" s="5" t="s">
        <v>1721</v>
      </c>
      <c r="I3" s="5" t="s">
        <v>1721</v>
      </c>
      <c r="J3" s="5" t="s">
        <v>1721</v>
      </c>
      <c r="K3" s="5" t="s">
        <v>193</v>
      </c>
      <c r="L3" s="5" t="s">
        <v>1721</v>
      </c>
      <c r="M3" s="9">
        <v>0</v>
      </c>
      <c r="N3" s="50">
        <f>IFERROR(Table2[[#This Row],[Darbuotojų skaičius]]/M2-1,0)</f>
        <v>0</v>
      </c>
      <c r="O3" s="9">
        <v>0</v>
      </c>
      <c r="P3" s="6">
        <v>0</v>
      </c>
      <c r="Q3" s="9">
        <f>Table2[[#This Row],[Atlyginimo vidurkis]]*Table2[[#This Row],[Darbuotojų skaičius]]*12</f>
        <v>0</v>
      </c>
      <c r="R3" s="49">
        <f>IFERROR(Table2[[#This Row],[DU sąnaudos]]/Q2-1,0)</f>
        <v>0</v>
      </c>
      <c r="S3" s="9">
        <v>4301</v>
      </c>
      <c r="T3" s="6">
        <v>0.40555555555555539</v>
      </c>
      <c r="U3" s="9">
        <f>IF(Table2[[#This Row],[DU sąnaudos]]=0,0,Table2[[#This Row],[Apyvarta]]-Table2[[#This Row],[DU sąnaudos]]-Table2[[#This Row],[Pelnas]])</f>
        <v>0</v>
      </c>
      <c r="V3" s="49">
        <f>IFERROR(Table2[[#This Row],[Ne-atlyginimų sąnaudos]]/U2-1,0)</f>
        <v>0</v>
      </c>
      <c r="W3" s="9">
        <v>1</v>
      </c>
      <c r="X3" s="6">
        <v>-1.0003239390994489</v>
      </c>
      <c r="Y3" s="8">
        <f>Table2[[#This Row],[DU sąnaudos]]*0.43</f>
        <v>0</v>
      </c>
      <c r="Z3" s="8">
        <f>Table2[[#This Row],[Apyvarta]]-Table2[[#This Row],[Ne-atlyginimų sąnaudos]]+Table2[[#This Row],[Fiks ir pelno mokestis]]</f>
        <v>4301</v>
      </c>
    </row>
    <row r="4" spans="1:26" hidden="1" x14ac:dyDescent="0.2">
      <c r="A4" s="5" t="s">
        <v>903</v>
      </c>
      <c r="B4" s="5" t="s">
        <v>1402</v>
      </c>
      <c r="C4" s="5">
        <v>2021</v>
      </c>
      <c r="D4" s="5" t="s">
        <v>1721</v>
      </c>
      <c r="E4" s="5" t="s">
        <v>1721</v>
      </c>
      <c r="F4" s="5" t="s">
        <v>1721</v>
      </c>
      <c r="G4" s="5" t="s">
        <v>1721</v>
      </c>
      <c r="H4" s="5" t="s">
        <v>1721</v>
      </c>
      <c r="I4" s="5" t="s">
        <v>1721</v>
      </c>
      <c r="J4" s="5" t="s">
        <v>1721</v>
      </c>
      <c r="K4" s="5" t="s">
        <v>193</v>
      </c>
      <c r="L4" s="5" t="s">
        <v>1721</v>
      </c>
      <c r="M4" s="9">
        <v>0</v>
      </c>
      <c r="N4" s="6">
        <f>IFERROR(Table2[[#This Row],[Darbuotojų skaičius]]/M3-1,0)</f>
        <v>0</v>
      </c>
      <c r="O4" s="9">
        <v>0</v>
      </c>
      <c r="P4" s="6">
        <v>0</v>
      </c>
      <c r="Q4" s="9">
        <f>Table2[[#This Row],[Atlyginimo vidurkis]]*Table2[[#This Row],[Darbuotojų skaičius]]*12</f>
        <v>0</v>
      </c>
      <c r="R4" s="49">
        <f>IFERROR(Table2[[#This Row],[DU sąnaudos]]/Q3-1,0)</f>
        <v>0</v>
      </c>
      <c r="S4" s="9">
        <v>0</v>
      </c>
      <c r="T4" s="6">
        <v>0</v>
      </c>
      <c r="U4" s="9">
        <f>IF(Table2[[#This Row],[DU sąnaudos]]=0,0,Table2[[#This Row],[Apyvarta]]-Table2[[#This Row],[DU sąnaudos]]-Table2[[#This Row],[Pelnas]])</f>
        <v>0</v>
      </c>
      <c r="V4" s="49">
        <f>IFERROR(Table2[[#This Row],[Ne-atlyginimų sąnaudos]]/U3-1,0)</f>
        <v>0</v>
      </c>
      <c r="W4" s="9">
        <v>0</v>
      </c>
      <c r="X4" s="6">
        <v>-1</v>
      </c>
      <c r="Y4" s="8">
        <f>Table2[[#This Row],[DU sąnaudos]]*0.43</f>
        <v>0</v>
      </c>
      <c r="Z4" s="8">
        <f>Table2[[#This Row],[Apyvarta]]-Table2[[#This Row],[Ne-atlyginimų sąnaudos]]+Table2[[#This Row],[Fiks ir pelno mokestis]]</f>
        <v>0</v>
      </c>
    </row>
    <row r="5" spans="1:26" hidden="1" x14ac:dyDescent="0.2">
      <c r="A5" s="5" t="s">
        <v>903</v>
      </c>
      <c r="B5" s="5" t="s">
        <v>1402</v>
      </c>
      <c r="C5" s="5">
        <v>2022</v>
      </c>
      <c r="D5" s="5" t="s">
        <v>1721</v>
      </c>
      <c r="E5" s="5" t="s">
        <v>1721</v>
      </c>
      <c r="F5" s="5" t="s">
        <v>1721</v>
      </c>
      <c r="G5" s="5" t="s">
        <v>1721</v>
      </c>
      <c r="H5" s="5" t="s">
        <v>1721</v>
      </c>
      <c r="I5" s="5" t="s">
        <v>1721</v>
      </c>
      <c r="J5" s="5" t="s">
        <v>1721</v>
      </c>
      <c r="K5" s="5" t="s">
        <v>193</v>
      </c>
      <c r="L5" s="5" t="s">
        <v>1721</v>
      </c>
      <c r="M5" s="9">
        <v>0</v>
      </c>
      <c r="N5" s="6">
        <f>IFERROR(Table2[[#This Row],[Darbuotojų skaičius]]/M4-1,0)</f>
        <v>0</v>
      </c>
      <c r="O5" s="9">
        <v>0</v>
      </c>
      <c r="P5" s="6">
        <v>0</v>
      </c>
      <c r="Q5" s="9">
        <f>Table2[[#This Row],[Atlyginimo vidurkis]]*Table2[[#This Row],[Darbuotojų skaičius]]*12</f>
        <v>0</v>
      </c>
      <c r="R5" s="49">
        <f>IFERROR(Table2[[#This Row],[DU sąnaudos]]/Q4-1,0)</f>
        <v>0</v>
      </c>
      <c r="S5" s="9">
        <v>0</v>
      </c>
      <c r="T5" s="6">
        <v>-1</v>
      </c>
      <c r="U5" s="9">
        <f>IF(Table2[[#This Row],[DU sąnaudos]]=0,0,Table2[[#This Row],[Apyvarta]]-Table2[[#This Row],[DU sąnaudos]]-Table2[[#This Row],[Pelnas]])</f>
        <v>0</v>
      </c>
      <c r="V5" s="49">
        <f>IFERROR(Table2[[#This Row],[Ne-atlyginimų sąnaudos]]/U4-1,0)</f>
        <v>0</v>
      </c>
      <c r="W5" s="9">
        <v>0</v>
      </c>
      <c r="X5" s="6">
        <v>0</v>
      </c>
      <c r="Y5" s="8">
        <f>Table2[[#This Row],[DU sąnaudos]]*0.43</f>
        <v>0</v>
      </c>
      <c r="Z5" s="8">
        <f>Table2[[#This Row],[Apyvarta]]-Table2[[#This Row],[Ne-atlyginimų sąnaudos]]+Table2[[#This Row],[Fiks ir pelno mokestis]]</f>
        <v>0</v>
      </c>
    </row>
    <row r="6" spans="1:26" hidden="1" x14ac:dyDescent="0.2">
      <c r="A6" s="5" t="s">
        <v>903</v>
      </c>
      <c r="B6" s="5" t="s">
        <v>1402</v>
      </c>
      <c r="C6" s="5">
        <v>2023</v>
      </c>
      <c r="D6" s="5" t="s">
        <v>1721</v>
      </c>
      <c r="E6" s="5" t="s">
        <v>1721</v>
      </c>
      <c r="F6" s="5" t="s">
        <v>1721</v>
      </c>
      <c r="G6" s="5" t="s">
        <v>1721</v>
      </c>
      <c r="H6" s="5" t="s">
        <v>1721</v>
      </c>
      <c r="I6" s="5" t="s">
        <v>1721</v>
      </c>
      <c r="J6" s="5" t="s">
        <v>1721</v>
      </c>
      <c r="K6" s="5" t="s">
        <v>193</v>
      </c>
      <c r="L6" s="5" t="s">
        <v>1721</v>
      </c>
      <c r="M6" s="9">
        <v>0</v>
      </c>
      <c r="N6" s="6">
        <f>IFERROR(Table2[[#This Row],[Darbuotojų skaičius]]/M5-1,0)</f>
        <v>0</v>
      </c>
      <c r="O6" s="9">
        <v>0</v>
      </c>
      <c r="P6" s="6">
        <v>0</v>
      </c>
      <c r="Q6" s="9">
        <f>Table2[[#This Row],[Atlyginimo vidurkis]]*Table2[[#This Row],[Darbuotojų skaičius]]*12</f>
        <v>0</v>
      </c>
      <c r="R6" s="49">
        <f>IFERROR(Table2[[#This Row],[DU sąnaudos]]/Q5-1,0)</f>
        <v>0</v>
      </c>
      <c r="S6" s="9">
        <v>23740</v>
      </c>
      <c r="T6" s="6">
        <v>0</v>
      </c>
      <c r="U6" s="9">
        <f>IF(Table2[[#This Row],[DU sąnaudos]]=0,0,Table2[[#This Row],[Apyvarta]]-Table2[[#This Row],[DU sąnaudos]]-Table2[[#This Row],[Pelnas]])</f>
        <v>0</v>
      </c>
      <c r="V6" s="49">
        <f>IFERROR(Table2[[#This Row],[Ne-atlyginimų sąnaudos]]/U5-1,0)</f>
        <v>0</v>
      </c>
      <c r="W6" s="9">
        <v>18605</v>
      </c>
      <c r="X6" s="6">
        <v>0</v>
      </c>
      <c r="Y6" s="8">
        <f>Table2[[#This Row],[DU sąnaudos]]*0.43</f>
        <v>0</v>
      </c>
      <c r="Z6" s="8">
        <f>Table2[[#This Row],[Apyvarta]]-Table2[[#This Row],[Ne-atlyginimų sąnaudos]]+Table2[[#This Row],[Fiks ir pelno mokestis]]</f>
        <v>23740</v>
      </c>
    </row>
    <row r="7" spans="1:26" hidden="1" x14ac:dyDescent="0.2">
      <c r="A7" s="5" t="s">
        <v>903</v>
      </c>
      <c r="B7" s="5" t="s">
        <v>1402</v>
      </c>
      <c r="C7" s="5">
        <v>2024</v>
      </c>
      <c r="D7" s="5" t="s">
        <v>1721</v>
      </c>
      <c r="E7" s="5" t="s">
        <v>1721</v>
      </c>
      <c r="F7" s="5" t="s">
        <v>1721</v>
      </c>
      <c r="G7" s="5" t="s">
        <v>1721</v>
      </c>
      <c r="H7" s="5" t="s">
        <v>1721</v>
      </c>
      <c r="I7" s="5" t="s">
        <v>1721</v>
      </c>
      <c r="J7" s="5" t="s">
        <v>1721</v>
      </c>
      <c r="K7" s="5" t="s">
        <v>193</v>
      </c>
      <c r="L7" s="5" t="s">
        <v>1721</v>
      </c>
      <c r="M7" s="9">
        <v>1</v>
      </c>
      <c r="N7" s="6">
        <f>IFERROR(Table2[[#This Row],[Darbuotojų skaičius]]/M6-1,0)</f>
        <v>0</v>
      </c>
      <c r="O7" s="9">
        <v>0</v>
      </c>
      <c r="P7" s="6">
        <v>0</v>
      </c>
      <c r="Q7" s="9">
        <f>Table2[[#This Row],[Atlyginimo vidurkis]]*Table2[[#This Row],[Darbuotojų skaičius]]*12</f>
        <v>0</v>
      </c>
      <c r="R7" s="49">
        <f>IFERROR(Table2[[#This Row],[DU sąnaudos]]/Q6-1,0)</f>
        <v>0</v>
      </c>
      <c r="S7" s="9">
        <v>60840</v>
      </c>
      <c r="T7" s="6">
        <v>1.562763268744735</v>
      </c>
      <c r="U7" s="46">
        <f>IF(Table2[[#This Row],[DU sąnaudos]]=0,0,Table2[[#This Row],[Apyvarta]]-Table2[[#This Row],[DU sąnaudos]]-Table2[[#This Row],[Pelnas]])</f>
        <v>0</v>
      </c>
      <c r="V7" s="48">
        <f>IFERROR(Table2[[#This Row],[Ne-atlyginimų sąnaudos]]/U6-1,0)</f>
        <v>0</v>
      </c>
      <c r="W7" s="9">
        <v>31289</v>
      </c>
      <c r="X7" s="6">
        <v>0.68175221714592849</v>
      </c>
      <c r="Y7" s="8">
        <f>Table2[[#This Row],[DU sąnaudos]]*0.43</f>
        <v>0</v>
      </c>
      <c r="Z7" s="8">
        <f>Table2[[#This Row],[Apyvarta]]-Table2[[#This Row],[Ne-atlyginimų sąnaudos]]+Table2[[#This Row],[Fiks ir pelno mokestis]]</f>
        <v>60840</v>
      </c>
    </row>
    <row r="8" spans="1:26" hidden="1" x14ac:dyDescent="0.2">
      <c r="A8" s="5" t="s">
        <v>1722</v>
      </c>
      <c r="B8" s="5" t="s">
        <v>1723</v>
      </c>
      <c r="C8" s="5">
        <v>2019</v>
      </c>
      <c r="D8" s="5" t="s">
        <v>1721</v>
      </c>
      <c r="E8" s="5" t="s">
        <v>1721</v>
      </c>
      <c r="F8" s="5" t="s">
        <v>1721</v>
      </c>
      <c r="G8" s="5" t="s">
        <v>1721</v>
      </c>
      <c r="H8" s="5" t="s">
        <v>1721</v>
      </c>
      <c r="I8" s="5" t="s">
        <v>1721</v>
      </c>
      <c r="J8" s="5" t="s">
        <v>1721</v>
      </c>
      <c r="K8" s="5" t="s">
        <v>193</v>
      </c>
      <c r="L8" s="5" t="s">
        <v>1721</v>
      </c>
      <c r="M8" s="9">
        <v>0</v>
      </c>
      <c r="N8" s="6">
        <v>0</v>
      </c>
      <c r="O8" s="9">
        <v>0</v>
      </c>
      <c r="P8" s="6">
        <v>0</v>
      </c>
      <c r="Q8" s="9">
        <f>Table2[[#This Row],[Atlyginimo vidurkis]]*Table2[[#This Row],[Darbuotojų skaičius]]*12</f>
        <v>0</v>
      </c>
      <c r="R8" s="49">
        <v>0</v>
      </c>
      <c r="S8" s="9">
        <v>0</v>
      </c>
      <c r="T8" s="6">
        <v>0</v>
      </c>
      <c r="U8" s="9">
        <f>IF(Table2[[#This Row],[DU sąnaudos]]=0,0,Table2[[#This Row],[Apyvarta]]-Table2[[#This Row],[DU sąnaudos]]-Table2[[#This Row],[Pelnas]])</f>
        <v>0</v>
      </c>
      <c r="V8" s="49">
        <v>0</v>
      </c>
      <c r="W8" s="9">
        <v>0</v>
      </c>
      <c r="X8" s="6">
        <v>0</v>
      </c>
      <c r="Y8" s="8">
        <f>Table2[[#This Row],[DU sąnaudos]]*0.43</f>
        <v>0</v>
      </c>
      <c r="Z8" s="8">
        <f>Table2[[#This Row],[Apyvarta]]-Table2[[#This Row],[Ne-atlyginimų sąnaudos]]+Table2[[#This Row],[Fiks ir pelno mokestis]]</f>
        <v>0</v>
      </c>
    </row>
    <row r="9" spans="1:26" hidden="1" x14ac:dyDescent="0.2">
      <c r="A9" s="5" t="s">
        <v>1722</v>
      </c>
      <c r="B9" s="5" t="s">
        <v>1723</v>
      </c>
      <c r="C9" s="5">
        <v>2020</v>
      </c>
      <c r="D9" s="5" t="s">
        <v>1721</v>
      </c>
      <c r="E9" s="5" t="s">
        <v>1721</v>
      </c>
      <c r="F9" s="5" t="s">
        <v>1721</v>
      </c>
      <c r="G9" s="5" t="s">
        <v>1721</v>
      </c>
      <c r="H9" s="5" t="s">
        <v>1721</v>
      </c>
      <c r="I9" s="5" t="s">
        <v>1721</v>
      </c>
      <c r="J9" s="5" t="s">
        <v>1721</v>
      </c>
      <c r="K9" s="5" t="s">
        <v>193</v>
      </c>
      <c r="L9" s="5" t="s">
        <v>1721</v>
      </c>
      <c r="M9" s="9">
        <v>1</v>
      </c>
      <c r="N9" s="6">
        <f>IFERROR(Table2[[#This Row],[Darbuotojų skaičius]]/M8-1,0)</f>
        <v>0</v>
      </c>
      <c r="O9" s="9">
        <v>0</v>
      </c>
      <c r="P9" s="6">
        <v>0</v>
      </c>
      <c r="Q9" s="9">
        <f>Table2[[#This Row],[Atlyginimo vidurkis]]*Table2[[#This Row],[Darbuotojų skaičius]]*12</f>
        <v>0</v>
      </c>
      <c r="R9" s="49">
        <f>IFERROR(Table2[[#This Row],[DU sąnaudos]]/Q8-1,0)</f>
        <v>0</v>
      </c>
      <c r="S9" s="9">
        <v>9992</v>
      </c>
      <c r="T9" s="6">
        <v>0</v>
      </c>
      <c r="U9" s="9">
        <f>IF(Table2[[#This Row],[DU sąnaudos]]=0,0,Table2[[#This Row],[Apyvarta]]-Table2[[#This Row],[DU sąnaudos]]-Table2[[#This Row],[Pelnas]])</f>
        <v>0</v>
      </c>
      <c r="V9" s="49">
        <f>IFERROR(Table2[[#This Row],[Ne-atlyginimų sąnaudos]]/U8-1,0)</f>
        <v>0</v>
      </c>
      <c r="W9" s="9">
        <v>-49</v>
      </c>
      <c r="X9" s="6">
        <v>0</v>
      </c>
      <c r="Y9" s="8">
        <f>Table2[[#This Row],[DU sąnaudos]]*0.43</f>
        <v>0</v>
      </c>
      <c r="Z9" s="8">
        <f>Table2[[#This Row],[Apyvarta]]-Table2[[#This Row],[Ne-atlyginimų sąnaudos]]+Table2[[#This Row],[Fiks ir pelno mokestis]]</f>
        <v>9992</v>
      </c>
    </row>
    <row r="10" spans="1:26" hidden="1" x14ac:dyDescent="0.2">
      <c r="A10" s="5" t="s">
        <v>1722</v>
      </c>
      <c r="B10" s="5" t="s">
        <v>1723</v>
      </c>
      <c r="C10" s="5">
        <v>2021</v>
      </c>
      <c r="D10" s="5" t="s">
        <v>1721</v>
      </c>
      <c r="E10" s="5" t="s">
        <v>1721</v>
      </c>
      <c r="F10" s="5" t="s">
        <v>1721</v>
      </c>
      <c r="G10" s="5" t="s">
        <v>1721</v>
      </c>
      <c r="H10" s="5" t="s">
        <v>1721</v>
      </c>
      <c r="I10" s="5" t="s">
        <v>1721</v>
      </c>
      <c r="J10" s="5" t="s">
        <v>1721</v>
      </c>
      <c r="K10" s="5" t="s">
        <v>193</v>
      </c>
      <c r="L10" s="5" t="s">
        <v>1721</v>
      </c>
      <c r="M10" s="9">
        <v>1</v>
      </c>
      <c r="N10" s="6">
        <f>IFERROR(Table2[[#This Row],[Darbuotojų skaičius]]/M9-1,0)</f>
        <v>0</v>
      </c>
      <c r="O10" s="9">
        <v>0</v>
      </c>
      <c r="P10" s="6">
        <v>0</v>
      </c>
      <c r="Q10" s="9">
        <f>Table2[[#This Row],[Atlyginimo vidurkis]]*Table2[[#This Row],[Darbuotojų skaičius]]*12</f>
        <v>0</v>
      </c>
      <c r="R10" s="49">
        <f>IFERROR(Table2[[#This Row],[DU sąnaudos]]/Q9-1,0)</f>
        <v>0</v>
      </c>
      <c r="S10" s="9">
        <v>30202</v>
      </c>
      <c r="T10" s="6">
        <f>'Įmonės-analizei'!$S60/S9-1</f>
        <v>6.7955364291433149</v>
      </c>
      <c r="U10" s="9">
        <f>IF(Table2[[#This Row],[DU sąnaudos]]=0,0,Table2[[#This Row],[Apyvarta]]-Table2[[#This Row],[DU sąnaudos]]-Table2[[#This Row],[Pelnas]])</f>
        <v>0</v>
      </c>
      <c r="V10" s="49">
        <f>IFERROR(Table2[[#This Row],[Ne-atlyginimų sąnaudos]]/U9-1,0)</f>
        <v>0</v>
      </c>
      <c r="W10" s="9">
        <v>457</v>
      </c>
      <c r="X10" s="6">
        <v>0</v>
      </c>
      <c r="Y10" s="8">
        <f>Table2[[#This Row],[DU sąnaudos]]*0.43</f>
        <v>0</v>
      </c>
      <c r="Z10" s="8">
        <f>Table2[[#This Row],[Apyvarta]]-Table2[[#This Row],[Ne-atlyginimų sąnaudos]]+Table2[[#This Row],[Fiks ir pelno mokestis]]</f>
        <v>30202</v>
      </c>
    </row>
    <row r="11" spans="1:26" hidden="1" x14ac:dyDescent="0.2">
      <c r="A11" s="5" t="s">
        <v>1722</v>
      </c>
      <c r="B11" s="5" t="s">
        <v>1723</v>
      </c>
      <c r="C11" s="5">
        <v>2022</v>
      </c>
      <c r="D11" s="5" t="s">
        <v>1721</v>
      </c>
      <c r="E11" s="5" t="s">
        <v>1721</v>
      </c>
      <c r="F11" s="5" t="s">
        <v>1721</v>
      </c>
      <c r="G11" s="5" t="s">
        <v>1721</v>
      </c>
      <c r="H11" s="5" t="s">
        <v>1721</v>
      </c>
      <c r="I11" s="5" t="s">
        <v>1721</v>
      </c>
      <c r="J11" s="5" t="s">
        <v>1721</v>
      </c>
      <c r="K11" s="5" t="s">
        <v>193</v>
      </c>
      <c r="L11" s="5" t="s">
        <v>1721</v>
      </c>
      <c r="M11" s="9">
        <v>1</v>
      </c>
      <c r="N11" s="6">
        <f>IFERROR(Table2[[#This Row],[Darbuotojų skaičius]]/M10-1,0)</f>
        <v>0</v>
      </c>
      <c r="O11" s="9">
        <v>0</v>
      </c>
      <c r="P11" s="6">
        <v>0</v>
      </c>
      <c r="Q11" s="9">
        <f>Table2[[#This Row],[Atlyginimo vidurkis]]*Table2[[#This Row],[Darbuotojų skaičius]]*12</f>
        <v>0</v>
      </c>
      <c r="R11" s="49">
        <f>IFERROR(Table2[[#This Row],[DU sąnaudos]]/Q10-1,0)</f>
        <v>0</v>
      </c>
      <c r="S11" s="9">
        <v>30352</v>
      </c>
      <c r="T11" s="6">
        <f>'Įmonės-analizei'!$S61/S10-1</f>
        <v>1.8721938944440764</v>
      </c>
      <c r="U11" s="9">
        <f>IF(Table2[[#This Row],[DU sąnaudos]]=0,0,Table2[[#This Row],[Apyvarta]]-Table2[[#This Row],[DU sąnaudos]]-Table2[[#This Row],[Pelnas]])</f>
        <v>0</v>
      </c>
      <c r="V11" s="49">
        <f>IFERROR(Table2[[#This Row],[Ne-atlyginimų sąnaudos]]/U10-1,0)</f>
        <v>0</v>
      </c>
      <c r="W11" s="9">
        <v>1051</v>
      </c>
      <c r="X11" s="6">
        <v>0</v>
      </c>
      <c r="Y11" s="8">
        <f>Table2[[#This Row],[DU sąnaudos]]*0.43</f>
        <v>0</v>
      </c>
      <c r="Z11" s="8">
        <f>Table2[[#This Row],[Apyvarta]]-Table2[[#This Row],[Ne-atlyginimų sąnaudos]]+Table2[[#This Row],[Fiks ir pelno mokestis]]</f>
        <v>30352</v>
      </c>
    </row>
    <row r="12" spans="1:26" hidden="1" x14ac:dyDescent="0.2">
      <c r="A12" s="5" t="s">
        <v>1722</v>
      </c>
      <c r="B12" s="5" t="s">
        <v>1723</v>
      </c>
      <c r="C12" s="5">
        <v>2023</v>
      </c>
      <c r="D12" s="5" t="s">
        <v>1721</v>
      </c>
      <c r="E12" s="5" t="s">
        <v>1721</v>
      </c>
      <c r="F12" s="5" t="s">
        <v>1721</v>
      </c>
      <c r="G12" s="5" t="s">
        <v>1721</v>
      </c>
      <c r="H12" s="5" t="s">
        <v>1721</v>
      </c>
      <c r="I12" s="5" t="s">
        <v>1721</v>
      </c>
      <c r="J12" s="5" t="s">
        <v>1721</v>
      </c>
      <c r="K12" s="5" t="s">
        <v>193</v>
      </c>
      <c r="L12" s="5" t="s">
        <v>1721</v>
      </c>
      <c r="M12" s="9">
        <v>1</v>
      </c>
      <c r="N12" s="6">
        <f>IFERROR(Table2[[#This Row],[Darbuotojų skaičius]]/M11-1,0)</f>
        <v>0</v>
      </c>
      <c r="O12" s="9">
        <v>0</v>
      </c>
      <c r="P12" s="6">
        <v>0</v>
      </c>
      <c r="Q12" s="9">
        <f>Table2[[#This Row],[Atlyginimo vidurkis]]*Table2[[#This Row],[Darbuotojų skaičius]]*12</f>
        <v>0</v>
      </c>
      <c r="R12" s="49">
        <f>IFERROR(Table2[[#This Row],[DU sąnaudos]]/Q11-1,0)</f>
        <v>0</v>
      </c>
      <c r="S12" s="9">
        <v>29009</v>
      </c>
      <c r="T12" s="6">
        <f>'Įmonės-analizei'!$S62/S11-1</f>
        <v>0.71919478123352665</v>
      </c>
      <c r="U12" s="9">
        <f>IF(Table2[[#This Row],[DU sąnaudos]]=0,0,Table2[[#This Row],[Apyvarta]]-Table2[[#This Row],[DU sąnaudos]]-Table2[[#This Row],[Pelnas]])</f>
        <v>0</v>
      </c>
      <c r="V12" s="49">
        <f>IFERROR(Table2[[#This Row],[Ne-atlyginimų sąnaudos]]/U11-1,0)</f>
        <v>0</v>
      </c>
      <c r="W12" s="9">
        <v>179</v>
      </c>
      <c r="X12" s="6">
        <v>0</v>
      </c>
      <c r="Y12" s="8">
        <f>Table2[[#This Row],[DU sąnaudos]]*0.43</f>
        <v>0</v>
      </c>
      <c r="Z12" s="8">
        <f>Table2[[#This Row],[Apyvarta]]-Table2[[#This Row],[Ne-atlyginimų sąnaudos]]+Table2[[#This Row],[Fiks ir pelno mokestis]]</f>
        <v>29009</v>
      </c>
    </row>
    <row r="13" spans="1:26" hidden="1" x14ac:dyDescent="0.2">
      <c r="A13" s="5" t="s">
        <v>1722</v>
      </c>
      <c r="B13" s="5" t="s">
        <v>1723</v>
      </c>
      <c r="C13" s="5">
        <v>2024</v>
      </c>
      <c r="D13" s="5" t="s">
        <v>1721</v>
      </c>
      <c r="E13" s="5" t="s">
        <v>1721</v>
      </c>
      <c r="F13" s="5" t="s">
        <v>1721</v>
      </c>
      <c r="G13" s="5" t="s">
        <v>1721</v>
      </c>
      <c r="H13" s="5" t="s">
        <v>1721</v>
      </c>
      <c r="I13" s="5" t="s">
        <v>1721</v>
      </c>
      <c r="J13" s="5" t="s">
        <v>1721</v>
      </c>
      <c r="K13" s="5" t="s">
        <v>193</v>
      </c>
      <c r="L13" s="5" t="s">
        <v>1721</v>
      </c>
      <c r="M13" s="9">
        <v>0</v>
      </c>
      <c r="N13" s="6">
        <f>IFERROR(Table2[[#This Row],[Darbuotojų skaičius]]/M12-1,0)</f>
        <v>-1</v>
      </c>
      <c r="O13" s="9">
        <v>0</v>
      </c>
      <c r="P13" s="6">
        <v>0</v>
      </c>
      <c r="Q13" s="9">
        <f>Table2[[#This Row],[Atlyginimo vidurkis]]*Table2[[#This Row],[Darbuotojų skaičius]]*12</f>
        <v>0</v>
      </c>
      <c r="R13" s="49">
        <f>IFERROR(Table2[[#This Row],[DU sąnaudos]]/Q12-1,0)</f>
        <v>0</v>
      </c>
      <c r="S13" s="9">
        <v>0</v>
      </c>
      <c r="T13" s="6">
        <v>0</v>
      </c>
      <c r="U13" s="9">
        <f>IF(Table2[[#This Row],[DU sąnaudos]]=0,0,Table2[[#This Row],[Apyvarta]]-Table2[[#This Row],[DU sąnaudos]]-Table2[[#This Row],[Pelnas]])</f>
        <v>0</v>
      </c>
      <c r="V13" s="49">
        <f>IFERROR(Table2[[#This Row],[Ne-atlyginimų sąnaudos]]/U12-1,0)</f>
        <v>0</v>
      </c>
      <c r="W13" s="9">
        <v>0</v>
      </c>
      <c r="X13" s="6">
        <v>0</v>
      </c>
      <c r="Y13" s="8">
        <f>Table2[[#This Row],[DU sąnaudos]]*0.43</f>
        <v>0</v>
      </c>
      <c r="Z13" s="8">
        <f>Table2[[#This Row],[Apyvarta]]-Table2[[#This Row],[Ne-atlyginimų sąnaudos]]+Table2[[#This Row],[Fiks ir pelno mokestis]]</f>
        <v>0</v>
      </c>
    </row>
    <row r="14" spans="1:26" hidden="1" x14ac:dyDescent="0.2">
      <c r="A14" s="5" t="s">
        <v>279</v>
      </c>
      <c r="B14" s="5" t="s">
        <v>1404</v>
      </c>
      <c r="C14" s="5">
        <v>2019</v>
      </c>
      <c r="D14" s="5" t="s">
        <v>1721</v>
      </c>
      <c r="E14" s="5" t="s">
        <v>1721</v>
      </c>
      <c r="F14" s="5" t="s">
        <v>1721</v>
      </c>
      <c r="G14" s="5" t="s">
        <v>1721</v>
      </c>
      <c r="H14" s="5" t="s">
        <v>1721</v>
      </c>
      <c r="I14" s="5" t="s">
        <v>280</v>
      </c>
      <c r="J14" s="5" t="s">
        <v>1721</v>
      </c>
      <c r="K14" s="5" t="s">
        <v>1721</v>
      </c>
      <c r="L14" s="5" t="s">
        <v>1721</v>
      </c>
      <c r="M14" s="9">
        <v>45</v>
      </c>
      <c r="N14" s="6">
        <v>0</v>
      </c>
      <c r="O14" s="9">
        <v>2709</v>
      </c>
      <c r="P14" s="6">
        <v>0</v>
      </c>
      <c r="Q14" s="9">
        <f>Table2[[#This Row],[Atlyginimo vidurkis]]*Table2[[#This Row],[Darbuotojų skaičius]]*12</f>
        <v>1462860</v>
      </c>
      <c r="R14" s="49">
        <v>0</v>
      </c>
      <c r="S14" s="9">
        <v>7290500</v>
      </c>
      <c r="T14" s="6">
        <v>0</v>
      </c>
      <c r="U14" s="9">
        <f>IF(Table2[[#This Row],[DU sąnaudos]]=0,0,Table2[[#This Row],[Apyvarta]]-Table2[[#This Row],[DU sąnaudos]]-Table2[[#This Row],[Pelnas]])</f>
        <v>5189171</v>
      </c>
      <c r="V14" s="49">
        <v>0</v>
      </c>
      <c r="W14" s="9">
        <v>638469</v>
      </c>
      <c r="X14" s="6">
        <v>0</v>
      </c>
      <c r="Y14" s="8">
        <f>Table2[[#This Row],[DU sąnaudos]]*0.43</f>
        <v>629029.80000000005</v>
      </c>
      <c r="Z14" s="8">
        <f>Table2[[#This Row],[Apyvarta]]-Table2[[#This Row],[Ne-atlyginimų sąnaudos]]+Table2[[#This Row],[Fiks ir pelno mokestis]]</f>
        <v>2730358.8</v>
      </c>
    </row>
    <row r="15" spans="1:26" hidden="1" x14ac:dyDescent="0.2">
      <c r="A15" s="5" t="s">
        <v>279</v>
      </c>
      <c r="B15" s="5" t="s">
        <v>1404</v>
      </c>
      <c r="C15" s="5">
        <v>2020</v>
      </c>
      <c r="D15" s="5" t="s">
        <v>1721</v>
      </c>
      <c r="E15" s="5" t="s">
        <v>1721</v>
      </c>
      <c r="F15" s="5" t="s">
        <v>1721</v>
      </c>
      <c r="G15" s="5" t="s">
        <v>1721</v>
      </c>
      <c r="H15" s="5" t="s">
        <v>1721</v>
      </c>
      <c r="I15" s="5" t="s">
        <v>280</v>
      </c>
      <c r="J15" s="5" t="s">
        <v>1721</v>
      </c>
      <c r="K15" s="5" t="s">
        <v>1721</v>
      </c>
      <c r="L15" s="5" t="s">
        <v>1721</v>
      </c>
      <c r="M15" s="9">
        <v>46</v>
      </c>
      <c r="N15" s="6">
        <f>IFERROR(Table2[[#This Row],[Darbuotojų skaičius]]/M14-1,0)</f>
        <v>2.2222222222222143E-2</v>
      </c>
      <c r="O15" s="9">
        <v>2940</v>
      </c>
      <c r="P15" s="6">
        <v>8.5271317829457294E-2</v>
      </c>
      <c r="Q15" s="9">
        <f>Table2[[#This Row],[Atlyginimo vidurkis]]*Table2[[#This Row],[Darbuotojų skaičius]]*12</f>
        <v>1622880</v>
      </c>
      <c r="R15" s="49">
        <f>IFERROR(Table2[[#This Row],[DU sąnaudos]]/Q14-1,0)</f>
        <v>0.10938845822566745</v>
      </c>
      <c r="S15" s="9">
        <v>6554110</v>
      </c>
      <c r="T15" s="6">
        <v>-0.10100678965777379</v>
      </c>
      <c r="U15" s="9">
        <f>IF(Table2[[#This Row],[DU sąnaudos]]=0,0,Table2[[#This Row],[Apyvarta]]-Table2[[#This Row],[DU sąnaudos]]-Table2[[#This Row],[Pelnas]])</f>
        <v>4294186</v>
      </c>
      <c r="V15" s="49">
        <f>IFERROR(Table2[[#This Row],[Ne-atlyginimų sąnaudos]]/U14-1,0)</f>
        <v>-0.17247167225747617</v>
      </c>
      <c r="W15" s="9">
        <v>637044</v>
      </c>
      <c r="X15" s="6">
        <v>-2.231901627173793E-3</v>
      </c>
      <c r="Y15" s="8">
        <f>Table2[[#This Row],[DU sąnaudos]]*0.43</f>
        <v>697838.4</v>
      </c>
      <c r="Z15" s="8">
        <f>Table2[[#This Row],[Apyvarta]]-Table2[[#This Row],[Ne-atlyginimų sąnaudos]]+Table2[[#This Row],[Fiks ir pelno mokestis]]</f>
        <v>2957762.4</v>
      </c>
    </row>
    <row r="16" spans="1:26" hidden="1" x14ac:dyDescent="0.2">
      <c r="A16" s="5" t="s">
        <v>279</v>
      </c>
      <c r="B16" s="5" t="s">
        <v>1404</v>
      </c>
      <c r="C16" s="5">
        <v>2021</v>
      </c>
      <c r="D16" s="5" t="s">
        <v>1721</v>
      </c>
      <c r="E16" s="5" t="s">
        <v>1721</v>
      </c>
      <c r="F16" s="5" t="s">
        <v>1721</v>
      </c>
      <c r="G16" s="5" t="s">
        <v>1721</v>
      </c>
      <c r="H16" s="5" t="s">
        <v>1721</v>
      </c>
      <c r="I16" s="5" t="s">
        <v>280</v>
      </c>
      <c r="J16" s="5" t="s">
        <v>1721</v>
      </c>
      <c r="K16" s="5" t="s">
        <v>1721</v>
      </c>
      <c r="L16" s="5" t="s">
        <v>1721</v>
      </c>
      <c r="M16" s="9">
        <v>50</v>
      </c>
      <c r="N16" s="6">
        <f>IFERROR(Table2[[#This Row],[Darbuotojų skaičius]]/M15-1,0)</f>
        <v>8.6956521739130377E-2</v>
      </c>
      <c r="O16" s="9">
        <v>3106</v>
      </c>
      <c r="P16" s="6">
        <v>5.646258503401369E-2</v>
      </c>
      <c r="Q16" s="9">
        <f>Table2[[#This Row],[Atlyginimo vidurkis]]*Table2[[#This Row],[Darbuotojų skaičius]]*12</f>
        <v>1863600</v>
      </c>
      <c r="R16" s="49">
        <f>IFERROR(Table2[[#This Row],[DU sąnaudos]]/Q15-1,0)</f>
        <v>0.14832889677610184</v>
      </c>
      <c r="S16" s="9">
        <v>7010847</v>
      </c>
      <c r="T16" s="6">
        <v>6.9687112361556336E-2</v>
      </c>
      <c r="U16" s="9">
        <f>IF(Table2[[#This Row],[DU sąnaudos]]=0,0,Table2[[#This Row],[Apyvarta]]-Table2[[#This Row],[DU sąnaudos]]-Table2[[#This Row],[Pelnas]])</f>
        <v>4457547</v>
      </c>
      <c r="V16" s="49">
        <f>IFERROR(Table2[[#This Row],[Ne-atlyginimų sąnaudos]]/U15-1,0)</f>
        <v>3.8042367051636772E-2</v>
      </c>
      <c r="W16" s="9">
        <v>689700</v>
      </c>
      <c r="X16" s="6">
        <v>8.2656770960875647E-2</v>
      </c>
      <c r="Y16" s="8">
        <f>Table2[[#This Row],[DU sąnaudos]]*0.43</f>
        <v>801348</v>
      </c>
      <c r="Z16" s="8">
        <f>Table2[[#This Row],[Apyvarta]]-Table2[[#This Row],[Ne-atlyginimų sąnaudos]]+Table2[[#This Row],[Fiks ir pelno mokestis]]</f>
        <v>3354648</v>
      </c>
    </row>
    <row r="17" spans="1:26" hidden="1" x14ac:dyDescent="0.2">
      <c r="A17" s="5" t="s">
        <v>279</v>
      </c>
      <c r="B17" s="5" t="s">
        <v>1404</v>
      </c>
      <c r="C17" s="5">
        <v>2022</v>
      </c>
      <c r="D17" s="5" t="s">
        <v>1721</v>
      </c>
      <c r="E17" s="5" t="s">
        <v>1721</v>
      </c>
      <c r="F17" s="5" t="s">
        <v>1721</v>
      </c>
      <c r="G17" s="5" t="s">
        <v>1721</v>
      </c>
      <c r="H17" s="5" t="s">
        <v>1721</v>
      </c>
      <c r="I17" s="5" t="s">
        <v>280</v>
      </c>
      <c r="J17" s="5" t="s">
        <v>1721</v>
      </c>
      <c r="K17" s="5" t="s">
        <v>1721</v>
      </c>
      <c r="L17" s="5" t="s">
        <v>1721</v>
      </c>
      <c r="M17" s="9">
        <v>49</v>
      </c>
      <c r="N17" s="6">
        <f>IFERROR(Table2[[#This Row],[Darbuotojų skaičius]]/M16-1,0)</f>
        <v>-2.0000000000000018E-2</v>
      </c>
      <c r="O17" s="9">
        <v>3263</v>
      </c>
      <c r="P17" s="6">
        <v>5.0547327752736633E-2</v>
      </c>
      <c r="Q17" s="9">
        <f>Table2[[#This Row],[Atlyginimo vidurkis]]*Table2[[#This Row],[Darbuotojų skaičius]]*12</f>
        <v>1918644</v>
      </c>
      <c r="R17" s="49">
        <f>IFERROR(Table2[[#This Row],[DU sąnaudos]]/Q16-1,0)</f>
        <v>2.9536381197681871E-2</v>
      </c>
      <c r="S17" s="9">
        <v>8435901</v>
      </c>
      <c r="T17" s="6">
        <v>0.20326417050607451</v>
      </c>
      <c r="U17" s="9">
        <f>IF(Table2[[#This Row],[DU sąnaudos]]=0,0,Table2[[#This Row],[Apyvarta]]-Table2[[#This Row],[DU sąnaudos]]-Table2[[#This Row],[Pelnas]])</f>
        <v>5368386</v>
      </c>
      <c r="V17" s="49">
        <v>0</v>
      </c>
      <c r="W17" s="9">
        <v>1148871</v>
      </c>
      <c r="X17" s="6">
        <v>0.66575467594606352</v>
      </c>
      <c r="Y17" s="8">
        <f>Table2[[#This Row],[DU sąnaudos]]*0.43</f>
        <v>825016.92</v>
      </c>
      <c r="Z17" s="8">
        <f>Table2[[#This Row],[Apyvarta]]-Table2[[#This Row],[Ne-atlyginimų sąnaudos]]+Table2[[#This Row],[Fiks ir pelno mokestis]]</f>
        <v>3892531.92</v>
      </c>
    </row>
    <row r="18" spans="1:26" hidden="1" x14ac:dyDescent="0.2">
      <c r="A18" s="5" t="s">
        <v>279</v>
      </c>
      <c r="B18" s="5" t="s">
        <v>1404</v>
      </c>
      <c r="C18" s="5">
        <v>2023</v>
      </c>
      <c r="D18" s="5" t="s">
        <v>1721</v>
      </c>
      <c r="E18" s="5" t="s">
        <v>1721</v>
      </c>
      <c r="F18" s="5" t="s">
        <v>1721</v>
      </c>
      <c r="G18" s="5" t="s">
        <v>1721</v>
      </c>
      <c r="H18" s="5" t="s">
        <v>1721</v>
      </c>
      <c r="I18" s="5" t="s">
        <v>280</v>
      </c>
      <c r="J18" s="5" t="s">
        <v>1721</v>
      </c>
      <c r="K18" s="5" t="s">
        <v>1721</v>
      </c>
      <c r="L18" s="5" t="s">
        <v>1721</v>
      </c>
      <c r="M18" s="9">
        <v>49</v>
      </c>
      <c r="N18" s="6">
        <f>IFERROR(Table2[[#This Row],[Darbuotojų skaičius]]/M17-1,0)</f>
        <v>0</v>
      </c>
      <c r="O18" s="9">
        <v>4041</v>
      </c>
      <c r="P18" s="6">
        <v>0.23843089181734589</v>
      </c>
      <c r="Q18" s="9">
        <f>Table2[[#This Row],[Atlyginimo vidurkis]]*Table2[[#This Row],[Darbuotojų skaičius]]*12</f>
        <v>2376108</v>
      </c>
      <c r="R18" s="49">
        <f>IFERROR(Table2[[#This Row],[DU sąnaudos]]/Q17-1,0)</f>
        <v>0.23843089181734589</v>
      </c>
      <c r="S18" s="9">
        <v>7661419</v>
      </c>
      <c r="T18" s="6">
        <v>-9.1807857868412612E-2</v>
      </c>
      <c r="U18" s="9">
        <f>IF(Table2[[#This Row],[DU sąnaudos]]=0,0,Table2[[#This Row],[Apyvarta]]-Table2[[#This Row],[DU sąnaudos]]-Table2[[#This Row],[Pelnas]])</f>
        <v>4659384</v>
      </c>
      <c r="V18" s="49">
        <f>IFERROR(Table2[[#This Row],[Ne-atlyginimų sąnaudos]]/U17-1,0)</f>
        <v>-0.13206986233851292</v>
      </c>
      <c r="W18" s="9">
        <v>625927</v>
      </c>
      <c r="X18" s="6">
        <v>-0.45518078182842109</v>
      </c>
      <c r="Y18" s="8">
        <f>Table2[[#This Row],[DU sąnaudos]]*0.43</f>
        <v>1021726.44</v>
      </c>
      <c r="Z18" s="8">
        <f>Table2[[#This Row],[Apyvarta]]-Table2[[#This Row],[Ne-atlyginimų sąnaudos]]+Table2[[#This Row],[Fiks ir pelno mokestis]]</f>
        <v>4023761.44</v>
      </c>
    </row>
    <row r="19" spans="1:26" hidden="1" x14ac:dyDescent="0.2">
      <c r="A19" s="5" t="s">
        <v>279</v>
      </c>
      <c r="B19" s="5" t="s">
        <v>1404</v>
      </c>
      <c r="C19" s="5">
        <v>2024</v>
      </c>
      <c r="D19" s="5" t="s">
        <v>1721</v>
      </c>
      <c r="E19" s="5" t="s">
        <v>1721</v>
      </c>
      <c r="F19" s="5" t="s">
        <v>1721</v>
      </c>
      <c r="G19" s="5" t="s">
        <v>1721</v>
      </c>
      <c r="H19" s="5" t="s">
        <v>1721</v>
      </c>
      <c r="I19" s="5" t="s">
        <v>280</v>
      </c>
      <c r="J19" s="5" t="s">
        <v>1721</v>
      </c>
      <c r="K19" s="5" t="s">
        <v>1721</v>
      </c>
      <c r="L19" s="5" t="s">
        <v>1721</v>
      </c>
      <c r="M19" s="9">
        <v>45</v>
      </c>
      <c r="N19" s="6">
        <f>IFERROR(Table2[[#This Row],[Darbuotojų skaičius]]/M18-1,0)</f>
        <v>-8.1632653061224469E-2</v>
      </c>
      <c r="O19" s="9">
        <v>3618</v>
      </c>
      <c r="P19" s="6">
        <v>-0.1046770601336303</v>
      </c>
      <c r="Q19" s="9">
        <f>Table2[[#This Row],[Atlyginimo vidurkis]]*Table2[[#This Row],[Darbuotojų skaičius]]*12</f>
        <v>1953720</v>
      </c>
      <c r="R19" s="49">
        <f>IFERROR(Table2[[#This Row],[DU sąnaudos]]/Q18-1,0)</f>
        <v>-0.17776464706149719</v>
      </c>
      <c r="S19" s="9">
        <v>7456879</v>
      </c>
      <c r="T19" s="6">
        <v>-2.6697404227598032E-2</v>
      </c>
      <c r="U19" s="9">
        <f>IF(Table2[[#This Row],[DU sąnaudos]]=0,0,Table2[[#This Row],[Apyvarta]]-Table2[[#This Row],[DU sąnaudos]]-Table2[[#This Row],[Pelnas]])</f>
        <v>5009770</v>
      </c>
      <c r="V19" s="49">
        <f>IFERROR(Table2[[#This Row],[Ne-atlyginimų sąnaudos]]/U18-1,0)</f>
        <v>7.5200069365392475E-2</v>
      </c>
      <c r="W19" s="9">
        <v>493389</v>
      </c>
      <c r="X19" s="6">
        <v>-0.2117467372393266</v>
      </c>
      <c r="Y19" s="8">
        <f>Table2[[#This Row],[DU sąnaudos]]*0.43</f>
        <v>840099.6</v>
      </c>
      <c r="Z19" s="8">
        <f>Table2[[#This Row],[Apyvarta]]-Table2[[#This Row],[Ne-atlyginimų sąnaudos]]+Table2[[#This Row],[Fiks ir pelno mokestis]]</f>
        <v>3287208.6</v>
      </c>
    </row>
    <row r="20" spans="1:26" hidden="1" x14ac:dyDescent="0.2">
      <c r="A20" s="5" t="s">
        <v>795</v>
      </c>
      <c r="B20" s="5" t="s">
        <v>1410</v>
      </c>
      <c r="C20" s="5">
        <v>2019</v>
      </c>
      <c r="D20" s="5" t="s">
        <v>1721</v>
      </c>
      <c r="E20" s="5" t="s">
        <v>1721</v>
      </c>
      <c r="F20" s="5" t="s">
        <v>1721</v>
      </c>
      <c r="G20" s="5" t="s">
        <v>1721</v>
      </c>
      <c r="H20" s="5" t="s">
        <v>1721</v>
      </c>
      <c r="I20" s="5" t="s">
        <v>280</v>
      </c>
      <c r="J20" s="5" t="s">
        <v>1721</v>
      </c>
      <c r="K20" s="5" t="s">
        <v>1721</v>
      </c>
      <c r="L20" s="5" t="s">
        <v>1721</v>
      </c>
      <c r="M20" s="9">
        <v>4</v>
      </c>
      <c r="N20" s="6">
        <v>0</v>
      </c>
      <c r="O20" s="9">
        <v>1065</v>
      </c>
      <c r="P20" s="6">
        <v>0</v>
      </c>
      <c r="Q20" s="9">
        <f>Table2[[#This Row],[Atlyginimo vidurkis]]*Table2[[#This Row],[Darbuotojų skaičius]]*12</f>
        <v>51120</v>
      </c>
      <c r="R20" s="49">
        <v>0</v>
      </c>
      <c r="S20" s="9">
        <v>103616</v>
      </c>
      <c r="T20" s="6">
        <v>0</v>
      </c>
      <c r="U20" s="9">
        <f>IF(Table2[[#This Row],[DU sąnaudos]]=0,0,Table2[[#This Row],[Apyvarta]]-Table2[[#This Row],[DU sąnaudos]]-Table2[[#This Row],[Pelnas]])</f>
        <v>51357</v>
      </c>
      <c r="V20" s="49">
        <v>0</v>
      </c>
      <c r="W20" s="9">
        <v>1139</v>
      </c>
      <c r="X20" s="6">
        <v>0</v>
      </c>
      <c r="Y20" s="8">
        <f>Table2[[#This Row],[DU sąnaudos]]*0.43</f>
        <v>21981.599999999999</v>
      </c>
      <c r="Z20" s="8">
        <f>Table2[[#This Row],[Apyvarta]]-Table2[[#This Row],[Ne-atlyginimų sąnaudos]]+Table2[[#This Row],[Fiks ir pelno mokestis]]</f>
        <v>74240.600000000006</v>
      </c>
    </row>
    <row r="21" spans="1:26" hidden="1" x14ac:dyDescent="0.2">
      <c r="A21" s="5" t="s">
        <v>795</v>
      </c>
      <c r="B21" s="5" t="s">
        <v>1410</v>
      </c>
      <c r="C21" s="5">
        <v>2020</v>
      </c>
      <c r="D21" s="5" t="s">
        <v>1721</v>
      </c>
      <c r="E21" s="5" t="s">
        <v>1721</v>
      </c>
      <c r="F21" s="5" t="s">
        <v>1721</v>
      </c>
      <c r="G21" s="5" t="s">
        <v>1721</v>
      </c>
      <c r="H21" s="5" t="s">
        <v>1721</v>
      </c>
      <c r="I21" s="5" t="s">
        <v>280</v>
      </c>
      <c r="J21" s="5" t="s">
        <v>1721</v>
      </c>
      <c r="K21" s="5" t="s">
        <v>1721</v>
      </c>
      <c r="L21" s="5" t="s">
        <v>1721</v>
      </c>
      <c r="M21" s="9">
        <v>4</v>
      </c>
      <c r="N21" s="6">
        <f>IFERROR(Table2[[#This Row],[Darbuotojų skaičius]]/M20-1,0)</f>
        <v>0</v>
      </c>
      <c r="O21" s="9">
        <v>1170</v>
      </c>
      <c r="P21" s="6">
        <v>9.8591549295774739E-2</v>
      </c>
      <c r="Q21" s="9">
        <f>Table2[[#This Row],[Atlyginimo vidurkis]]*Table2[[#This Row],[Darbuotojų skaičius]]*12</f>
        <v>56160</v>
      </c>
      <c r="R21" s="49">
        <f>IFERROR(Table2[[#This Row],[DU sąnaudos]]/Q20-1,0)</f>
        <v>9.8591549295774739E-2</v>
      </c>
      <c r="S21" s="9">
        <v>110839</v>
      </c>
      <c r="T21" s="6">
        <v>6.9709311303273624E-2</v>
      </c>
      <c r="U21" s="9">
        <f>IF(Table2[[#This Row],[DU sąnaudos]]=0,0,Table2[[#This Row],[Apyvarta]]-Table2[[#This Row],[DU sąnaudos]]-Table2[[#This Row],[Pelnas]])</f>
        <v>45761</v>
      </c>
      <c r="V21" s="49">
        <f>IFERROR(Table2[[#This Row],[Ne-atlyginimų sąnaudos]]/U20-1,0)</f>
        <v>-0.10896275093950192</v>
      </c>
      <c r="W21" s="9">
        <v>8918</v>
      </c>
      <c r="X21" s="6">
        <v>6.8296751536435467</v>
      </c>
      <c r="Y21" s="8">
        <f>Table2[[#This Row],[DU sąnaudos]]*0.43</f>
        <v>24148.799999999999</v>
      </c>
      <c r="Z21" s="8">
        <f>Table2[[#This Row],[Apyvarta]]-Table2[[#This Row],[Ne-atlyginimų sąnaudos]]+Table2[[#This Row],[Fiks ir pelno mokestis]]</f>
        <v>89226.8</v>
      </c>
    </row>
    <row r="22" spans="1:26" hidden="1" x14ac:dyDescent="0.2">
      <c r="A22" s="5" t="s">
        <v>795</v>
      </c>
      <c r="B22" s="5" t="s">
        <v>1410</v>
      </c>
      <c r="C22" s="5">
        <v>2021</v>
      </c>
      <c r="D22" s="5" t="s">
        <v>1721</v>
      </c>
      <c r="E22" s="5" t="s">
        <v>1721</v>
      </c>
      <c r="F22" s="5" t="s">
        <v>1721</v>
      </c>
      <c r="G22" s="5" t="s">
        <v>1721</v>
      </c>
      <c r="H22" s="5" t="s">
        <v>1721</v>
      </c>
      <c r="I22" s="5" t="s">
        <v>280</v>
      </c>
      <c r="J22" s="5" t="s">
        <v>1721</v>
      </c>
      <c r="K22" s="5" t="s">
        <v>1721</v>
      </c>
      <c r="L22" s="5" t="s">
        <v>1721</v>
      </c>
      <c r="M22" s="9">
        <v>5</v>
      </c>
      <c r="N22" s="6">
        <f>IFERROR(Table2[[#This Row],[Darbuotojų skaičius]]/M21-1,0)</f>
        <v>0.25</v>
      </c>
      <c r="O22" s="9">
        <v>1308</v>
      </c>
      <c r="P22" s="6">
        <v>0.117948717948718</v>
      </c>
      <c r="Q22" s="9">
        <f>Table2[[#This Row],[Atlyginimo vidurkis]]*Table2[[#This Row],[Darbuotojų skaičius]]*12</f>
        <v>78480</v>
      </c>
      <c r="R22" s="49">
        <f>IFERROR(Table2[[#This Row],[DU sąnaudos]]/Q21-1,0)</f>
        <v>0.39743589743589736</v>
      </c>
      <c r="S22" s="9">
        <v>162654</v>
      </c>
      <c r="T22" s="6">
        <v>0.46747985817266491</v>
      </c>
      <c r="U22" s="9">
        <f>IF(Table2[[#This Row],[DU sąnaudos]]=0,0,Table2[[#This Row],[Apyvarta]]-Table2[[#This Row],[DU sąnaudos]]-Table2[[#This Row],[Pelnas]])</f>
        <v>46204</v>
      </c>
      <c r="V22" s="49">
        <f>IFERROR(Table2[[#This Row],[Ne-atlyginimų sąnaudos]]/U21-1,0)</f>
        <v>9.6807325014751644E-3</v>
      </c>
      <c r="W22" s="9">
        <v>37970</v>
      </c>
      <c r="X22" s="6">
        <v>3.2576810944157879</v>
      </c>
      <c r="Y22" s="8">
        <f>Table2[[#This Row],[DU sąnaudos]]*0.43</f>
        <v>33746.400000000001</v>
      </c>
      <c r="Z22" s="8">
        <f>Table2[[#This Row],[Apyvarta]]-Table2[[#This Row],[Ne-atlyginimų sąnaudos]]+Table2[[#This Row],[Fiks ir pelno mokestis]]</f>
        <v>150196.4</v>
      </c>
    </row>
    <row r="23" spans="1:26" hidden="1" x14ac:dyDescent="0.2">
      <c r="A23" s="5" t="s">
        <v>795</v>
      </c>
      <c r="B23" s="5" t="s">
        <v>1410</v>
      </c>
      <c r="C23" s="5">
        <v>2022</v>
      </c>
      <c r="D23" s="5" t="s">
        <v>1721</v>
      </c>
      <c r="E23" s="5" t="s">
        <v>1721</v>
      </c>
      <c r="F23" s="5" t="s">
        <v>1721</v>
      </c>
      <c r="G23" s="5" t="s">
        <v>1721</v>
      </c>
      <c r="H23" s="5" t="s">
        <v>1721</v>
      </c>
      <c r="I23" s="5" t="s">
        <v>280</v>
      </c>
      <c r="J23" s="5" t="s">
        <v>1721</v>
      </c>
      <c r="K23" s="5" t="s">
        <v>1721</v>
      </c>
      <c r="L23" s="5" t="s">
        <v>1721</v>
      </c>
      <c r="M23" s="9">
        <v>6</v>
      </c>
      <c r="N23" s="6">
        <f>IFERROR(Table2[[#This Row],[Darbuotojų skaičius]]/M22-1,0)</f>
        <v>0.19999999999999996</v>
      </c>
      <c r="O23" s="9">
        <v>1500</v>
      </c>
      <c r="P23" s="6">
        <v>0.14678899082568811</v>
      </c>
      <c r="Q23" s="9">
        <f>Table2[[#This Row],[Atlyginimo vidurkis]]*Table2[[#This Row],[Darbuotojų skaičius]]*12</f>
        <v>108000</v>
      </c>
      <c r="R23" s="49">
        <f>IFERROR(Table2[[#This Row],[DU sąnaudos]]/Q22-1,0)</f>
        <v>0.37614678899082565</v>
      </c>
      <c r="S23" s="9">
        <v>175245</v>
      </c>
      <c r="T23" s="6">
        <v>7.7409716330369971E-2</v>
      </c>
      <c r="U23" s="9">
        <f>IF(Table2[[#This Row],[DU sąnaudos]]=0,0,Table2[[#This Row],[Apyvarta]]-Table2[[#This Row],[DU sąnaudos]]-Table2[[#This Row],[Pelnas]])</f>
        <v>32462</v>
      </c>
      <c r="V23" s="49">
        <f>IFERROR(Table2[[#This Row],[Ne-atlyginimų sąnaudos]]/U22-1,0)</f>
        <v>-0.29742013678469392</v>
      </c>
      <c r="W23" s="9">
        <v>34783</v>
      </c>
      <c r="X23" s="6">
        <v>-8.3934685277850973E-2</v>
      </c>
      <c r="Y23" s="8">
        <f>Table2[[#This Row],[DU sąnaudos]]*0.43</f>
        <v>46440</v>
      </c>
      <c r="Z23" s="8">
        <f>Table2[[#This Row],[Apyvarta]]-Table2[[#This Row],[Ne-atlyginimų sąnaudos]]+Table2[[#This Row],[Fiks ir pelno mokestis]]</f>
        <v>189223</v>
      </c>
    </row>
    <row r="24" spans="1:26" hidden="1" x14ac:dyDescent="0.2">
      <c r="A24" s="5" t="s">
        <v>795</v>
      </c>
      <c r="B24" s="5" t="s">
        <v>1410</v>
      </c>
      <c r="C24" s="5">
        <v>2023</v>
      </c>
      <c r="D24" s="5" t="s">
        <v>1721</v>
      </c>
      <c r="E24" s="5" t="s">
        <v>1721</v>
      </c>
      <c r="F24" s="5" t="s">
        <v>1721</v>
      </c>
      <c r="G24" s="5" t="s">
        <v>1721</v>
      </c>
      <c r="H24" s="5" t="s">
        <v>1721</v>
      </c>
      <c r="I24" s="5" t="s">
        <v>280</v>
      </c>
      <c r="J24" s="5" t="s">
        <v>1721</v>
      </c>
      <c r="K24" s="5" t="s">
        <v>1721</v>
      </c>
      <c r="L24" s="5" t="s">
        <v>1721</v>
      </c>
      <c r="M24" s="9">
        <v>9</v>
      </c>
      <c r="N24" s="6">
        <f>IFERROR(Table2[[#This Row],[Darbuotojų skaičius]]/M23-1,0)</f>
        <v>0.5</v>
      </c>
      <c r="O24" s="9">
        <v>1529</v>
      </c>
      <c r="P24" s="6">
        <v>1.9333333333333421E-2</v>
      </c>
      <c r="Q24" s="9">
        <f>Table2[[#This Row],[Atlyginimo vidurkis]]*Table2[[#This Row],[Darbuotojų skaičius]]*12</f>
        <v>165132</v>
      </c>
      <c r="R24" s="49">
        <f>IFERROR(Table2[[#This Row],[DU sąnaudos]]/Q23-1,0)</f>
        <v>0.52899999999999991</v>
      </c>
      <c r="S24" s="9">
        <v>233594</v>
      </c>
      <c r="T24" s="6">
        <v>0.33295671773802388</v>
      </c>
      <c r="U24" s="9">
        <f>IF(Table2[[#This Row],[DU sąnaudos]]=0,0,Table2[[#This Row],[Apyvarta]]-Table2[[#This Row],[DU sąnaudos]]-Table2[[#This Row],[Pelnas]])</f>
        <v>48592</v>
      </c>
      <c r="V24" s="49">
        <v>0</v>
      </c>
      <c r="W24" s="9">
        <v>19870</v>
      </c>
      <c r="X24" s="6">
        <v>-0.42874392663082539</v>
      </c>
      <c r="Y24" s="8">
        <f>Table2[[#This Row],[DU sąnaudos]]*0.43</f>
        <v>71006.759999999995</v>
      </c>
      <c r="Z24" s="8">
        <f>Table2[[#This Row],[Apyvarta]]-Table2[[#This Row],[Ne-atlyginimų sąnaudos]]+Table2[[#This Row],[Fiks ir pelno mokestis]]</f>
        <v>256008.76</v>
      </c>
    </row>
    <row r="25" spans="1:26" hidden="1" x14ac:dyDescent="0.2">
      <c r="A25" s="5" t="s">
        <v>795</v>
      </c>
      <c r="B25" s="5" t="s">
        <v>1410</v>
      </c>
      <c r="C25" s="5">
        <v>2024</v>
      </c>
      <c r="D25" s="5" t="s">
        <v>1721</v>
      </c>
      <c r="E25" s="5" t="s">
        <v>1721</v>
      </c>
      <c r="F25" s="5" t="s">
        <v>1721</v>
      </c>
      <c r="G25" s="5" t="s">
        <v>1721</v>
      </c>
      <c r="H25" s="5" t="s">
        <v>1721</v>
      </c>
      <c r="I25" s="5" t="s">
        <v>280</v>
      </c>
      <c r="J25" s="5" t="s">
        <v>1721</v>
      </c>
      <c r="K25" s="5" t="s">
        <v>1721</v>
      </c>
      <c r="L25" s="5" t="s">
        <v>1721</v>
      </c>
      <c r="M25" s="9">
        <v>9</v>
      </c>
      <c r="N25" s="6">
        <f>IFERROR(Table2[[#This Row],[Darbuotojų skaičius]]/M24-1,0)</f>
        <v>0</v>
      </c>
      <c r="O25" s="9">
        <v>1848</v>
      </c>
      <c r="P25" s="6">
        <v>0.20863309352517989</v>
      </c>
      <c r="Q25" s="9">
        <f>Table2[[#This Row],[Atlyginimo vidurkis]]*Table2[[#This Row],[Darbuotojų skaičius]]*12</f>
        <v>199584</v>
      </c>
      <c r="R25" s="49">
        <f>IFERROR(Table2[[#This Row],[DU sąnaudos]]/Q24-1,0)</f>
        <v>0.20863309352517989</v>
      </c>
      <c r="S25" s="9">
        <v>212639</v>
      </c>
      <c r="T25" s="6">
        <v>-8.9706927403957248E-2</v>
      </c>
      <c r="U25" s="9">
        <f>IF(Table2[[#This Row],[DU sąnaudos]]=0,0,Table2[[#This Row],[Apyvarta]]-Table2[[#This Row],[DU sąnaudos]]-Table2[[#This Row],[Pelnas]])</f>
        <v>8368</v>
      </c>
      <c r="V25" s="49">
        <f>IFERROR(Table2[[#This Row],[Ne-atlyginimų sąnaudos]]/U24-1,0)</f>
        <v>-0.82779058281198548</v>
      </c>
      <c r="W25" s="9">
        <v>4687</v>
      </c>
      <c r="X25" s="6">
        <v>-0.76411675893306485</v>
      </c>
      <c r="Y25" s="8">
        <f>Table2[[#This Row],[DU sąnaudos]]*0.43</f>
        <v>85821.119999999995</v>
      </c>
      <c r="Z25" s="8">
        <f>Table2[[#This Row],[Apyvarta]]-Table2[[#This Row],[Ne-atlyginimų sąnaudos]]+Table2[[#This Row],[Fiks ir pelno mokestis]]</f>
        <v>290092.12</v>
      </c>
    </row>
    <row r="26" spans="1:26" x14ac:dyDescent="0.2">
      <c r="A26" s="5" t="s">
        <v>1025</v>
      </c>
      <c r="B26" s="5" t="s">
        <v>1411</v>
      </c>
      <c r="C26" s="5">
        <v>2019</v>
      </c>
      <c r="D26" s="5" t="s">
        <v>1721</v>
      </c>
      <c r="E26" s="5" t="s">
        <v>1721</v>
      </c>
      <c r="F26" s="5" t="s">
        <v>1721</v>
      </c>
      <c r="G26" s="5" t="s">
        <v>1721</v>
      </c>
      <c r="H26" s="5" t="s">
        <v>1721</v>
      </c>
      <c r="I26" s="5" t="s">
        <v>1721</v>
      </c>
      <c r="J26" s="5" t="s">
        <v>300</v>
      </c>
      <c r="K26" s="5" t="s">
        <v>1721</v>
      </c>
      <c r="L26" s="5" t="s">
        <v>1721</v>
      </c>
      <c r="M26" s="9">
        <v>11</v>
      </c>
      <c r="N26" s="6">
        <v>0</v>
      </c>
      <c r="O26" s="9">
        <v>1861</v>
      </c>
      <c r="P26" s="6">
        <v>0</v>
      </c>
      <c r="Q26" s="9">
        <f>Table2[[#This Row],[Atlyginimo vidurkis]]*Table2[[#This Row],[Darbuotojų skaičius]]*12</f>
        <v>245652</v>
      </c>
      <c r="R26" s="49">
        <v>0</v>
      </c>
      <c r="S26" s="9">
        <v>667536</v>
      </c>
      <c r="T26" s="6">
        <v>0</v>
      </c>
      <c r="U26" s="9">
        <f>IF(Table2[[#This Row],[DU sąnaudos]]=0,0,Table2[[#This Row],[Apyvarta]]-Table2[[#This Row],[DU sąnaudos]]-Table2[[#This Row],[Pelnas]])</f>
        <v>359287</v>
      </c>
      <c r="V26" s="49">
        <v>0</v>
      </c>
      <c r="W26" s="9">
        <v>62597</v>
      </c>
      <c r="X26" s="6">
        <v>0</v>
      </c>
      <c r="Y26" s="8">
        <f>Table2[[#This Row],[DU sąnaudos]]*0.43</f>
        <v>105630.36</v>
      </c>
      <c r="Z26" s="8">
        <f>Table2[[#This Row],[Apyvarta]]-Table2[[#This Row],[Ne-atlyginimų sąnaudos]]+Table2[[#This Row],[Fiks ir pelno mokestis]]</f>
        <v>413879.36</v>
      </c>
    </row>
    <row r="27" spans="1:26" x14ac:dyDescent="0.2">
      <c r="A27" s="5" t="s">
        <v>1025</v>
      </c>
      <c r="B27" s="5" t="s">
        <v>1411</v>
      </c>
      <c r="C27" s="5">
        <v>2020</v>
      </c>
      <c r="D27" s="5" t="s">
        <v>1721</v>
      </c>
      <c r="E27" s="5" t="s">
        <v>1721</v>
      </c>
      <c r="F27" s="5" t="s">
        <v>1721</v>
      </c>
      <c r="G27" s="5" t="s">
        <v>1721</v>
      </c>
      <c r="H27" s="5" t="s">
        <v>1721</v>
      </c>
      <c r="I27" s="5" t="s">
        <v>1721</v>
      </c>
      <c r="J27" s="5" t="s">
        <v>300</v>
      </c>
      <c r="K27" s="5" t="s">
        <v>1721</v>
      </c>
      <c r="L27" s="5" t="s">
        <v>1721</v>
      </c>
      <c r="M27" s="9">
        <v>12</v>
      </c>
      <c r="N27" s="6">
        <f>IFERROR(Table2[[#This Row],[Darbuotojų skaičius]]/M26-1,0)</f>
        <v>9.0909090909090828E-2</v>
      </c>
      <c r="O27" s="9">
        <v>2035</v>
      </c>
      <c r="P27" s="6">
        <v>9.3498119290703841E-2</v>
      </c>
      <c r="Q27" s="9">
        <f>Table2[[#This Row],[Atlyginimo vidurkis]]*Table2[[#This Row],[Darbuotojų skaičius]]*12</f>
        <v>293040</v>
      </c>
      <c r="R27" s="49">
        <f>IFERROR(Table2[[#This Row],[DU sąnaudos]]/Q26-1,0)</f>
        <v>0.19290703922622243</v>
      </c>
      <c r="S27" s="9">
        <v>744583</v>
      </c>
      <c r="T27" s="6">
        <v>0.11541999233000171</v>
      </c>
      <c r="U27" s="9">
        <f>IF(Table2[[#This Row],[DU sąnaudos]]=0,0,Table2[[#This Row],[Apyvarta]]-Table2[[#This Row],[DU sąnaudos]]-Table2[[#This Row],[Pelnas]])</f>
        <v>404854</v>
      </c>
      <c r="V27" s="49">
        <f>IFERROR(Table2[[#This Row],[Ne-atlyginimų sąnaudos]]/U26-1,0)</f>
        <v>0.12682618630788189</v>
      </c>
      <c r="W27" s="9">
        <v>46689</v>
      </c>
      <c r="X27" s="6">
        <v>-0.25413358467658198</v>
      </c>
      <c r="Y27" s="8">
        <f>Table2[[#This Row],[DU sąnaudos]]*0.43</f>
        <v>126007.2</v>
      </c>
      <c r="Z27" s="8">
        <f>Table2[[#This Row],[Apyvarta]]-Table2[[#This Row],[Ne-atlyginimų sąnaudos]]+Table2[[#This Row],[Fiks ir pelno mokestis]]</f>
        <v>465736.2</v>
      </c>
    </row>
    <row r="28" spans="1:26" x14ac:dyDescent="0.2">
      <c r="A28" s="5" t="s">
        <v>1025</v>
      </c>
      <c r="B28" s="5" t="s">
        <v>1411</v>
      </c>
      <c r="C28" s="5">
        <v>2021</v>
      </c>
      <c r="D28" s="5" t="s">
        <v>1721</v>
      </c>
      <c r="E28" s="5" t="s">
        <v>1721</v>
      </c>
      <c r="F28" s="5" t="s">
        <v>1721</v>
      </c>
      <c r="G28" s="5" t="s">
        <v>1721</v>
      </c>
      <c r="H28" s="5" t="s">
        <v>1721</v>
      </c>
      <c r="I28" s="5" t="s">
        <v>1721</v>
      </c>
      <c r="J28" s="5" t="s">
        <v>300</v>
      </c>
      <c r="K28" s="5" t="s">
        <v>1721</v>
      </c>
      <c r="L28" s="5" t="s">
        <v>1721</v>
      </c>
      <c r="M28" s="9">
        <v>13</v>
      </c>
      <c r="N28" s="6">
        <f>IFERROR(Table2[[#This Row],[Darbuotojų skaičius]]/M27-1,0)</f>
        <v>8.3333333333333259E-2</v>
      </c>
      <c r="O28" s="9">
        <v>2318</v>
      </c>
      <c r="P28" s="6">
        <v>0.13906633906633911</v>
      </c>
      <c r="Q28" s="9">
        <f>Table2[[#This Row],[Atlyginimo vidurkis]]*Table2[[#This Row],[Darbuotojų skaičius]]*12</f>
        <v>361608</v>
      </c>
      <c r="R28" s="49">
        <f>IFERROR(Table2[[#This Row],[DU sąnaudos]]/Q27-1,0)</f>
        <v>0.23398853398853392</v>
      </c>
      <c r="S28" s="9">
        <v>1468239</v>
      </c>
      <c r="T28" s="6">
        <v>0.97189433548711168</v>
      </c>
      <c r="U28" s="9">
        <f>IF(Table2[[#This Row],[DU sąnaudos]]=0,0,Table2[[#This Row],[Apyvarta]]-Table2[[#This Row],[DU sąnaudos]]-Table2[[#This Row],[Pelnas]])</f>
        <v>847404</v>
      </c>
      <c r="V28" s="49">
        <f>IFERROR(Table2[[#This Row],[Ne-atlyginimų sąnaudos]]/U27-1,0)</f>
        <v>1.0931101088293556</v>
      </c>
      <c r="W28" s="9">
        <v>259227</v>
      </c>
      <c r="X28" s="6">
        <v>4.5522071580029557</v>
      </c>
      <c r="Y28" s="8">
        <f>Table2[[#This Row],[DU sąnaudos]]*0.43</f>
        <v>155491.44</v>
      </c>
      <c r="Z28" s="8">
        <f>Table2[[#This Row],[Apyvarta]]-Table2[[#This Row],[Ne-atlyginimų sąnaudos]]+Table2[[#This Row],[Fiks ir pelno mokestis]]</f>
        <v>776326.44</v>
      </c>
    </row>
    <row r="29" spans="1:26" x14ac:dyDescent="0.2">
      <c r="A29" s="5" t="s">
        <v>1025</v>
      </c>
      <c r="B29" s="5" t="s">
        <v>1411</v>
      </c>
      <c r="C29" s="5">
        <v>2022</v>
      </c>
      <c r="D29" s="5" t="s">
        <v>1721</v>
      </c>
      <c r="E29" s="5" t="s">
        <v>1721</v>
      </c>
      <c r="F29" s="5" t="s">
        <v>1721</v>
      </c>
      <c r="G29" s="5" t="s">
        <v>1721</v>
      </c>
      <c r="H29" s="5" t="s">
        <v>1721</v>
      </c>
      <c r="I29" s="5" t="s">
        <v>1721</v>
      </c>
      <c r="J29" s="5" t="s">
        <v>300</v>
      </c>
      <c r="K29" s="5" t="s">
        <v>1721</v>
      </c>
      <c r="L29" s="5" t="s">
        <v>1721</v>
      </c>
      <c r="M29" s="9">
        <v>14</v>
      </c>
      <c r="N29" s="6">
        <f>IFERROR(Table2[[#This Row],[Darbuotojų skaičius]]/M28-1,0)</f>
        <v>7.6923076923076872E-2</v>
      </c>
      <c r="O29" s="9">
        <v>2323</v>
      </c>
      <c r="P29" s="6">
        <v>2.1570319240724611E-3</v>
      </c>
      <c r="Q29" s="9">
        <f>Table2[[#This Row],[Atlyginimo vidurkis]]*Table2[[#This Row],[Darbuotojų skaičius]]*12</f>
        <v>390264</v>
      </c>
      <c r="R29" s="49">
        <f>IFERROR(Table2[[#This Row],[DU sąnaudos]]/Q28-1,0)</f>
        <v>7.9246034379770292E-2</v>
      </c>
      <c r="S29" s="9">
        <v>1251440</v>
      </c>
      <c r="T29" s="6">
        <v>-0.14765920262300619</v>
      </c>
      <c r="U29" s="9">
        <f>IF(Table2[[#This Row],[DU sąnaudos]]=0,0,Table2[[#This Row],[Apyvarta]]-Table2[[#This Row],[DU sąnaudos]]-Table2[[#This Row],[Pelnas]])</f>
        <v>660153</v>
      </c>
      <c r="V29" s="49">
        <f>IFERROR(Table2[[#This Row],[Ne-atlyginimų sąnaudos]]/U28-1,0)</f>
        <v>-0.22097016299191408</v>
      </c>
      <c r="W29" s="9">
        <v>201023</v>
      </c>
      <c r="X29" s="6">
        <v>-0.2245290806898973</v>
      </c>
      <c r="Y29" s="8">
        <f>Table2[[#This Row],[DU sąnaudos]]*0.43</f>
        <v>167813.52</v>
      </c>
      <c r="Z29" s="8">
        <f>Table2[[#This Row],[Apyvarta]]-Table2[[#This Row],[Ne-atlyginimų sąnaudos]]+Table2[[#This Row],[Fiks ir pelno mokestis]]</f>
        <v>759100.52</v>
      </c>
    </row>
    <row r="30" spans="1:26" x14ac:dyDescent="0.2">
      <c r="A30" s="5" t="s">
        <v>1025</v>
      </c>
      <c r="B30" s="5" t="s">
        <v>1411</v>
      </c>
      <c r="C30" s="5">
        <v>2023</v>
      </c>
      <c r="D30" s="5" t="s">
        <v>1721</v>
      </c>
      <c r="E30" s="5" t="s">
        <v>1721</v>
      </c>
      <c r="F30" s="5" t="s">
        <v>1721</v>
      </c>
      <c r="G30" s="5" t="s">
        <v>1721</v>
      </c>
      <c r="H30" s="5" t="s">
        <v>1721</v>
      </c>
      <c r="I30" s="5" t="s">
        <v>1721</v>
      </c>
      <c r="J30" s="5" t="s">
        <v>300</v>
      </c>
      <c r="K30" s="5" t="s">
        <v>1721</v>
      </c>
      <c r="L30" s="5" t="s">
        <v>1721</v>
      </c>
      <c r="M30" s="9">
        <v>13</v>
      </c>
      <c r="N30" s="6">
        <f>IFERROR(Table2[[#This Row],[Darbuotojų skaičius]]/M29-1,0)</f>
        <v>-7.1428571428571397E-2</v>
      </c>
      <c r="O30" s="9">
        <v>2442</v>
      </c>
      <c r="P30" s="6">
        <v>5.1226861816616509E-2</v>
      </c>
      <c r="Q30" s="9">
        <f>Table2[[#This Row],[Atlyginimo vidurkis]]*Table2[[#This Row],[Darbuotojų skaičius]]*12</f>
        <v>380952</v>
      </c>
      <c r="R30" s="49">
        <f>IFERROR(Table2[[#This Row],[DU sąnaudos]]/Q29-1,0)</f>
        <v>-2.3860771170284734E-2</v>
      </c>
      <c r="S30" s="9">
        <v>1505000</v>
      </c>
      <c r="T30" s="6">
        <v>0.2026145879946302</v>
      </c>
      <c r="U30" s="9">
        <f>IF(Table2[[#This Row],[DU sąnaudos]]=0,0,Table2[[#This Row],[Apyvarta]]-Table2[[#This Row],[DU sąnaudos]]-Table2[[#This Row],[Pelnas]])</f>
        <v>805537</v>
      </c>
      <c r="V30" s="49">
        <v>0</v>
      </c>
      <c r="W30" s="9">
        <v>318511</v>
      </c>
      <c r="X30" s="6">
        <v>0.58445053551086201</v>
      </c>
      <c r="Y30" s="8">
        <f>Table2[[#This Row],[DU sąnaudos]]*0.43</f>
        <v>163809.35999999999</v>
      </c>
      <c r="Z30" s="8">
        <f>Table2[[#This Row],[Apyvarta]]-Table2[[#This Row],[Ne-atlyginimų sąnaudos]]+Table2[[#This Row],[Fiks ir pelno mokestis]]</f>
        <v>863272.36</v>
      </c>
    </row>
    <row r="31" spans="1:26" x14ac:dyDescent="0.2">
      <c r="A31" s="5" t="s">
        <v>1025</v>
      </c>
      <c r="B31" s="5" t="s">
        <v>1411</v>
      </c>
      <c r="C31" s="5">
        <v>2024</v>
      </c>
      <c r="D31" s="5" t="s">
        <v>1721</v>
      </c>
      <c r="E31" s="5" t="s">
        <v>1721</v>
      </c>
      <c r="F31" s="5" t="s">
        <v>1721</v>
      </c>
      <c r="G31" s="5" t="s">
        <v>1721</v>
      </c>
      <c r="H31" s="5" t="s">
        <v>1721</v>
      </c>
      <c r="I31" s="5" t="s">
        <v>1721</v>
      </c>
      <c r="J31" s="5" t="s">
        <v>300</v>
      </c>
      <c r="K31" s="5" t="s">
        <v>1721</v>
      </c>
      <c r="L31" s="5" t="s">
        <v>1721</v>
      </c>
      <c r="M31" s="9">
        <v>12</v>
      </c>
      <c r="N31" s="6">
        <f>IFERROR(Table2[[#This Row],[Darbuotojų skaičius]]/M30-1,0)</f>
        <v>-7.6923076923076872E-2</v>
      </c>
      <c r="O31" s="9">
        <v>2597</v>
      </c>
      <c r="P31" s="6">
        <v>6.347256347256347E-2</v>
      </c>
      <c r="Q31" s="9">
        <f>Table2[[#This Row],[Atlyginimo vidurkis]]*Table2[[#This Row],[Darbuotojų skaičius]]*12</f>
        <v>373968</v>
      </c>
      <c r="R31" s="49">
        <f>IFERROR(Table2[[#This Row],[DU sąnaudos]]/Q30-1,0)</f>
        <v>-1.8333018333018369E-2</v>
      </c>
      <c r="S31" s="20">
        <v>1193265</v>
      </c>
      <c r="T31" s="6">
        <v>-0.20713289036544846</v>
      </c>
      <c r="U31" s="9">
        <f>IF(Table2[[#This Row],[DU sąnaudos]]=0,0,Table2[[#This Row],[Apyvarta]]-Table2[[#This Row],[DU sąnaudos]]-Table2[[#This Row],[Pelnas]])</f>
        <v>699309</v>
      </c>
      <c r="V31" s="49">
        <f>IFERROR(Table2[[#This Row],[Ne-atlyginimų sąnaudos]]/U30-1,0)</f>
        <v>-0.13187227898904708</v>
      </c>
      <c r="W31" s="9">
        <v>119988</v>
      </c>
      <c r="X31" s="6">
        <v>-0.6232845961363972</v>
      </c>
      <c r="Y31" s="8">
        <f>Table2[[#This Row],[DU sąnaudos]]*0.43</f>
        <v>160806.24</v>
      </c>
      <c r="Z31" s="8">
        <f>Table2[[#This Row],[Apyvarta]]-Table2[[#This Row],[Ne-atlyginimų sąnaudos]]+Table2[[#This Row],[Fiks ir pelno mokestis]]</f>
        <v>654762.23999999999</v>
      </c>
    </row>
    <row r="32" spans="1:26" hidden="1" x14ac:dyDescent="0.2">
      <c r="A32" s="5" t="s">
        <v>982</v>
      </c>
      <c r="B32" s="5" t="s">
        <v>1413</v>
      </c>
      <c r="C32" s="5">
        <v>2019</v>
      </c>
      <c r="D32" s="5" t="s">
        <v>1721</v>
      </c>
      <c r="E32" s="5" t="s">
        <v>1721</v>
      </c>
      <c r="F32" s="5" t="s">
        <v>1721</v>
      </c>
      <c r="G32" s="5" t="s">
        <v>1721</v>
      </c>
      <c r="H32" s="5" t="s">
        <v>1721</v>
      </c>
      <c r="I32" s="5" t="s">
        <v>280</v>
      </c>
      <c r="J32" s="5" t="s">
        <v>1721</v>
      </c>
      <c r="K32" s="5" t="s">
        <v>193</v>
      </c>
      <c r="L32" s="5" t="s">
        <v>1721</v>
      </c>
      <c r="M32" s="9">
        <v>33</v>
      </c>
      <c r="N32" s="6">
        <v>0</v>
      </c>
      <c r="O32" s="9">
        <v>1521</v>
      </c>
      <c r="P32" s="6">
        <v>0</v>
      </c>
      <c r="Q32" s="9">
        <f>Table2[[#This Row],[Atlyginimo vidurkis]]*Table2[[#This Row],[Darbuotojų skaičius]]*12</f>
        <v>602316</v>
      </c>
      <c r="R32" s="49">
        <v>0</v>
      </c>
      <c r="S32" s="9">
        <v>1402789</v>
      </c>
      <c r="T32" s="6">
        <v>0</v>
      </c>
      <c r="U32" s="9">
        <f>IF(Table2[[#This Row],[DU sąnaudos]]=0,0,Table2[[#This Row],[Apyvarta]]-Table2[[#This Row],[DU sąnaudos]]-Table2[[#This Row],[Pelnas]])</f>
        <v>626603</v>
      </c>
      <c r="V32" s="49">
        <v>0</v>
      </c>
      <c r="W32" s="9">
        <v>173870</v>
      </c>
      <c r="X32" s="6">
        <v>0</v>
      </c>
      <c r="Y32" s="8">
        <f>Table2[[#This Row],[DU sąnaudos]]*0.43</f>
        <v>258995.88</v>
      </c>
      <c r="Z32" s="8">
        <f>Table2[[#This Row],[Apyvarta]]-Table2[[#This Row],[Ne-atlyginimų sąnaudos]]+Table2[[#This Row],[Fiks ir pelno mokestis]]</f>
        <v>1035181.88</v>
      </c>
    </row>
    <row r="33" spans="1:26" hidden="1" x14ac:dyDescent="0.2">
      <c r="A33" s="5" t="s">
        <v>982</v>
      </c>
      <c r="B33" s="5" t="s">
        <v>1413</v>
      </c>
      <c r="C33" s="5">
        <v>2020</v>
      </c>
      <c r="D33" s="5" t="s">
        <v>1721</v>
      </c>
      <c r="E33" s="5" t="s">
        <v>1721</v>
      </c>
      <c r="F33" s="5" t="s">
        <v>1721</v>
      </c>
      <c r="G33" s="5" t="s">
        <v>1721</v>
      </c>
      <c r="H33" s="5" t="s">
        <v>1721</v>
      </c>
      <c r="I33" s="5" t="s">
        <v>280</v>
      </c>
      <c r="J33" s="5" t="s">
        <v>1721</v>
      </c>
      <c r="K33" s="5" t="s">
        <v>193</v>
      </c>
      <c r="L33" s="5" t="s">
        <v>1721</v>
      </c>
      <c r="M33" s="9">
        <v>32</v>
      </c>
      <c r="N33" s="6">
        <f>IFERROR(Table2[[#This Row],[Darbuotojų skaičius]]/M32-1,0)</f>
        <v>-3.0303030303030276E-2</v>
      </c>
      <c r="O33" s="9">
        <v>1588</v>
      </c>
      <c r="P33" s="6">
        <v>4.4049967126890133E-2</v>
      </c>
      <c r="Q33" s="9">
        <f>Table2[[#This Row],[Atlyginimo vidurkis]]*Table2[[#This Row],[Darbuotojų skaičius]]*12</f>
        <v>609792</v>
      </c>
      <c r="R33" s="49">
        <f>IFERROR(Table2[[#This Row],[DU sąnaudos]]/Q32-1,0)</f>
        <v>1.2412089335166243E-2</v>
      </c>
      <c r="S33" s="9">
        <v>1237158</v>
      </c>
      <c r="T33" s="6">
        <v>-0.1180726395772992</v>
      </c>
      <c r="U33" s="9">
        <f>IF(Table2[[#This Row],[DU sąnaudos]]=0,0,Table2[[#This Row],[Apyvarta]]-Table2[[#This Row],[DU sąnaudos]]-Table2[[#This Row],[Pelnas]])</f>
        <v>474989</v>
      </c>
      <c r="V33" s="49">
        <f>IFERROR(Table2[[#This Row],[Ne-atlyginimų sąnaudos]]/U32-1,0)</f>
        <v>-0.24196181633346792</v>
      </c>
      <c r="W33" s="9">
        <v>152377</v>
      </c>
      <c r="X33" s="6">
        <v>-0.1236153447978374</v>
      </c>
      <c r="Y33" s="8">
        <f>Table2[[#This Row],[DU sąnaudos]]*0.43</f>
        <v>262210.56</v>
      </c>
      <c r="Z33" s="8">
        <f>Table2[[#This Row],[Apyvarta]]-Table2[[#This Row],[Ne-atlyginimų sąnaudos]]+Table2[[#This Row],[Fiks ir pelno mokestis]]</f>
        <v>1024379.56</v>
      </c>
    </row>
    <row r="34" spans="1:26" hidden="1" x14ac:dyDescent="0.2">
      <c r="A34" s="5" t="s">
        <v>982</v>
      </c>
      <c r="B34" s="5" t="s">
        <v>1413</v>
      </c>
      <c r="C34" s="5">
        <v>2021</v>
      </c>
      <c r="D34" s="5" t="s">
        <v>1721</v>
      </c>
      <c r="E34" s="5" t="s">
        <v>1721</v>
      </c>
      <c r="F34" s="5" t="s">
        <v>1721</v>
      </c>
      <c r="G34" s="5" t="s">
        <v>1721</v>
      </c>
      <c r="H34" s="5" t="s">
        <v>1721</v>
      </c>
      <c r="I34" s="5" t="s">
        <v>280</v>
      </c>
      <c r="J34" s="5" t="s">
        <v>1721</v>
      </c>
      <c r="K34" s="5" t="s">
        <v>193</v>
      </c>
      <c r="L34" s="5" t="s">
        <v>1721</v>
      </c>
      <c r="M34" s="9">
        <v>33</v>
      </c>
      <c r="N34" s="6">
        <f>IFERROR(Table2[[#This Row],[Darbuotojų skaičius]]/M33-1,0)</f>
        <v>3.125E-2</v>
      </c>
      <c r="O34" s="9">
        <v>1897</v>
      </c>
      <c r="P34" s="6">
        <v>0.19458438287153659</v>
      </c>
      <c r="Q34" s="9">
        <f>Table2[[#This Row],[Atlyginimo vidurkis]]*Table2[[#This Row],[Darbuotojų skaičius]]*12</f>
        <v>751212</v>
      </c>
      <c r="R34" s="49">
        <f>IFERROR(Table2[[#This Row],[DU sąnaudos]]/Q33-1,0)</f>
        <v>0.23191514483627196</v>
      </c>
      <c r="S34" s="9">
        <v>1603371</v>
      </c>
      <c r="T34" s="6">
        <v>0.29601150378528862</v>
      </c>
      <c r="U34" s="9">
        <f>IF(Table2[[#This Row],[DU sąnaudos]]=0,0,Table2[[#This Row],[Apyvarta]]-Table2[[#This Row],[DU sąnaudos]]-Table2[[#This Row],[Pelnas]])</f>
        <v>848444</v>
      </c>
      <c r="V34" s="49">
        <f>IFERROR(Table2[[#This Row],[Ne-atlyginimų sąnaudos]]/U33-1,0)</f>
        <v>0.78623926027760649</v>
      </c>
      <c r="W34" s="9">
        <v>3715</v>
      </c>
      <c r="X34" s="6">
        <v>-0.97561968013545397</v>
      </c>
      <c r="Y34" s="8">
        <f>Table2[[#This Row],[DU sąnaudos]]*0.43</f>
        <v>323021.15999999997</v>
      </c>
      <c r="Z34" s="8">
        <f>Table2[[#This Row],[Apyvarta]]-Table2[[#This Row],[Ne-atlyginimų sąnaudos]]+Table2[[#This Row],[Fiks ir pelno mokestis]]</f>
        <v>1077948.1599999999</v>
      </c>
    </row>
    <row r="35" spans="1:26" hidden="1" x14ac:dyDescent="0.2">
      <c r="A35" s="5" t="s">
        <v>982</v>
      </c>
      <c r="B35" s="5" t="s">
        <v>1413</v>
      </c>
      <c r="C35" s="5">
        <v>2022</v>
      </c>
      <c r="D35" s="5" t="s">
        <v>1721</v>
      </c>
      <c r="E35" s="5" t="s">
        <v>1721</v>
      </c>
      <c r="F35" s="5" t="s">
        <v>1721</v>
      </c>
      <c r="G35" s="5" t="s">
        <v>1721</v>
      </c>
      <c r="H35" s="5" t="s">
        <v>1721</v>
      </c>
      <c r="I35" s="5" t="s">
        <v>280</v>
      </c>
      <c r="J35" s="5" t="s">
        <v>1721</v>
      </c>
      <c r="K35" s="5" t="s">
        <v>193</v>
      </c>
      <c r="L35" s="5" t="s">
        <v>1721</v>
      </c>
      <c r="M35" s="9">
        <v>35</v>
      </c>
      <c r="N35" s="6">
        <f>IFERROR(Table2[[#This Row],[Darbuotojų skaičius]]/M34-1,0)</f>
        <v>6.0606060606060552E-2</v>
      </c>
      <c r="O35" s="9">
        <v>2185</v>
      </c>
      <c r="P35" s="6">
        <v>0.1518186610437533</v>
      </c>
      <c r="Q35" s="9">
        <f>Table2[[#This Row],[Atlyginimo vidurkis]]*Table2[[#This Row],[Darbuotojų skaičius]]*12</f>
        <v>917700</v>
      </c>
      <c r="R35" s="49">
        <f>IFERROR(Table2[[#This Row],[DU sąnaudos]]/Q34-1,0)</f>
        <v>0.22162585262216261</v>
      </c>
      <c r="S35" s="9">
        <v>1860439</v>
      </c>
      <c r="T35" s="6">
        <v>0.1603297053520365</v>
      </c>
      <c r="U35" s="9">
        <f>IF(Table2[[#This Row],[DU sąnaudos]]=0,0,Table2[[#This Row],[Apyvarta]]-Table2[[#This Row],[DU sąnaudos]]-Table2[[#This Row],[Pelnas]])</f>
        <v>841932</v>
      </c>
      <c r="V35" s="49">
        <f>IFERROR(Table2[[#This Row],[Ne-atlyginimų sąnaudos]]/U34-1,0)</f>
        <v>-7.6752266501972644E-3</v>
      </c>
      <c r="W35" s="9">
        <v>100807</v>
      </c>
      <c r="X35" s="6">
        <v>26.13512786002692</v>
      </c>
      <c r="Y35" s="8">
        <f>Table2[[#This Row],[DU sąnaudos]]*0.43</f>
        <v>394611</v>
      </c>
      <c r="Z35" s="8">
        <f>Table2[[#This Row],[Apyvarta]]-Table2[[#This Row],[Ne-atlyginimų sąnaudos]]+Table2[[#This Row],[Fiks ir pelno mokestis]]</f>
        <v>1413118</v>
      </c>
    </row>
    <row r="36" spans="1:26" hidden="1" x14ac:dyDescent="0.2">
      <c r="A36" s="5" t="s">
        <v>982</v>
      </c>
      <c r="B36" s="5" t="s">
        <v>1413</v>
      </c>
      <c r="C36" s="5">
        <v>2023</v>
      </c>
      <c r="D36" s="5" t="s">
        <v>1721</v>
      </c>
      <c r="E36" s="5" t="s">
        <v>1721</v>
      </c>
      <c r="F36" s="5" t="s">
        <v>1721</v>
      </c>
      <c r="G36" s="5" t="s">
        <v>1721</v>
      </c>
      <c r="H36" s="5" t="s">
        <v>1721</v>
      </c>
      <c r="I36" s="5" t="s">
        <v>280</v>
      </c>
      <c r="J36" s="5" t="s">
        <v>1721</v>
      </c>
      <c r="K36" s="5" t="s">
        <v>193</v>
      </c>
      <c r="L36" s="5" t="s">
        <v>1721</v>
      </c>
      <c r="M36" s="9">
        <v>35</v>
      </c>
      <c r="N36" s="6">
        <f>IFERROR(Table2[[#This Row],[Darbuotojų skaičius]]/M35-1,0)</f>
        <v>0</v>
      </c>
      <c r="O36" s="9">
        <v>2334</v>
      </c>
      <c r="P36" s="6">
        <v>6.8192219679633848E-2</v>
      </c>
      <c r="Q36" s="9">
        <f>Table2[[#This Row],[Atlyginimo vidurkis]]*Table2[[#This Row],[Darbuotojų skaičius]]*12</f>
        <v>980280</v>
      </c>
      <c r="R36" s="49">
        <f>IFERROR(Table2[[#This Row],[DU sąnaudos]]/Q35-1,0)</f>
        <v>6.8192219679633848E-2</v>
      </c>
      <c r="S36" s="9">
        <v>1869162</v>
      </c>
      <c r="T36" s="6">
        <v>4.6886783173218927E-3</v>
      </c>
      <c r="U36" s="9">
        <f>IF(Table2[[#This Row],[DU sąnaudos]]=0,0,Table2[[#This Row],[Apyvarta]]-Table2[[#This Row],[DU sąnaudos]]-Table2[[#This Row],[Pelnas]])</f>
        <v>766009</v>
      </c>
      <c r="V36" s="49">
        <v>0</v>
      </c>
      <c r="W36" s="9">
        <v>122873</v>
      </c>
      <c r="X36" s="6">
        <v>0.21889352921920111</v>
      </c>
      <c r="Y36" s="8">
        <f>Table2[[#This Row],[DU sąnaudos]]*0.43</f>
        <v>421520.39999999997</v>
      </c>
      <c r="Z36" s="8">
        <f>Table2[[#This Row],[Apyvarta]]-Table2[[#This Row],[Ne-atlyginimų sąnaudos]]+Table2[[#This Row],[Fiks ir pelno mokestis]]</f>
        <v>1524673.4</v>
      </c>
    </row>
    <row r="37" spans="1:26" hidden="1" x14ac:dyDescent="0.2">
      <c r="A37" s="5" t="s">
        <v>982</v>
      </c>
      <c r="B37" s="5" t="s">
        <v>1413</v>
      </c>
      <c r="C37" s="5">
        <v>2024</v>
      </c>
      <c r="D37" s="5" t="s">
        <v>1721</v>
      </c>
      <c r="E37" s="5" t="s">
        <v>1721</v>
      </c>
      <c r="F37" s="5" t="s">
        <v>1721</v>
      </c>
      <c r="G37" s="5" t="s">
        <v>1721</v>
      </c>
      <c r="H37" s="5" t="s">
        <v>1721</v>
      </c>
      <c r="I37" s="5" t="s">
        <v>280</v>
      </c>
      <c r="J37" s="5" t="s">
        <v>1721</v>
      </c>
      <c r="K37" s="5" t="s">
        <v>193</v>
      </c>
      <c r="L37" s="5" t="s">
        <v>1721</v>
      </c>
      <c r="M37" s="9">
        <v>34</v>
      </c>
      <c r="N37" s="6">
        <f>IFERROR(Table2[[#This Row],[Darbuotojų skaičius]]/M36-1,0)</f>
        <v>-2.8571428571428581E-2</v>
      </c>
      <c r="O37" s="9">
        <v>2526</v>
      </c>
      <c r="P37" s="6">
        <v>8.2262210796915092E-2</v>
      </c>
      <c r="Q37" s="9">
        <f>Table2[[#This Row],[Atlyginimo vidurkis]]*Table2[[#This Row],[Darbuotojų skaičius]]*12</f>
        <v>1030608</v>
      </c>
      <c r="R37" s="49">
        <f>IFERROR(Table2[[#This Row],[DU sąnaudos]]/Q36-1,0)</f>
        <v>5.1340433345574699E-2</v>
      </c>
      <c r="S37" s="20">
        <v>1908884</v>
      </c>
      <c r="T37" s="6">
        <v>2.125123451043831E-2</v>
      </c>
      <c r="U37" s="9">
        <f>IF(Table2[[#This Row],[DU sąnaudos]]=0,0,Table2[[#This Row],[Apyvarta]]-Table2[[#This Row],[DU sąnaudos]]-Table2[[#This Row],[Pelnas]])</f>
        <v>847272</v>
      </c>
      <c r="V37" s="49">
        <f>IFERROR(Table2[[#This Row],[Ne-atlyginimų sąnaudos]]/U36-1,0)</f>
        <v>0.10608622091907538</v>
      </c>
      <c r="W37" s="9">
        <v>31004</v>
      </c>
      <c r="X37" s="6">
        <v>-0.74767442806800521</v>
      </c>
      <c r="Y37" s="8">
        <f>Table2[[#This Row],[DU sąnaudos]]*0.43</f>
        <v>443161.44</v>
      </c>
      <c r="Z37" s="9">
        <f>Table2[[#This Row],[Apyvarta]]-Table2[[#This Row],[Ne-atlyginimų sąnaudos]]+Table2[[#This Row],[Fiks ir pelno mokestis]]</f>
        <v>1504773.44</v>
      </c>
    </row>
    <row r="38" spans="1:26" hidden="1" x14ac:dyDescent="0.2">
      <c r="A38" s="5" t="s">
        <v>1419</v>
      </c>
      <c r="B38" t="s">
        <v>1420</v>
      </c>
      <c r="C38">
        <v>2019</v>
      </c>
      <c r="D38" s="5" t="s">
        <v>1721</v>
      </c>
      <c r="E38" s="5" t="s">
        <v>1721</v>
      </c>
      <c r="F38" s="5" t="s">
        <v>1721</v>
      </c>
      <c r="G38" s="5" t="s">
        <v>73</v>
      </c>
      <c r="H38" s="5" t="s">
        <v>1721</v>
      </c>
      <c r="I38" s="5" t="s">
        <v>1721</v>
      </c>
      <c r="J38" s="5" t="s">
        <v>1721</v>
      </c>
      <c r="K38" s="5" t="s">
        <v>193</v>
      </c>
      <c r="L38" s="5" t="s">
        <v>1721</v>
      </c>
      <c r="M38" s="9">
        <v>6</v>
      </c>
      <c r="N38" s="6">
        <v>0</v>
      </c>
      <c r="O38" s="9">
        <v>2236</v>
      </c>
      <c r="P38" s="6">
        <v>0</v>
      </c>
      <c r="Q38" s="9">
        <f>Table2[[#This Row],[Atlyginimo vidurkis]]*Table2[[#This Row],[Darbuotojų skaičius]]*12</f>
        <v>160992</v>
      </c>
      <c r="R38" s="49">
        <v>0</v>
      </c>
      <c r="S38" s="9">
        <v>735306</v>
      </c>
      <c r="T38" s="6">
        <v>0</v>
      </c>
      <c r="U38" s="9">
        <f>IF(Table2[[#This Row],[DU sąnaudos]]=0,0,Table2[[#This Row],[Apyvarta]]-Table2[[#This Row],[DU sąnaudos]]-Table2[[#This Row],[Pelnas]])</f>
        <v>563562</v>
      </c>
      <c r="V38" s="49">
        <v>0</v>
      </c>
      <c r="W38" s="9">
        <v>10752</v>
      </c>
      <c r="X38" s="6">
        <v>0</v>
      </c>
      <c r="Y38" s="8">
        <f>Table2[[#This Row],[DU sąnaudos]]*0.43</f>
        <v>69226.559999999998</v>
      </c>
      <c r="Z38" s="20">
        <f>Table2[[#This Row],[Apyvarta]]-Table2[[#This Row],[Ne-atlyginimų sąnaudos]]+Table2[[#This Row],[Fiks ir pelno mokestis]]</f>
        <v>240970.56</v>
      </c>
    </row>
    <row r="39" spans="1:26" hidden="1" x14ac:dyDescent="0.2">
      <c r="A39" s="5" t="s">
        <v>1419</v>
      </c>
      <c r="B39" t="s">
        <v>1420</v>
      </c>
      <c r="C39">
        <v>2020</v>
      </c>
      <c r="D39" s="5" t="s">
        <v>1721</v>
      </c>
      <c r="E39" s="5" t="s">
        <v>1721</v>
      </c>
      <c r="F39" s="5" t="s">
        <v>1721</v>
      </c>
      <c r="G39" s="5" t="s">
        <v>73</v>
      </c>
      <c r="H39" s="5" t="s">
        <v>1721</v>
      </c>
      <c r="I39" s="5" t="s">
        <v>1721</v>
      </c>
      <c r="J39" s="5" t="s">
        <v>1721</v>
      </c>
      <c r="K39" s="5" t="s">
        <v>193</v>
      </c>
      <c r="L39" s="5" t="s">
        <v>1721</v>
      </c>
      <c r="M39" s="9">
        <v>10</v>
      </c>
      <c r="N39" s="6">
        <f>IFERROR(Table2[[#This Row],[Darbuotojų skaičius]]/M38-1,0)</f>
        <v>0.66666666666666674</v>
      </c>
      <c r="O39" s="9">
        <v>2193</v>
      </c>
      <c r="P39" s="6">
        <v>-0.02</v>
      </c>
      <c r="Q39" s="9">
        <f>Table2[[#This Row],[Atlyginimo vidurkis]]*Table2[[#This Row],[Darbuotojų skaičius]]*12</f>
        <v>263160</v>
      </c>
      <c r="R39" s="49">
        <f>IFERROR(Table2[[#This Row],[DU sąnaudos]]/Q38-1,0)</f>
        <v>0.63461538461538458</v>
      </c>
      <c r="S39" s="9">
        <v>1080510</v>
      </c>
      <c r="T39" s="6">
        <v>0.47</v>
      </c>
      <c r="U39" s="9">
        <f>IF(Table2[[#This Row],[DU sąnaudos]]=0,0,Table2[[#This Row],[Apyvarta]]-Table2[[#This Row],[DU sąnaudos]]-Table2[[#This Row],[Pelnas]])</f>
        <v>808156</v>
      </c>
      <c r="V39" s="49">
        <f>IFERROR(Table2[[#This Row],[Ne-atlyginimų sąnaudos]]/U38-1,0)</f>
        <v>0.43401435866861138</v>
      </c>
      <c r="W39" s="9">
        <v>9194</v>
      </c>
      <c r="X39" s="6">
        <v>-0.14000000000000001</v>
      </c>
      <c r="Y39" s="8">
        <f>Table2[[#This Row],[DU sąnaudos]]*0.43</f>
        <v>113158.8</v>
      </c>
      <c r="Z39" s="20">
        <f>Table2[[#This Row],[Apyvarta]]-Table2[[#This Row],[Ne-atlyginimų sąnaudos]]+Table2[[#This Row],[Fiks ir pelno mokestis]]</f>
        <v>385512.8</v>
      </c>
    </row>
    <row r="40" spans="1:26" hidden="1" x14ac:dyDescent="0.2">
      <c r="A40" s="5" t="s">
        <v>1419</v>
      </c>
      <c r="B40" t="s">
        <v>1420</v>
      </c>
      <c r="C40">
        <v>2021</v>
      </c>
      <c r="D40" s="5" t="s">
        <v>1721</v>
      </c>
      <c r="E40" s="5" t="s">
        <v>1721</v>
      </c>
      <c r="F40" s="5" t="s">
        <v>1721</v>
      </c>
      <c r="G40" s="5" t="s">
        <v>73</v>
      </c>
      <c r="H40" s="5" t="s">
        <v>1721</v>
      </c>
      <c r="I40" s="5" t="s">
        <v>1721</v>
      </c>
      <c r="J40" s="5" t="s">
        <v>1721</v>
      </c>
      <c r="K40" s="5" t="s">
        <v>193</v>
      </c>
      <c r="L40" s="5" t="s">
        <v>1721</v>
      </c>
      <c r="M40" s="9">
        <v>16</v>
      </c>
      <c r="N40" s="6">
        <f>IFERROR(Table2[[#This Row],[Darbuotojų skaičius]]/M39-1,0)</f>
        <v>0.60000000000000009</v>
      </c>
      <c r="O40" s="9">
        <v>2601</v>
      </c>
      <c r="P40" s="6">
        <v>0.19</v>
      </c>
      <c r="Q40" s="9">
        <f>Table2[[#This Row],[Atlyginimo vidurkis]]*Table2[[#This Row],[Darbuotojų skaičius]]*12</f>
        <v>499392</v>
      </c>
      <c r="R40" s="49">
        <f>IFERROR(Table2[[#This Row],[DU sąnaudos]]/Q39-1,0)</f>
        <v>0.89767441860465125</v>
      </c>
      <c r="S40" s="9">
        <v>1699462</v>
      </c>
      <c r="T40" s="6">
        <v>0.56999999999999995</v>
      </c>
      <c r="U40" s="9">
        <f>IF(Table2[[#This Row],[DU sąnaudos]]=0,0,Table2[[#This Row],[Apyvarta]]-Table2[[#This Row],[DU sąnaudos]]-Table2[[#This Row],[Pelnas]])</f>
        <v>1170266</v>
      </c>
      <c r="V40" s="49">
        <f>IFERROR(Table2[[#This Row],[Ne-atlyginimų sąnaudos]]/U39-1,0)</f>
        <v>0.44806943213933947</v>
      </c>
      <c r="W40" s="9">
        <v>29804</v>
      </c>
      <c r="X40" s="6">
        <v>2.2400000000000002</v>
      </c>
      <c r="Y40" s="8">
        <f>Table2[[#This Row],[DU sąnaudos]]*0.43</f>
        <v>214738.56</v>
      </c>
      <c r="Z40" s="20">
        <f>Table2[[#This Row],[Apyvarta]]-Table2[[#This Row],[Ne-atlyginimų sąnaudos]]+Table2[[#This Row],[Fiks ir pelno mokestis]]</f>
        <v>743934.56</v>
      </c>
    </row>
    <row r="41" spans="1:26" hidden="1" x14ac:dyDescent="0.2">
      <c r="A41" s="5" t="s">
        <v>1419</v>
      </c>
      <c r="B41" t="s">
        <v>1420</v>
      </c>
      <c r="C41">
        <v>2022</v>
      </c>
      <c r="D41" s="5" t="s">
        <v>1721</v>
      </c>
      <c r="E41" s="5" t="s">
        <v>1721</v>
      </c>
      <c r="F41" s="5" t="s">
        <v>1721</v>
      </c>
      <c r="G41" s="5" t="s">
        <v>73</v>
      </c>
      <c r="H41" s="5" t="s">
        <v>1721</v>
      </c>
      <c r="I41" s="5" t="s">
        <v>1721</v>
      </c>
      <c r="J41" s="5" t="s">
        <v>1721</v>
      </c>
      <c r="K41" s="5" t="s">
        <v>193</v>
      </c>
      <c r="L41" s="5" t="s">
        <v>1721</v>
      </c>
      <c r="M41" s="9">
        <v>17</v>
      </c>
      <c r="N41" s="6">
        <f>IFERROR(Table2[[#This Row],[Darbuotojų skaičius]]/M40-1,0)</f>
        <v>6.25E-2</v>
      </c>
      <c r="O41" s="9">
        <v>2876</v>
      </c>
      <c r="P41" s="6">
        <v>0.11</v>
      </c>
      <c r="Q41" s="9">
        <f>Table2[[#This Row],[Atlyginimo vidurkis]]*Table2[[#This Row],[Darbuotojų skaičius]]*12</f>
        <v>586704</v>
      </c>
      <c r="R41" s="49">
        <f>IFERROR(Table2[[#This Row],[DU sąnaudos]]/Q40-1,0)</f>
        <v>0.17483660130718959</v>
      </c>
      <c r="S41" s="9">
        <v>2036569</v>
      </c>
      <c r="T41" s="6">
        <v>0.2</v>
      </c>
      <c r="U41" s="9">
        <f>IF(Table2[[#This Row],[DU sąnaudos]]=0,0,Table2[[#This Row],[Apyvarta]]-Table2[[#This Row],[DU sąnaudos]]-Table2[[#This Row],[Pelnas]])</f>
        <v>1399574</v>
      </c>
      <c r="V41" s="49">
        <f>IFERROR(Table2[[#This Row],[Ne-atlyginimų sąnaudos]]/U40-1,0)</f>
        <v>0.19594519536583999</v>
      </c>
      <c r="W41" s="9">
        <v>50291</v>
      </c>
      <c r="X41" s="6">
        <v>0.69</v>
      </c>
      <c r="Y41" s="8">
        <f>Table2[[#This Row],[DU sąnaudos]]*0.43</f>
        <v>252282.72</v>
      </c>
      <c r="Z41" s="20">
        <f>Table2[[#This Row],[Apyvarta]]-Table2[[#This Row],[Ne-atlyginimų sąnaudos]]+Table2[[#This Row],[Fiks ir pelno mokestis]]</f>
        <v>889277.72</v>
      </c>
    </row>
    <row r="42" spans="1:26" hidden="1" x14ac:dyDescent="0.2">
      <c r="A42" s="5" t="s">
        <v>1419</v>
      </c>
      <c r="B42" t="s">
        <v>1420</v>
      </c>
      <c r="C42">
        <v>2023</v>
      </c>
      <c r="D42" s="5" t="s">
        <v>1721</v>
      </c>
      <c r="E42" s="5" t="s">
        <v>1721</v>
      </c>
      <c r="F42" s="5" t="s">
        <v>1721</v>
      </c>
      <c r="G42" s="5" t="s">
        <v>73</v>
      </c>
      <c r="H42" s="5" t="s">
        <v>1721</v>
      </c>
      <c r="I42" s="5" t="s">
        <v>1721</v>
      </c>
      <c r="J42" s="5" t="s">
        <v>1721</v>
      </c>
      <c r="K42" s="5" t="s">
        <v>193</v>
      </c>
      <c r="L42" s="5" t="s">
        <v>1721</v>
      </c>
      <c r="M42" s="9">
        <v>15</v>
      </c>
      <c r="N42" s="6">
        <f>IFERROR(Table2[[#This Row],[Darbuotojų skaičius]]/M41-1,0)</f>
        <v>-0.11764705882352944</v>
      </c>
      <c r="O42" s="9">
        <v>3528</v>
      </c>
      <c r="P42" s="6">
        <v>0.23</v>
      </c>
      <c r="Q42" s="9">
        <f>Table2[[#This Row],[Atlyginimo vidurkis]]*Table2[[#This Row],[Darbuotojų skaičius]]*12</f>
        <v>635040</v>
      </c>
      <c r="R42" s="49">
        <f>IFERROR(Table2[[#This Row],[DU sąnaudos]]/Q41-1,0)</f>
        <v>8.2385666366685761E-2</v>
      </c>
      <c r="S42" s="9">
        <v>1760945</v>
      </c>
      <c r="T42" s="6">
        <v>-0.14000000000000001</v>
      </c>
      <c r="U42" s="9">
        <f>IF(Table2[[#This Row],[DU sąnaudos]]=0,0,Table2[[#This Row],[Apyvarta]]-Table2[[#This Row],[DU sąnaudos]]-Table2[[#This Row],[Pelnas]])</f>
        <v>1117490</v>
      </c>
      <c r="V42" s="49">
        <f>IFERROR(Table2[[#This Row],[Ne-atlyginimų sąnaudos]]/U41-1,0)</f>
        <v>-0.20154990018391306</v>
      </c>
      <c r="W42" s="9">
        <v>8415</v>
      </c>
      <c r="X42" s="6">
        <v>-0.83</v>
      </c>
      <c r="Y42" s="8">
        <f>Table2[[#This Row],[DU sąnaudos]]*0.43</f>
        <v>273067.2</v>
      </c>
      <c r="Z42" s="20">
        <f>Table2[[#This Row],[Apyvarta]]-Table2[[#This Row],[Ne-atlyginimų sąnaudos]]+Table2[[#This Row],[Fiks ir pelno mokestis]]</f>
        <v>916522.2</v>
      </c>
    </row>
    <row r="43" spans="1:26" hidden="1" x14ac:dyDescent="0.2">
      <c r="A43" s="5" t="s">
        <v>1419</v>
      </c>
      <c r="B43" t="s">
        <v>1420</v>
      </c>
      <c r="C43">
        <v>2024</v>
      </c>
      <c r="D43" s="5" t="s">
        <v>1721</v>
      </c>
      <c r="E43" s="5" t="s">
        <v>1721</v>
      </c>
      <c r="F43" s="5" t="s">
        <v>1721</v>
      </c>
      <c r="G43" s="5" t="s">
        <v>73</v>
      </c>
      <c r="H43" s="5" t="s">
        <v>1721</v>
      </c>
      <c r="I43" s="5" t="s">
        <v>1721</v>
      </c>
      <c r="J43" s="5" t="s">
        <v>1721</v>
      </c>
      <c r="K43" s="5" t="s">
        <v>193</v>
      </c>
      <c r="L43" s="5" t="s">
        <v>1721</v>
      </c>
      <c r="M43" s="9">
        <v>14</v>
      </c>
      <c r="N43" s="6">
        <f>IFERROR(Table2[[#This Row],[Darbuotojų skaičius]]/M42-1,0)</f>
        <v>-6.6666666666666652E-2</v>
      </c>
      <c r="O43" s="9">
        <v>3152</v>
      </c>
      <c r="P43" s="6">
        <v>-0.11</v>
      </c>
      <c r="Q43" s="9">
        <f>Table2[[#This Row],[Atlyginimo vidurkis]]*Table2[[#This Row],[Darbuotojų skaičius]]*12</f>
        <v>529536</v>
      </c>
      <c r="R43" s="49">
        <f>IFERROR(Table2[[#This Row],[DU sąnaudos]]/Q42-1,0)</f>
        <v>-0.16613756613756614</v>
      </c>
      <c r="S43" s="9">
        <v>1136845</v>
      </c>
      <c r="T43" s="6">
        <v>-0.35</v>
      </c>
      <c r="U43" s="9">
        <f>IF(Table2[[#This Row],[DU sąnaudos]]=0,0,Table2[[#This Row],[Apyvarta]]-Table2[[#This Row],[DU sąnaudos]]-Table2[[#This Row],[Pelnas]])</f>
        <v>515879</v>
      </c>
      <c r="V43" s="49">
        <f>IFERROR(Table2[[#This Row],[Ne-atlyginimų sąnaudos]]/U42-1,0)</f>
        <v>-0.53835917994791904</v>
      </c>
      <c r="W43" s="9">
        <v>91430</v>
      </c>
      <c r="X43" s="6">
        <v>9.8699999999999992</v>
      </c>
      <c r="Y43" s="8">
        <f>Table2[[#This Row],[DU sąnaudos]]*0.43</f>
        <v>227700.48000000001</v>
      </c>
      <c r="Z43" s="8">
        <f>Table2[[#This Row],[Apyvarta]]-Table2[[#This Row],[Ne-atlyginimų sąnaudos]]+Table2[[#This Row],[Fiks ir pelno mokestis]]</f>
        <v>848666.48</v>
      </c>
    </row>
    <row r="44" spans="1:26" hidden="1" x14ac:dyDescent="0.2">
      <c r="A44" s="5" t="s">
        <v>212</v>
      </c>
      <c r="B44" s="5" t="s">
        <v>1421</v>
      </c>
      <c r="C44" s="5">
        <v>2019</v>
      </c>
      <c r="D44" s="5" t="s">
        <v>1721</v>
      </c>
      <c r="E44" s="5" t="s">
        <v>1721</v>
      </c>
      <c r="F44" s="5" t="s">
        <v>1721</v>
      </c>
      <c r="G44" s="5" t="s">
        <v>73</v>
      </c>
      <c r="H44" s="5" t="s">
        <v>1721</v>
      </c>
      <c r="I44" s="5" t="s">
        <v>1721</v>
      </c>
      <c r="J44" s="5" t="s">
        <v>1721</v>
      </c>
      <c r="K44" s="5" t="s">
        <v>1721</v>
      </c>
      <c r="L44" s="5" t="s">
        <v>1721</v>
      </c>
      <c r="M44" s="9">
        <v>16</v>
      </c>
      <c r="N44" s="6">
        <v>0</v>
      </c>
      <c r="O44" s="9">
        <v>2374</v>
      </c>
      <c r="P44" s="6">
        <v>0</v>
      </c>
      <c r="Q44" s="9">
        <f>Table2[[#This Row],[Atlyginimo vidurkis]]*Table2[[#This Row],[Darbuotojų skaičius]]*12</f>
        <v>455808</v>
      </c>
      <c r="R44" s="49">
        <v>0</v>
      </c>
      <c r="S44" s="9">
        <v>8490273</v>
      </c>
      <c r="T44" s="6">
        <v>0</v>
      </c>
      <c r="U44" s="9">
        <f>IF(Table2[[#This Row],[DU sąnaudos]]=0,0,Table2[[#This Row],[Apyvarta]]-Table2[[#This Row],[DU sąnaudos]]-Table2[[#This Row],[Pelnas]])</f>
        <v>7649314</v>
      </c>
      <c r="V44" s="49">
        <v>0</v>
      </c>
      <c r="W44" s="9">
        <v>385151</v>
      </c>
      <c r="X44" s="6">
        <v>0</v>
      </c>
      <c r="Y44" s="8">
        <f>Table2[[#This Row],[DU sąnaudos]]*0.43</f>
        <v>195997.44</v>
      </c>
      <c r="Z44" s="8">
        <f>Table2[[#This Row],[Apyvarta]]-Table2[[#This Row],[Ne-atlyginimų sąnaudos]]+Table2[[#This Row],[Fiks ir pelno mokestis]]</f>
        <v>1036956.44</v>
      </c>
    </row>
    <row r="45" spans="1:26" hidden="1" x14ac:dyDescent="0.2">
      <c r="A45" s="5" t="s">
        <v>212</v>
      </c>
      <c r="B45" s="5" t="s">
        <v>1421</v>
      </c>
      <c r="C45" s="5">
        <v>2020</v>
      </c>
      <c r="D45" s="5" t="s">
        <v>1721</v>
      </c>
      <c r="E45" s="5" t="s">
        <v>1721</v>
      </c>
      <c r="F45" s="5" t="s">
        <v>1721</v>
      </c>
      <c r="G45" s="5" t="s">
        <v>73</v>
      </c>
      <c r="H45" s="5" t="s">
        <v>1721</v>
      </c>
      <c r="I45" s="5" t="s">
        <v>1721</v>
      </c>
      <c r="J45" s="5" t="s">
        <v>1721</v>
      </c>
      <c r="K45" s="5" t="s">
        <v>1721</v>
      </c>
      <c r="L45" s="5" t="s">
        <v>1721</v>
      </c>
      <c r="M45" s="9">
        <v>11</v>
      </c>
      <c r="N45" s="6">
        <f>IFERROR(Table2[[#This Row],[Darbuotojų skaičius]]/M44-1,0)</f>
        <v>-0.3125</v>
      </c>
      <c r="O45" s="9">
        <v>2606</v>
      </c>
      <c r="P45" s="6">
        <v>9.7725358045492872E-2</v>
      </c>
      <c r="Q45" s="9">
        <f>Table2[[#This Row],[Atlyginimo vidurkis]]*Table2[[#This Row],[Darbuotojų skaičius]]*12</f>
        <v>343992</v>
      </c>
      <c r="R45" s="49">
        <f>IFERROR(Table2[[#This Row],[DU sąnaudos]]/Q44-1,0)</f>
        <v>-0.24531381634372362</v>
      </c>
      <c r="S45" s="9">
        <v>8162394</v>
      </c>
      <c r="T45" s="6">
        <v>-3.8618192842562293E-2</v>
      </c>
      <c r="U45" s="9">
        <f>IF(Table2[[#This Row],[DU sąnaudos]]=0,0,Table2[[#This Row],[Apyvarta]]-Table2[[#This Row],[DU sąnaudos]]-Table2[[#This Row],[Pelnas]])</f>
        <v>7461373</v>
      </c>
      <c r="V45" s="49">
        <f>IFERROR(Table2[[#This Row],[Ne-atlyginimų sąnaudos]]/U44-1,0)</f>
        <v>-2.4569654219973147E-2</v>
      </c>
      <c r="W45" s="9">
        <v>357029</v>
      </c>
      <c r="X45" s="6">
        <v>-7.3015518588813166E-2</v>
      </c>
      <c r="Y45" s="8">
        <f>Table2[[#This Row],[DU sąnaudos]]*0.43</f>
        <v>147916.56</v>
      </c>
      <c r="Z45" s="8">
        <f>Table2[[#This Row],[Apyvarta]]-Table2[[#This Row],[Ne-atlyginimų sąnaudos]]+Table2[[#This Row],[Fiks ir pelno mokestis]]</f>
        <v>848937.56</v>
      </c>
    </row>
    <row r="46" spans="1:26" hidden="1" x14ac:dyDescent="0.2">
      <c r="A46" s="5" t="s">
        <v>212</v>
      </c>
      <c r="B46" s="5" t="s">
        <v>1421</v>
      </c>
      <c r="C46" s="5">
        <v>2021</v>
      </c>
      <c r="D46" s="5" t="s">
        <v>1721</v>
      </c>
      <c r="E46" s="5" t="s">
        <v>1721</v>
      </c>
      <c r="F46" s="5" t="s">
        <v>1721</v>
      </c>
      <c r="G46" s="5" t="s">
        <v>73</v>
      </c>
      <c r="H46" s="5" t="s">
        <v>1721</v>
      </c>
      <c r="I46" s="5" t="s">
        <v>1721</v>
      </c>
      <c r="J46" s="5" t="s">
        <v>1721</v>
      </c>
      <c r="K46" s="5" t="s">
        <v>1721</v>
      </c>
      <c r="L46" s="5" t="s">
        <v>1721</v>
      </c>
      <c r="M46" s="9">
        <v>12</v>
      </c>
      <c r="N46" s="6">
        <f>IFERROR(Table2[[#This Row],[Darbuotojų skaičius]]/M45-1,0)</f>
        <v>9.0909090909090828E-2</v>
      </c>
      <c r="O46" s="9">
        <v>3065</v>
      </c>
      <c r="P46" s="6">
        <v>0.17613200306983881</v>
      </c>
      <c r="Q46" s="9">
        <f>Table2[[#This Row],[Atlyginimo vidurkis]]*Table2[[#This Row],[Darbuotojų skaičius]]*12</f>
        <v>441360</v>
      </c>
      <c r="R46" s="49">
        <f>IFERROR(Table2[[#This Row],[DU sąnaudos]]/Q45-1,0)</f>
        <v>0.28305309425800607</v>
      </c>
      <c r="S46" s="9">
        <v>13416624</v>
      </c>
      <c r="T46" s="6">
        <v>0.64371188158768122</v>
      </c>
      <c r="U46" s="9">
        <f>IF(Table2[[#This Row],[DU sąnaudos]]=0,0,Table2[[#This Row],[Apyvarta]]-Table2[[#This Row],[DU sąnaudos]]-Table2[[#This Row],[Pelnas]])</f>
        <v>12623728</v>
      </c>
      <c r="V46" s="49">
        <f>IFERROR(Table2[[#This Row],[Ne-atlyginimų sąnaudos]]/U45-1,0)</f>
        <v>0.6918773528678972</v>
      </c>
      <c r="W46" s="9">
        <v>351536</v>
      </c>
      <c r="X46" s="6">
        <v>-1.5385304835181411E-2</v>
      </c>
      <c r="Y46" s="8">
        <f>Table2[[#This Row],[DU sąnaudos]]*0.43</f>
        <v>189784.8</v>
      </c>
      <c r="Z46" s="8">
        <f>Table2[[#This Row],[Apyvarta]]-Table2[[#This Row],[Ne-atlyginimų sąnaudos]]+Table2[[#This Row],[Fiks ir pelno mokestis]]</f>
        <v>982680.8</v>
      </c>
    </row>
    <row r="47" spans="1:26" hidden="1" x14ac:dyDescent="0.2">
      <c r="A47" s="5" t="s">
        <v>212</v>
      </c>
      <c r="B47" s="5" t="s">
        <v>1421</v>
      </c>
      <c r="C47" s="5">
        <v>2022</v>
      </c>
      <c r="D47" s="5" t="s">
        <v>1721</v>
      </c>
      <c r="E47" s="5" t="s">
        <v>1721</v>
      </c>
      <c r="F47" s="5" t="s">
        <v>1721</v>
      </c>
      <c r="G47" s="5" t="s">
        <v>73</v>
      </c>
      <c r="H47" s="5" t="s">
        <v>1721</v>
      </c>
      <c r="I47" s="5" t="s">
        <v>1721</v>
      </c>
      <c r="J47" s="5" t="s">
        <v>1721</v>
      </c>
      <c r="K47" s="5" t="s">
        <v>1721</v>
      </c>
      <c r="L47" s="5" t="s">
        <v>1721</v>
      </c>
      <c r="M47" s="9">
        <v>13</v>
      </c>
      <c r="N47" s="6">
        <f>IFERROR(Table2[[#This Row],[Darbuotojų skaičius]]/M46-1,0)</f>
        <v>8.3333333333333259E-2</v>
      </c>
      <c r="O47" s="9">
        <v>3304</v>
      </c>
      <c r="P47" s="6">
        <v>7.7977161500815573E-2</v>
      </c>
      <c r="Q47" s="9">
        <f>Table2[[#This Row],[Atlyginimo vidurkis]]*Table2[[#This Row],[Darbuotojų skaičius]]*12</f>
        <v>515424</v>
      </c>
      <c r="R47" s="49">
        <f>IFERROR(Table2[[#This Row],[DU sąnaudos]]/Q46-1,0)</f>
        <v>0.16780859162588357</v>
      </c>
      <c r="S47" s="9">
        <v>14637212</v>
      </c>
      <c r="T47" s="6">
        <v>9.0975792419911272E-2</v>
      </c>
      <c r="U47" s="9">
        <f>IF(Table2[[#This Row],[DU sąnaudos]]=0,0,Table2[[#This Row],[Apyvarta]]-Table2[[#This Row],[DU sąnaudos]]-Table2[[#This Row],[Pelnas]])</f>
        <v>13641718</v>
      </c>
      <c r="V47" s="49">
        <v>0</v>
      </c>
      <c r="W47" s="9">
        <v>480070</v>
      </c>
      <c r="X47" s="6">
        <v>0.36563538300486997</v>
      </c>
      <c r="Y47" s="8">
        <f>Table2[[#This Row],[DU sąnaudos]]*0.43</f>
        <v>221632.32</v>
      </c>
      <c r="Z47" s="8">
        <f>Table2[[#This Row],[Apyvarta]]-Table2[[#This Row],[Ne-atlyginimų sąnaudos]]+Table2[[#This Row],[Fiks ir pelno mokestis]]</f>
        <v>1217126.32</v>
      </c>
    </row>
    <row r="48" spans="1:26" hidden="1" x14ac:dyDescent="0.2">
      <c r="A48" s="5" t="s">
        <v>212</v>
      </c>
      <c r="B48" s="5" t="s">
        <v>1421</v>
      </c>
      <c r="C48" s="5">
        <v>2023</v>
      </c>
      <c r="D48" s="5" t="s">
        <v>1721</v>
      </c>
      <c r="E48" s="5" t="s">
        <v>1721</v>
      </c>
      <c r="F48" s="5" t="s">
        <v>1721</v>
      </c>
      <c r="G48" s="5" t="s">
        <v>73</v>
      </c>
      <c r="H48" s="5" t="s">
        <v>1721</v>
      </c>
      <c r="I48" s="5" t="s">
        <v>1721</v>
      </c>
      <c r="J48" s="5" t="s">
        <v>1721</v>
      </c>
      <c r="K48" s="5" t="s">
        <v>1721</v>
      </c>
      <c r="L48" s="5" t="s">
        <v>1721</v>
      </c>
      <c r="M48" s="9">
        <v>14</v>
      </c>
      <c r="N48" s="6">
        <f>IFERROR(Table2[[#This Row],[Darbuotojų skaičius]]/M47-1,0)</f>
        <v>7.6923076923076872E-2</v>
      </c>
      <c r="O48" s="9">
        <v>3252</v>
      </c>
      <c r="P48" s="6">
        <v>-1.57384987893463E-2</v>
      </c>
      <c r="Q48" s="9">
        <f>Table2[[#This Row],[Atlyginimo vidurkis]]*Table2[[#This Row],[Darbuotojų skaičius]]*12</f>
        <v>546336</v>
      </c>
      <c r="R48" s="49">
        <f>IFERROR(Table2[[#This Row],[DU sąnaudos]]/Q47-1,0)</f>
        <v>5.9973924380704036E-2</v>
      </c>
      <c r="S48" s="9">
        <v>13076706</v>
      </c>
      <c r="T48" s="6">
        <v>-0.10661224282329169</v>
      </c>
      <c r="U48" s="9">
        <f>IF(Table2[[#This Row],[DU sąnaudos]]=0,0,Table2[[#This Row],[Apyvarta]]-Table2[[#This Row],[DU sąnaudos]]-Table2[[#This Row],[Pelnas]])</f>
        <v>12153567</v>
      </c>
      <c r="V48" s="49">
        <f>IFERROR(Table2[[#This Row],[Ne-atlyginimų sąnaudos]]/U47-1,0)</f>
        <v>-0.10908823947247703</v>
      </c>
      <c r="W48" s="9">
        <v>376803</v>
      </c>
      <c r="X48" s="6">
        <v>-0.215108213385548</v>
      </c>
      <c r="Y48" s="8">
        <f>Table2[[#This Row],[DU sąnaudos]]*0.43</f>
        <v>234924.48</v>
      </c>
      <c r="Z48" s="8">
        <f>Table2[[#This Row],[Apyvarta]]-Table2[[#This Row],[Ne-atlyginimų sąnaudos]]+Table2[[#This Row],[Fiks ir pelno mokestis]]</f>
        <v>1158063.48</v>
      </c>
    </row>
    <row r="49" spans="1:26" hidden="1" x14ac:dyDescent="0.2">
      <c r="A49" s="5" t="s">
        <v>212</v>
      </c>
      <c r="B49" s="5" t="s">
        <v>1421</v>
      </c>
      <c r="C49" s="5">
        <v>2024</v>
      </c>
      <c r="D49" s="5" t="s">
        <v>1721</v>
      </c>
      <c r="E49" s="5" t="s">
        <v>1721</v>
      </c>
      <c r="F49" s="5" t="s">
        <v>1721</v>
      </c>
      <c r="G49" s="5" t="s">
        <v>73</v>
      </c>
      <c r="H49" s="5" t="s">
        <v>1721</v>
      </c>
      <c r="I49" s="5" t="s">
        <v>1721</v>
      </c>
      <c r="J49" s="5" t="s">
        <v>1721</v>
      </c>
      <c r="K49" s="5" t="s">
        <v>1721</v>
      </c>
      <c r="L49" s="5" t="s">
        <v>1721</v>
      </c>
      <c r="M49" s="9">
        <v>14</v>
      </c>
      <c r="N49" s="6">
        <f>IFERROR(Table2[[#This Row],[Darbuotojų skaičius]]/M48-1,0)</f>
        <v>0</v>
      </c>
      <c r="O49" s="9">
        <v>3314</v>
      </c>
      <c r="P49" s="6">
        <v>1.906519065190659E-2</v>
      </c>
      <c r="Q49" s="9">
        <f>Table2[[#This Row],[Atlyginimo vidurkis]]*Table2[[#This Row],[Darbuotojų skaičius]]*12</f>
        <v>556752</v>
      </c>
      <c r="R49" s="49">
        <f>IFERROR(Table2[[#This Row],[DU sąnaudos]]/Q48-1,0)</f>
        <v>1.9065190651906594E-2</v>
      </c>
      <c r="S49" s="9">
        <v>10772482</v>
      </c>
      <c r="T49" s="6">
        <v>-0.17620828976349251</v>
      </c>
      <c r="U49" s="9">
        <f>IF(Table2[[#This Row],[DU sąnaudos]]=0,0,Table2[[#This Row],[Apyvarta]]-Table2[[#This Row],[DU sąnaudos]]-Table2[[#This Row],[Pelnas]])</f>
        <v>10137538</v>
      </c>
      <c r="V49" s="49">
        <f>IFERROR(Table2[[#This Row],[Ne-atlyginimų sąnaudos]]/U48-1,0)</f>
        <v>-0.16587961377923044</v>
      </c>
      <c r="W49" s="9">
        <v>78192</v>
      </c>
      <c r="X49" s="6">
        <v>-0.79248572861681033</v>
      </c>
      <c r="Y49" s="8">
        <f>Table2[[#This Row],[DU sąnaudos]]*0.43</f>
        <v>239403.36</v>
      </c>
      <c r="Z49" s="8">
        <f>Table2[[#This Row],[Apyvarta]]-Table2[[#This Row],[Ne-atlyginimų sąnaudos]]+Table2[[#This Row],[Fiks ir pelno mokestis]]</f>
        <v>874347.36</v>
      </c>
    </row>
    <row r="50" spans="1:26" hidden="1" x14ac:dyDescent="0.2">
      <c r="A50" s="5" t="s">
        <v>471</v>
      </c>
      <c r="B50" s="5" t="s">
        <v>1423</v>
      </c>
      <c r="C50" s="5">
        <v>2019</v>
      </c>
      <c r="D50" s="5" t="s">
        <v>1721</v>
      </c>
      <c r="E50" s="5" t="s">
        <v>1721</v>
      </c>
      <c r="F50" s="5" t="s">
        <v>1721</v>
      </c>
      <c r="G50" s="5" t="s">
        <v>1721</v>
      </c>
      <c r="H50" s="5" t="s">
        <v>1721</v>
      </c>
      <c r="I50" s="5" t="s">
        <v>280</v>
      </c>
      <c r="J50" s="5" t="s">
        <v>1721</v>
      </c>
      <c r="K50" s="5" t="s">
        <v>1721</v>
      </c>
      <c r="L50" s="5" t="s">
        <v>1721</v>
      </c>
      <c r="M50" s="9">
        <v>31</v>
      </c>
      <c r="N50" s="6">
        <v>0</v>
      </c>
      <c r="O50" s="9">
        <v>2507</v>
      </c>
      <c r="P50" s="6">
        <v>0</v>
      </c>
      <c r="Q50" s="9">
        <f>Table2[[#This Row],[Atlyginimo vidurkis]]*Table2[[#This Row],[Darbuotojų skaičius]]*12</f>
        <v>932604</v>
      </c>
      <c r="R50" s="49">
        <v>0</v>
      </c>
      <c r="S50" s="9">
        <v>3492270</v>
      </c>
      <c r="T50" s="6">
        <v>0</v>
      </c>
      <c r="U50" s="9">
        <f>IF(Table2[[#This Row],[DU sąnaudos]]=0,0,Table2[[#This Row],[Apyvarta]]-Table2[[#This Row],[DU sąnaudos]]-Table2[[#This Row],[Pelnas]])</f>
        <v>2377766</v>
      </c>
      <c r="V50" s="49">
        <v>0</v>
      </c>
      <c r="W50" s="9">
        <v>181900</v>
      </c>
      <c r="X50" s="6">
        <v>0</v>
      </c>
      <c r="Y50" s="8">
        <f>Table2[[#This Row],[DU sąnaudos]]*0.43</f>
        <v>401019.72</v>
      </c>
      <c r="Z50" s="8">
        <f>Table2[[#This Row],[Apyvarta]]-Table2[[#This Row],[Ne-atlyginimų sąnaudos]]+Table2[[#This Row],[Fiks ir pelno mokestis]]</f>
        <v>1515523.72</v>
      </c>
    </row>
    <row r="51" spans="1:26" hidden="1" x14ac:dyDescent="0.2">
      <c r="A51" s="5" t="s">
        <v>471</v>
      </c>
      <c r="B51" s="5" t="s">
        <v>1423</v>
      </c>
      <c r="C51" s="5">
        <v>2020</v>
      </c>
      <c r="D51" s="5" t="s">
        <v>1721</v>
      </c>
      <c r="E51" s="5" t="s">
        <v>1721</v>
      </c>
      <c r="F51" s="5" t="s">
        <v>1721</v>
      </c>
      <c r="G51" s="5" t="s">
        <v>1721</v>
      </c>
      <c r="H51" s="5" t="s">
        <v>1721</v>
      </c>
      <c r="I51" s="5" t="s">
        <v>280</v>
      </c>
      <c r="J51" s="5" t="s">
        <v>1721</v>
      </c>
      <c r="K51" s="5" t="s">
        <v>1721</v>
      </c>
      <c r="L51" s="5" t="s">
        <v>1721</v>
      </c>
      <c r="M51" s="9">
        <v>27</v>
      </c>
      <c r="N51" s="6">
        <f>IFERROR(Table2[[#This Row],[Darbuotojų skaičius]]/M50-1,0)</f>
        <v>-0.12903225806451613</v>
      </c>
      <c r="O51" s="9">
        <v>2557</v>
      </c>
      <c r="P51" s="6">
        <v>1.9944156362185831E-2</v>
      </c>
      <c r="Q51" s="9">
        <f>Table2[[#This Row],[Atlyginimo vidurkis]]*Table2[[#This Row],[Darbuotojų skaičius]]*12</f>
        <v>828468</v>
      </c>
      <c r="R51" s="49">
        <f>IFERROR(Table2[[#This Row],[DU sąnaudos]]/Q50-1,0)</f>
        <v>-0.11166154123293492</v>
      </c>
      <c r="S51" s="9">
        <v>2865990</v>
      </c>
      <c r="T51" s="6">
        <v>-0.1793332130677181</v>
      </c>
      <c r="U51" s="9">
        <f>IF(Table2[[#This Row],[DU sąnaudos]]=0,0,Table2[[#This Row],[Apyvarta]]-Table2[[#This Row],[DU sąnaudos]]-Table2[[#This Row],[Pelnas]])</f>
        <v>1822260</v>
      </c>
      <c r="V51" s="49">
        <f>IFERROR(Table2[[#This Row],[Ne-atlyginimų sąnaudos]]/U50-1,0)</f>
        <v>-0.23362517590040399</v>
      </c>
      <c r="W51" s="9">
        <v>215262</v>
      </c>
      <c r="X51" s="6">
        <v>0.18340846619021439</v>
      </c>
      <c r="Y51" s="8">
        <f>Table2[[#This Row],[DU sąnaudos]]*0.43</f>
        <v>356241.24</v>
      </c>
      <c r="Z51" s="8">
        <f>Table2[[#This Row],[Apyvarta]]-Table2[[#This Row],[Ne-atlyginimų sąnaudos]]+Table2[[#This Row],[Fiks ir pelno mokestis]]</f>
        <v>1399971.24</v>
      </c>
    </row>
    <row r="52" spans="1:26" hidden="1" x14ac:dyDescent="0.2">
      <c r="A52" s="5" t="s">
        <v>471</v>
      </c>
      <c r="B52" s="5" t="s">
        <v>1423</v>
      </c>
      <c r="C52" s="5">
        <v>2021</v>
      </c>
      <c r="D52" s="5" t="s">
        <v>1721</v>
      </c>
      <c r="E52" s="5" t="s">
        <v>1721</v>
      </c>
      <c r="F52" s="5" t="s">
        <v>1721</v>
      </c>
      <c r="G52" s="5" t="s">
        <v>1721</v>
      </c>
      <c r="H52" s="5" t="s">
        <v>1721</v>
      </c>
      <c r="I52" s="5" t="s">
        <v>280</v>
      </c>
      <c r="J52" s="5" t="s">
        <v>1721</v>
      </c>
      <c r="K52" s="5" t="s">
        <v>1721</v>
      </c>
      <c r="L52" s="5" t="s">
        <v>1721</v>
      </c>
      <c r="M52" s="9">
        <v>27</v>
      </c>
      <c r="N52" s="6">
        <f>IFERROR(Table2[[#This Row],[Darbuotojų skaičius]]/M51-1,0)</f>
        <v>0</v>
      </c>
      <c r="O52" s="9">
        <v>2648</v>
      </c>
      <c r="P52" s="6">
        <v>3.5588580367618361E-2</v>
      </c>
      <c r="Q52" s="9">
        <f>Table2[[#This Row],[Atlyginimo vidurkis]]*Table2[[#This Row],[Darbuotojų skaičius]]*12</f>
        <v>857952</v>
      </c>
      <c r="R52" s="49">
        <f>IFERROR(Table2[[#This Row],[DU sąnaudos]]/Q51-1,0)</f>
        <v>3.5588580367618361E-2</v>
      </c>
      <c r="S52" s="9">
        <v>2310000</v>
      </c>
      <c r="T52" s="6">
        <v>-0.19399579202997921</v>
      </c>
      <c r="U52" s="9">
        <f>IF(Table2[[#This Row],[DU sąnaudos]]=0,0,Table2[[#This Row],[Apyvarta]]-Table2[[#This Row],[DU sąnaudos]]-Table2[[#This Row],[Pelnas]])</f>
        <v>1407477</v>
      </c>
      <c r="V52" s="49">
        <f>IFERROR(Table2[[#This Row],[Ne-atlyginimų sąnaudos]]/U51-1,0)</f>
        <v>-0.22762009811991701</v>
      </c>
      <c r="W52" s="9">
        <v>44571</v>
      </c>
      <c r="X52" s="6">
        <v>-0.79294534102628422</v>
      </c>
      <c r="Y52" s="8">
        <f>Table2[[#This Row],[DU sąnaudos]]*0.43</f>
        <v>368919.36</v>
      </c>
      <c r="Z52" s="8">
        <f>Table2[[#This Row],[Apyvarta]]-Table2[[#This Row],[Ne-atlyginimų sąnaudos]]+Table2[[#This Row],[Fiks ir pelno mokestis]]</f>
        <v>1271442.3599999999</v>
      </c>
    </row>
    <row r="53" spans="1:26" hidden="1" x14ac:dyDescent="0.2">
      <c r="A53" s="5" t="s">
        <v>471</v>
      </c>
      <c r="B53" s="5" t="s">
        <v>1423</v>
      </c>
      <c r="C53" s="5">
        <v>2022</v>
      </c>
      <c r="D53" s="5" t="s">
        <v>1721</v>
      </c>
      <c r="E53" s="5" t="s">
        <v>1721</v>
      </c>
      <c r="F53" s="5" t="s">
        <v>1721</v>
      </c>
      <c r="G53" s="5" t="s">
        <v>1721</v>
      </c>
      <c r="H53" s="5" t="s">
        <v>1721</v>
      </c>
      <c r="I53" s="5" t="s">
        <v>280</v>
      </c>
      <c r="J53" s="5" t="s">
        <v>1721</v>
      </c>
      <c r="K53" s="5" t="s">
        <v>1721</v>
      </c>
      <c r="L53" s="5" t="s">
        <v>1721</v>
      </c>
      <c r="M53" s="9">
        <v>26</v>
      </c>
      <c r="N53" s="6">
        <f>IFERROR(Table2[[#This Row],[Darbuotojų skaičius]]/M52-1,0)</f>
        <v>-3.703703703703709E-2</v>
      </c>
      <c r="O53" s="9">
        <v>2759</v>
      </c>
      <c r="P53" s="6">
        <v>4.1918429003021229E-2</v>
      </c>
      <c r="Q53" s="9">
        <f>Table2[[#This Row],[Atlyginimo vidurkis]]*Table2[[#This Row],[Darbuotojų skaičius]]*12</f>
        <v>860808</v>
      </c>
      <c r="R53" s="49">
        <f>IFERROR(Table2[[#This Row],[DU sąnaudos]]/Q52-1,0)</f>
        <v>3.3288575584649038E-3</v>
      </c>
      <c r="S53" s="9">
        <v>2365263</v>
      </c>
      <c r="T53" s="6">
        <v>2.3923376623376621E-2</v>
      </c>
      <c r="U53" s="9">
        <f>IF(Table2[[#This Row],[DU sąnaudos]]=0,0,Table2[[#This Row],[Apyvarta]]-Table2[[#This Row],[DU sąnaudos]]-Table2[[#This Row],[Pelnas]])</f>
        <v>1512636</v>
      </c>
      <c r="V53" s="49">
        <f>IFERROR(Table2[[#This Row],[Ne-atlyginimų sąnaudos]]/U52-1,0)</f>
        <v>7.4714542404600515E-2</v>
      </c>
      <c r="W53" s="9">
        <v>-8181</v>
      </c>
      <c r="X53" s="6">
        <v>-1.183549841825402</v>
      </c>
      <c r="Y53" s="8">
        <f>Table2[[#This Row],[DU sąnaudos]]*0.43</f>
        <v>370147.44</v>
      </c>
      <c r="Z53" s="8">
        <f>Table2[[#This Row],[Apyvarta]]-Table2[[#This Row],[Ne-atlyginimų sąnaudos]]+Table2[[#This Row],[Fiks ir pelno mokestis]]</f>
        <v>1222774.44</v>
      </c>
    </row>
    <row r="54" spans="1:26" hidden="1" x14ac:dyDescent="0.2">
      <c r="A54" s="5" t="s">
        <v>471</v>
      </c>
      <c r="B54" s="5" t="s">
        <v>1423</v>
      </c>
      <c r="C54" s="5">
        <v>2023</v>
      </c>
      <c r="D54" s="5" t="s">
        <v>1721</v>
      </c>
      <c r="E54" s="5" t="s">
        <v>1721</v>
      </c>
      <c r="F54" s="5" t="s">
        <v>1721</v>
      </c>
      <c r="G54" s="5" t="s">
        <v>1721</v>
      </c>
      <c r="H54" s="5" t="s">
        <v>1721</v>
      </c>
      <c r="I54" s="5" t="s">
        <v>280</v>
      </c>
      <c r="J54" s="5" t="s">
        <v>1721</v>
      </c>
      <c r="K54" s="5" t="s">
        <v>1721</v>
      </c>
      <c r="L54" s="5" t="s">
        <v>1721</v>
      </c>
      <c r="M54" s="9">
        <v>25</v>
      </c>
      <c r="N54" s="6">
        <f>IFERROR(Table2[[#This Row],[Darbuotojų skaičius]]/M53-1,0)</f>
        <v>-3.8461538461538436E-2</v>
      </c>
      <c r="O54" s="9">
        <v>3002</v>
      </c>
      <c r="P54" s="6">
        <v>8.807538963392525E-2</v>
      </c>
      <c r="Q54" s="9">
        <f>Table2[[#This Row],[Atlyginimo vidurkis]]*Table2[[#This Row],[Darbuotojų skaičius]]*12</f>
        <v>900600</v>
      </c>
      <c r="R54" s="49">
        <f>IFERROR(Table2[[#This Row],[DU sąnaudos]]/Q53-1,0)</f>
        <v>4.6226336186466765E-2</v>
      </c>
      <c r="S54" s="9">
        <v>3544704</v>
      </c>
      <c r="T54" s="6">
        <v>0.49865110137857821</v>
      </c>
      <c r="U54" s="9">
        <f>IF(Table2[[#This Row],[DU sąnaudos]]=0,0,Table2[[#This Row],[Apyvarta]]-Table2[[#This Row],[DU sąnaudos]]-Table2[[#This Row],[Pelnas]])</f>
        <v>2382018</v>
      </c>
      <c r="V54" s="49">
        <v>0</v>
      </c>
      <c r="W54" s="9">
        <v>262086</v>
      </c>
      <c r="X54" s="6">
        <v>-33.035936927026043</v>
      </c>
      <c r="Y54" s="8">
        <f>Table2[[#This Row],[DU sąnaudos]]*0.43</f>
        <v>387258</v>
      </c>
      <c r="Z54" s="8">
        <f>Table2[[#This Row],[Apyvarta]]-Table2[[#This Row],[Ne-atlyginimų sąnaudos]]+Table2[[#This Row],[Fiks ir pelno mokestis]]</f>
        <v>1549944</v>
      </c>
    </row>
    <row r="55" spans="1:26" hidden="1" x14ac:dyDescent="0.2">
      <c r="A55" s="5" t="s">
        <v>471</v>
      </c>
      <c r="B55" s="5" t="s">
        <v>1423</v>
      </c>
      <c r="C55" s="5">
        <v>2024</v>
      </c>
      <c r="D55" s="5" t="s">
        <v>1721</v>
      </c>
      <c r="E55" s="5" t="s">
        <v>1721</v>
      </c>
      <c r="F55" s="5" t="s">
        <v>1721</v>
      </c>
      <c r="G55" s="5" t="s">
        <v>1721</v>
      </c>
      <c r="H55" s="5" t="s">
        <v>1721</v>
      </c>
      <c r="I55" s="5" t="s">
        <v>280</v>
      </c>
      <c r="J55" s="5" t="s">
        <v>1721</v>
      </c>
      <c r="K55" s="5" t="s">
        <v>1721</v>
      </c>
      <c r="L55" s="5" t="s">
        <v>1721</v>
      </c>
      <c r="M55" s="9">
        <v>27</v>
      </c>
      <c r="N55" s="6">
        <f>IFERROR(Table2[[#This Row],[Darbuotojų skaičius]]/M54-1,0)</f>
        <v>8.0000000000000071E-2</v>
      </c>
      <c r="O55" s="9">
        <v>3258</v>
      </c>
      <c r="P55" s="6">
        <v>8.5276482345103322E-2</v>
      </c>
      <c r="Q55" s="9">
        <f>Table2[[#This Row],[Atlyginimo vidurkis]]*Table2[[#This Row],[Darbuotojų skaičius]]*12</f>
        <v>1055592</v>
      </c>
      <c r="R55" s="49">
        <f>IFERROR(Table2[[#This Row],[DU sąnaudos]]/Q54-1,0)</f>
        <v>0.17209860093271145</v>
      </c>
      <c r="S55" s="9">
        <v>2697617</v>
      </c>
      <c r="T55" s="6">
        <v>-0.23897256301231359</v>
      </c>
      <c r="U55" s="9">
        <f>IF(Table2[[#This Row],[DU sąnaudos]]=0,0,Table2[[#This Row],[Apyvarta]]-Table2[[#This Row],[DU sąnaudos]]-Table2[[#This Row],[Pelnas]])</f>
        <v>1635706</v>
      </c>
      <c r="V55" s="49">
        <f>IFERROR(Table2[[#This Row],[Ne-atlyginimų sąnaudos]]/U54-1,0)</f>
        <v>-0.31331081461181232</v>
      </c>
      <c r="W55" s="9">
        <v>6319</v>
      </c>
      <c r="X55" s="6">
        <v>-0.97588959349221249</v>
      </c>
      <c r="Y55" s="8">
        <f>Table2[[#This Row],[DU sąnaudos]]*0.43</f>
        <v>453904.56</v>
      </c>
      <c r="Z55" s="8">
        <f>Table2[[#This Row],[Apyvarta]]-Table2[[#This Row],[Ne-atlyginimų sąnaudos]]+Table2[[#This Row],[Fiks ir pelno mokestis]]</f>
        <v>1515815.56</v>
      </c>
    </row>
    <row r="56" spans="1:26" hidden="1" x14ac:dyDescent="0.2">
      <c r="A56" s="5" t="s">
        <v>1429</v>
      </c>
      <c r="B56" s="5" t="s">
        <v>1430</v>
      </c>
      <c r="C56" s="5">
        <v>2019</v>
      </c>
      <c r="D56" s="5" t="s">
        <v>1721</v>
      </c>
      <c r="E56" s="5" t="s">
        <v>1721</v>
      </c>
      <c r="F56" s="5" t="s">
        <v>1721</v>
      </c>
      <c r="G56" s="5" t="s">
        <v>1721</v>
      </c>
      <c r="H56" s="5" t="s">
        <v>1721</v>
      </c>
      <c r="I56" s="5" t="s">
        <v>1721</v>
      </c>
      <c r="J56" s="5" t="s">
        <v>1721</v>
      </c>
      <c r="K56" s="5" t="s">
        <v>193</v>
      </c>
      <c r="L56" s="5" t="s">
        <v>1721</v>
      </c>
      <c r="M56" s="9">
        <v>0</v>
      </c>
      <c r="N56" s="6">
        <v>0</v>
      </c>
      <c r="O56" s="9">
        <v>0</v>
      </c>
      <c r="P56" s="6">
        <v>0</v>
      </c>
      <c r="Q56" s="9">
        <f>Table2[[#This Row],[Atlyginimo vidurkis]]*Table2[[#This Row],[Darbuotojų skaičius]]*12</f>
        <v>0</v>
      </c>
      <c r="R56" s="49">
        <v>0</v>
      </c>
      <c r="S56" s="9">
        <v>38589</v>
      </c>
      <c r="T56" s="6">
        <v>0</v>
      </c>
      <c r="U56" s="9">
        <f>IF(Table2[[#This Row],[DU sąnaudos]]=0,0,Table2[[#This Row],[Apyvarta]]-Table2[[#This Row],[DU sąnaudos]]-Table2[[#This Row],[Pelnas]])</f>
        <v>0</v>
      </c>
      <c r="V56" s="49">
        <v>0</v>
      </c>
      <c r="W56" s="9">
        <v>2266</v>
      </c>
      <c r="X56" s="6">
        <v>0</v>
      </c>
      <c r="Y56" s="8">
        <f>Table2[[#This Row],[DU sąnaudos]]*0.43</f>
        <v>0</v>
      </c>
      <c r="Z56" s="8">
        <f>Table2[[#This Row],[Apyvarta]]-Table2[[#This Row],[Ne-atlyginimų sąnaudos]]+Table2[[#This Row],[Fiks ir pelno mokestis]]</f>
        <v>38589</v>
      </c>
    </row>
    <row r="57" spans="1:26" hidden="1" x14ac:dyDescent="0.2">
      <c r="A57" s="5" t="s">
        <v>1429</v>
      </c>
      <c r="B57" s="5" t="s">
        <v>1430</v>
      </c>
      <c r="C57" s="5">
        <v>2020</v>
      </c>
      <c r="D57" s="5" t="s">
        <v>1721</v>
      </c>
      <c r="E57" s="5" t="s">
        <v>1721</v>
      </c>
      <c r="F57" s="5" t="s">
        <v>1721</v>
      </c>
      <c r="G57" s="5" t="s">
        <v>1721</v>
      </c>
      <c r="H57" s="5" t="s">
        <v>1721</v>
      </c>
      <c r="I57" s="5" t="s">
        <v>1721</v>
      </c>
      <c r="J57" s="5" t="s">
        <v>1721</v>
      </c>
      <c r="K57" s="5" t="s">
        <v>193</v>
      </c>
      <c r="L57" s="5" t="s">
        <v>1721</v>
      </c>
      <c r="M57" s="9">
        <v>0</v>
      </c>
      <c r="N57" s="6">
        <f>IFERROR(Table2[[#This Row],[Darbuotojų skaičius]]/M56-1,0)</f>
        <v>0</v>
      </c>
      <c r="O57" s="9">
        <v>0</v>
      </c>
      <c r="P57" s="6">
        <v>0</v>
      </c>
      <c r="Q57" s="9">
        <f>Table2[[#This Row],[Atlyginimo vidurkis]]*Table2[[#This Row],[Darbuotojų skaičius]]*12</f>
        <v>0</v>
      </c>
      <c r="R57" s="49">
        <f>IFERROR(Table2[[#This Row],[DU sąnaudos]]/Q56-1,0)</f>
        <v>0</v>
      </c>
      <c r="S57" s="9">
        <v>23608</v>
      </c>
      <c r="T57" s="6">
        <v>-0.38821944077327741</v>
      </c>
      <c r="U57" s="9">
        <f>IF(Table2[[#This Row],[DU sąnaudos]]=0,0,Table2[[#This Row],[Apyvarta]]-Table2[[#This Row],[DU sąnaudos]]-Table2[[#This Row],[Pelnas]])</f>
        <v>0</v>
      </c>
      <c r="V57" s="49">
        <f>IFERROR(Table2[[#This Row],[Ne-atlyginimų sąnaudos]]/U56-1,0)</f>
        <v>0</v>
      </c>
      <c r="W57" s="9">
        <v>-31</v>
      </c>
      <c r="X57" s="6">
        <v>-1.013680494263018</v>
      </c>
      <c r="Y57" s="8">
        <f>Table2[[#This Row],[DU sąnaudos]]*0.43</f>
        <v>0</v>
      </c>
      <c r="Z57" s="8">
        <f>Table2[[#This Row],[Apyvarta]]-Table2[[#This Row],[Ne-atlyginimų sąnaudos]]+Table2[[#This Row],[Fiks ir pelno mokestis]]</f>
        <v>23608</v>
      </c>
    </row>
    <row r="58" spans="1:26" hidden="1" x14ac:dyDescent="0.2">
      <c r="A58" s="5" t="s">
        <v>1429</v>
      </c>
      <c r="B58" s="5" t="s">
        <v>1430</v>
      </c>
      <c r="C58" s="5">
        <v>2021</v>
      </c>
      <c r="D58" s="5" t="s">
        <v>1721</v>
      </c>
      <c r="E58" s="5" t="s">
        <v>1721</v>
      </c>
      <c r="F58" s="5" t="s">
        <v>1721</v>
      </c>
      <c r="G58" s="5" t="s">
        <v>1721</v>
      </c>
      <c r="H58" s="5" t="s">
        <v>1721</v>
      </c>
      <c r="I58" s="5" t="s">
        <v>1721</v>
      </c>
      <c r="J58" s="5" t="s">
        <v>1721</v>
      </c>
      <c r="K58" s="5" t="s">
        <v>193</v>
      </c>
      <c r="L58" s="5" t="s">
        <v>1721</v>
      </c>
      <c r="M58" s="9">
        <v>0</v>
      </c>
      <c r="N58" s="6">
        <f>IFERROR(Table2[[#This Row],[Darbuotojų skaičius]]/M57-1,0)</f>
        <v>0</v>
      </c>
      <c r="O58" s="9">
        <v>0</v>
      </c>
      <c r="P58" s="6">
        <v>0</v>
      </c>
      <c r="Q58" s="9">
        <f>Table2[[#This Row],[Atlyginimo vidurkis]]*Table2[[#This Row],[Darbuotojų skaičius]]*12</f>
        <v>0</v>
      </c>
      <c r="R58" s="49">
        <f>IFERROR(Table2[[#This Row],[DU sąnaudos]]/Q57-1,0)</f>
        <v>0</v>
      </c>
      <c r="S58" s="9">
        <v>42347</v>
      </c>
      <c r="T58" s="6">
        <v>0.79375635377838027</v>
      </c>
      <c r="U58" s="9">
        <f>IF(Table2[[#This Row],[DU sąnaudos]]=0,0,Table2[[#This Row],[Apyvarta]]-Table2[[#This Row],[DU sąnaudos]]-Table2[[#This Row],[Pelnas]])</f>
        <v>0</v>
      </c>
      <c r="V58" s="49">
        <f>IFERROR(Table2[[#This Row],[Ne-atlyginimų sąnaudos]]/U57-1,0)</f>
        <v>0</v>
      </c>
      <c r="W58" s="9">
        <v>1180</v>
      </c>
      <c r="X58" s="6">
        <v>-39.064516129032263</v>
      </c>
      <c r="Y58" s="8">
        <f>Table2[[#This Row],[DU sąnaudos]]*0.43</f>
        <v>0</v>
      </c>
      <c r="Z58" s="8">
        <f>Table2[[#This Row],[Apyvarta]]-Table2[[#This Row],[Ne-atlyginimų sąnaudos]]+Table2[[#This Row],[Fiks ir pelno mokestis]]</f>
        <v>42347</v>
      </c>
    </row>
    <row r="59" spans="1:26" hidden="1" x14ac:dyDescent="0.2">
      <c r="A59" s="5" t="s">
        <v>1429</v>
      </c>
      <c r="B59" s="5" t="s">
        <v>1430</v>
      </c>
      <c r="C59" s="5">
        <v>2022</v>
      </c>
      <c r="D59" s="5" t="s">
        <v>1721</v>
      </c>
      <c r="E59" s="5" t="s">
        <v>1721</v>
      </c>
      <c r="F59" s="5" t="s">
        <v>1721</v>
      </c>
      <c r="G59" s="5" t="s">
        <v>1721</v>
      </c>
      <c r="H59" s="5" t="s">
        <v>1721</v>
      </c>
      <c r="I59" s="5" t="s">
        <v>1721</v>
      </c>
      <c r="J59" s="5" t="s">
        <v>1721</v>
      </c>
      <c r="K59" s="5" t="s">
        <v>193</v>
      </c>
      <c r="L59" s="5" t="s">
        <v>1721</v>
      </c>
      <c r="M59" s="9">
        <v>0</v>
      </c>
      <c r="N59" s="6">
        <f>IFERROR(Table2[[#This Row],[Darbuotojų skaičius]]/M58-1,0)</f>
        <v>0</v>
      </c>
      <c r="O59" s="9">
        <v>0</v>
      </c>
      <c r="P59" s="6">
        <v>0</v>
      </c>
      <c r="Q59" s="9">
        <f>Table2[[#This Row],[Atlyginimo vidurkis]]*Table2[[#This Row],[Darbuotojų skaičius]]*12</f>
        <v>0</v>
      </c>
      <c r="R59" s="49">
        <f>IFERROR(Table2[[#This Row],[DU sąnaudos]]/Q58-1,0)</f>
        <v>0</v>
      </c>
      <c r="S59" s="9">
        <v>56054</v>
      </c>
      <c r="T59" s="6">
        <v>0.32368290551869072</v>
      </c>
      <c r="U59" s="9">
        <f>IF(Table2[[#This Row],[DU sąnaudos]]=0,0,Table2[[#This Row],[Apyvarta]]-Table2[[#This Row],[DU sąnaudos]]-Table2[[#This Row],[Pelnas]])</f>
        <v>0</v>
      </c>
      <c r="V59" s="49">
        <f>IFERROR(Table2[[#This Row],[Ne-atlyginimų sąnaudos]]/U58-1,0)</f>
        <v>0</v>
      </c>
      <c r="W59" s="9">
        <v>2003</v>
      </c>
      <c r="X59" s="6">
        <v>0.69745762711864412</v>
      </c>
      <c r="Y59" s="8">
        <f>Table2[[#This Row],[DU sąnaudos]]*0.43</f>
        <v>0</v>
      </c>
      <c r="Z59" s="8">
        <f>Table2[[#This Row],[Apyvarta]]-Table2[[#This Row],[Ne-atlyginimų sąnaudos]]+Table2[[#This Row],[Fiks ir pelno mokestis]]</f>
        <v>56054</v>
      </c>
    </row>
    <row r="60" spans="1:26" hidden="1" x14ac:dyDescent="0.2">
      <c r="A60" s="5" t="s">
        <v>1429</v>
      </c>
      <c r="B60" s="5" t="s">
        <v>1430</v>
      </c>
      <c r="C60" s="5">
        <v>2023</v>
      </c>
      <c r="D60" s="5" t="s">
        <v>1721</v>
      </c>
      <c r="E60" s="5" t="s">
        <v>1721</v>
      </c>
      <c r="F60" s="5" t="s">
        <v>1721</v>
      </c>
      <c r="G60" s="5" t="s">
        <v>1721</v>
      </c>
      <c r="H60" s="5" t="s">
        <v>1721</v>
      </c>
      <c r="I60" s="5" t="s">
        <v>1721</v>
      </c>
      <c r="J60" s="5" t="s">
        <v>1721</v>
      </c>
      <c r="K60" s="5" t="s">
        <v>193</v>
      </c>
      <c r="L60" s="5" t="s">
        <v>1721</v>
      </c>
      <c r="M60" s="9">
        <v>0</v>
      </c>
      <c r="N60" s="6">
        <f>IFERROR(Table2[[#This Row],[Darbuotojų skaičius]]/M59-1,0)</f>
        <v>0</v>
      </c>
      <c r="O60" s="9">
        <v>0</v>
      </c>
      <c r="P60" s="6">
        <v>0</v>
      </c>
      <c r="Q60" s="9">
        <f>Table2[[#This Row],[Atlyginimo vidurkis]]*Table2[[#This Row],[Darbuotojų skaičius]]*12</f>
        <v>0</v>
      </c>
      <c r="R60" s="49">
        <f>IFERROR(Table2[[#This Row],[DU sąnaudos]]/Q59-1,0)</f>
        <v>0</v>
      </c>
      <c r="S60" s="9">
        <v>77893</v>
      </c>
      <c r="T60" s="6">
        <v>0.38960645092232488</v>
      </c>
      <c r="U60" s="9">
        <f>IF(Table2[[#This Row],[DU sąnaudos]]=0,0,Table2[[#This Row],[Apyvarta]]-Table2[[#This Row],[DU sąnaudos]]-Table2[[#This Row],[Pelnas]])</f>
        <v>0</v>
      </c>
      <c r="V60" s="49">
        <f>IFERROR(Table2[[#This Row],[Ne-atlyginimų sąnaudos]]/U59-1,0)</f>
        <v>0</v>
      </c>
      <c r="W60" s="9">
        <v>-812</v>
      </c>
      <c r="X60" s="6">
        <v>-1.4053919121318019</v>
      </c>
      <c r="Y60" s="8">
        <f>Table2[[#This Row],[DU sąnaudos]]*0.43</f>
        <v>0</v>
      </c>
      <c r="Z60" s="8">
        <f>Table2[[#This Row],[Apyvarta]]-Table2[[#This Row],[Ne-atlyginimų sąnaudos]]+Table2[[#This Row],[Fiks ir pelno mokestis]]</f>
        <v>77893</v>
      </c>
    </row>
    <row r="61" spans="1:26" hidden="1" x14ac:dyDescent="0.2">
      <c r="A61" s="5" t="s">
        <v>1429</v>
      </c>
      <c r="B61" s="5" t="s">
        <v>1430</v>
      </c>
      <c r="C61" s="5">
        <v>2024</v>
      </c>
      <c r="D61" s="5" t="s">
        <v>1721</v>
      </c>
      <c r="E61" s="5" t="s">
        <v>1721</v>
      </c>
      <c r="F61" s="5" t="s">
        <v>1721</v>
      </c>
      <c r="G61" s="5" t="s">
        <v>1721</v>
      </c>
      <c r="H61" s="5" t="s">
        <v>1721</v>
      </c>
      <c r="I61" s="5" t="s">
        <v>1721</v>
      </c>
      <c r="J61" s="5" t="s">
        <v>1721</v>
      </c>
      <c r="K61" s="5" t="s">
        <v>193</v>
      </c>
      <c r="L61" s="5" t="s">
        <v>1721</v>
      </c>
      <c r="M61" s="9">
        <v>0</v>
      </c>
      <c r="N61" s="6">
        <f>IFERROR(Table2[[#This Row],[Darbuotojų skaičius]]/M60-1,0)</f>
        <v>0</v>
      </c>
      <c r="O61" s="9">
        <v>0</v>
      </c>
      <c r="P61" s="6">
        <v>0</v>
      </c>
      <c r="Q61" s="9">
        <f>Table2[[#This Row],[Atlyginimo vidurkis]]*Table2[[#This Row],[Darbuotojų skaičius]]*12</f>
        <v>0</v>
      </c>
      <c r="R61" s="49">
        <f>IFERROR(Table2[[#This Row],[DU sąnaudos]]/Q60-1,0)</f>
        <v>0</v>
      </c>
      <c r="S61" s="9">
        <v>86746</v>
      </c>
      <c r="T61" s="6">
        <v>0.1136559125980512</v>
      </c>
      <c r="U61" s="9">
        <f>IF(Table2[[#This Row],[DU sąnaudos]]=0,0,Table2[[#This Row],[Apyvarta]]-Table2[[#This Row],[DU sąnaudos]]-Table2[[#This Row],[Pelnas]])</f>
        <v>0</v>
      </c>
      <c r="V61" s="49">
        <v>0</v>
      </c>
      <c r="W61" s="9">
        <v>7310</v>
      </c>
      <c r="X61" s="6">
        <v>-10.002463054187199</v>
      </c>
      <c r="Y61" s="8">
        <f>Table2[[#This Row],[DU sąnaudos]]*0.43</f>
        <v>0</v>
      </c>
      <c r="Z61" s="8">
        <f>Table2[[#This Row],[Apyvarta]]-Table2[[#This Row],[Ne-atlyginimų sąnaudos]]+Table2[[#This Row],[Fiks ir pelno mokestis]]</f>
        <v>86746</v>
      </c>
    </row>
    <row r="62" spans="1:26" hidden="1" x14ac:dyDescent="0.2">
      <c r="A62" s="5" t="s">
        <v>630</v>
      </c>
      <c r="B62" s="5" t="s">
        <v>1431</v>
      </c>
      <c r="C62" s="5">
        <v>2019</v>
      </c>
      <c r="D62" s="5" t="s">
        <v>1721</v>
      </c>
      <c r="E62" s="5" t="s">
        <v>1721</v>
      </c>
      <c r="F62" s="5" t="s">
        <v>1721</v>
      </c>
      <c r="G62" s="5" t="s">
        <v>1721</v>
      </c>
      <c r="H62" s="5" t="s">
        <v>1721</v>
      </c>
      <c r="I62" s="5" t="s">
        <v>1721</v>
      </c>
      <c r="J62" s="5" t="s">
        <v>1721</v>
      </c>
      <c r="K62" s="5" t="s">
        <v>193</v>
      </c>
      <c r="L62" s="5" t="s">
        <v>1721</v>
      </c>
      <c r="M62" s="9">
        <v>2</v>
      </c>
      <c r="N62" s="6">
        <v>0</v>
      </c>
      <c r="O62" s="9">
        <v>0</v>
      </c>
      <c r="P62" s="6">
        <v>0</v>
      </c>
      <c r="Q62" s="9">
        <f>Table2[[#This Row],[Atlyginimo vidurkis]]*Table2[[#This Row],[Darbuotojų skaičius]]*12</f>
        <v>0</v>
      </c>
      <c r="R62" s="49">
        <v>0</v>
      </c>
      <c r="S62" s="9">
        <v>52181</v>
      </c>
      <c r="T62" s="6">
        <v>0</v>
      </c>
      <c r="U62" s="9">
        <f>IF(Table2[[#This Row],[DU sąnaudos]]=0,0,Table2[[#This Row],[Apyvarta]]-Table2[[#This Row],[DU sąnaudos]]-Table2[[#This Row],[Pelnas]])</f>
        <v>0</v>
      </c>
      <c r="V62" s="49">
        <v>0</v>
      </c>
      <c r="W62" s="9">
        <v>-6006</v>
      </c>
      <c r="X62" s="6">
        <v>0</v>
      </c>
      <c r="Y62" s="8">
        <f>Table2[[#This Row],[DU sąnaudos]]*0.43</f>
        <v>0</v>
      </c>
      <c r="Z62" s="8">
        <f>Table2[[#This Row],[Apyvarta]]-Table2[[#This Row],[Ne-atlyginimų sąnaudos]]+Table2[[#This Row],[Fiks ir pelno mokestis]]</f>
        <v>52181</v>
      </c>
    </row>
    <row r="63" spans="1:26" hidden="1" x14ac:dyDescent="0.2">
      <c r="A63" s="5" t="s">
        <v>630</v>
      </c>
      <c r="B63" s="5" t="s">
        <v>1431</v>
      </c>
      <c r="C63" s="5">
        <v>2020</v>
      </c>
      <c r="D63" s="5" t="s">
        <v>1721</v>
      </c>
      <c r="E63" s="5" t="s">
        <v>1721</v>
      </c>
      <c r="F63" s="5" t="s">
        <v>1721</v>
      </c>
      <c r="G63" s="5" t="s">
        <v>1721</v>
      </c>
      <c r="H63" s="5" t="s">
        <v>1721</v>
      </c>
      <c r="I63" s="5" t="s">
        <v>1721</v>
      </c>
      <c r="J63" s="5" t="s">
        <v>1721</v>
      </c>
      <c r="K63" s="5" t="s">
        <v>193</v>
      </c>
      <c r="L63" s="5" t="s">
        <v>1721</v>
      </c>
      <c r="M63" s="9">
        <v>2</v>
      </c>
      <c r="N63" s="6">
        <f>IFERROR(Table2[[#This Row],[Darbuotojų skaičius]]/M62-1,0)</f>
        <v>0</v>
      </c>
      <c r="O63" s="9">
        <v>0</v>
      </c>
      <c r="P63" s="6">
        <v>0</v>
      </c>
      <c r="Q63" s="9">
        <f>Table2[[#This Row],[Atlyginimo vidurkis]]*Table2[[#This Row],[Darbuotojų skaičius]]*12</f>
        <v>0</v>
      </c>
      <c r="R63" s="49">
        <f>IFERROR(Table2[[#This Row],[DU sąnaudos]]/Q62-1,0)</f>
        <v>0</v>
      </c>
      <c r="S63" s="9">
        <v>120421</v>
      </c>
      <c r="T63" s="6">
        <v>1.30775569651789</v>
      </c>
      <c r="U63" s="9">
        <f>IF(Table2[[#This Row],[DU sąnaudos]]=0,0,Table2[[#This Row],[Apyvarta]]-Table2[[#This Row],[DU sąnaudos]]-Table2[[#This Row],[Pelnas]])</f>
        <v>0</v>
      </c>
      <c r="V63" s="49">
        <f>IFERROR(Table2[[#This Row],[Ne-atlyginimų sąnaudos]]/U62-1,0)</f>
        <v>0</v>
      </c>
      <c r="W63" s="9">
        <v>44975</v>
      </c>
      <c r="X63" s="6">
        <v>-8.4883449883449877</v>
      </c>
      <c r="Y63" s="8">
        <f>Table2[[#This Row],[DU sąnaudos]]*0.43</f>
        <v>0</v>
      </c>
      <c r="Z63" s="8">
        <f>Table2[[#This Row],[Apyvarta]]-Table2[[#This Row],[Ne-atlyginimų sąnaudos]]+Table2[[#This Row],[Fiks ir pelno mokestis]]</f>
        <v>120421</v>
      </c>
    </row>
    <row r="64" spans="1:26" hidden="1" x14ac:dyDescent="0.2">
      <c r="A64" s="5" t="s">
        <v>630</v>
      </c>
      <c r="B64" s="5" t="s">
        <v>1431</v>
      </c>
      <c r="C64" s="5">
        <v>2021</v>
      </c>
      <c r="D64" s="5" t="s">
        <v>1721</v>
      </c>
      <c r="E64" s="5" t="s">
        <v>1721</v>
      </c>
      <c r="F64" s="5" t="s">
        <v>1721</v>
      </c>
      <c r="G64" s="5" t="s">
        <v>1721</v>
      </c>
      <c r="H64" s="5" t="s">
        <v>1721</v>
      </c>
      <c r="I64" s="5" t="s">
        <v>1721</v>
      </c>
      <c r="J64" s="5" t="s">
        <v>1721</v>
      </c>
      <c r="K64" s="5" t="s">
        <v>193</v>
      </c>
      <c r="L64" s="5" t="s">
        <v>1721</v>
      </c>
      <c r="M64" s="9">
        <v>8</v>
      </c>
      <c r="N64" s="6">
        <f>IFERROR(Table2[[#This Row],[Darbuotojų skaičius]]/M63-1,0)</f>
        <v>3</v>
      </c>
      <c r="O64" s="9">
        <v>1201</v>
      </c>
      <c r="P64" s="6">
        <v>0</v>
      </c>
      <c r="Q64" s="9">
        <f>Table2[[#This Row],[Atlyginimo vidurkis]]*Table2[[#This Row],[Darbuotojų skaičius]]*12</f>
        <v>115296</v>
      </c>
      <c r="R64" s="49">
        <f>IFERROR(Table2[[#This Row],[DU sąnaudos]]/Q63-1,0)</f>
        <v>0</v>
      </c>
      <c r="S64" s="9">
        <v>470300</v>
      </c>
      <c r="T64" s="6">
        <v>2.9054649936472869</v>
      </c>
      <c r="U64" s="9">
        <f>IF(Table2[[#This Row],[DU sąnaudos]]=0,0,Table2[[#This Row],[Apyvarta]]-Table2[[#This Row],[DU sąnaudos]]-Table2[[#This Row],[Pelnas]])</f>
        <v>307111</v>
      </c>
      <c r="V64" s="49">
        <f>IFERROR(Table2[[#This Row],[Ne-atlyginimų sąnaudos]]/U63-1,0)</f>
        <v>0</v>
      </c>
      <c r="W64" s="9">
        <v>47893</v>
      </c>
      <c r="X64" s="6">
        <v>6.4880489160644705E-2</v>
      </c>
      <c r="Y64" s="8">
        <f>Table2[[#This Row],[DU sąnaudos]]*0.43</f>
        <v>49577.279999999999</v>
      </c>
      <c r="Z64" s="8">
        <f>Table2[[#This Row],[Apyvarta]]-Table2[[#This Row],[Ne-atlyginimų sąnaudos]]+Table2[[#This Row],[Fiks ir pelno mokestis]]</f>
        <v>212766.28</v>
      </c>
    </row>
    <row r="65" spans="1:26" hidden="1" x14ac:dyDescent="0.2">
      <c r="A65" s="5" t="s">
        <v>630</v>
      </c>
      <c r="B65" s="5" t="s">
        <v>1431</v>
      </c>
      <c r="C65" s="5">
        <v>2022</v>
      </c>
      <c r="D65" s="5" t="s">
        <v>1721</v>
      </c>
      <c r="E65" s="5" t="s">
        <v>1721</v>
      </c>
      <c r="F65" s="5" t="s">
        <v>1721</v>
      </c>
      <c r="G65" s="5" t="s">
        <v>1721</v>
      </c>
      <c r="H65" s="5" t="s">
        <v>1721</v>
      </c>
      <c r="I65" s="5" t="s">
        <v>1721</v>
      </c>
      <c r="J65" s="5" t="s">
        <v>1721</v>
      </c>
      <c r="K65" s="5" t="s">
        <v>193</v>
      </c>
      <c r="L65" s="5" t="s">
        <v>1721</v>
      </c>
      <c r="M65" s="9">
        <v>15</v>
      </c>
      <c r="N65" s="6">
        <f>IFERROR(Table2[[#This Row],[Darbuotojų skaičius]]/M64-1,0)</f>
        <v>0.875</v>
      </c>
      <c r="O65" s="9">
        <v>1353</v>
      </c>
      <c r="P65" s="6">
        <v>0.1265611990008326</v>
      </c>
      <c r="Q65" s="9">
        <f>Table2[[#This Row],[Atlyginimo vidurkis]]*Table2[[#This Row],[Darbuotojų skaičius]]*12</f>
        <v>243540</v>
      </c>
      <c r="R65" s="49">
        <f>IFERROR(Table2[[#This Row],[DU sąnaudos]]/Q64-1,0)</f>
        <v>1.1123022481265612</v>
      </c>
      <c r="S65" s="9">
        <v>733653</v>
      </c>
      <c r="T65" s="6">
        <v>0.55996810546459708</v>
      </c>
      <c r="U65" s="9">
        <f>IF(Table2[[#This Row],[DU sąnaudos]]=0,0,Table2[[#This Row],[Apyvarta]]-Table2[[#This Row],[DU sąnaudos]]-Table2[[#This Row],[Pelnas]])</f>
        <v>462467</v>
      </c>
      <c r="V65" s="49">
        <f>IFERROR(Table2[[#This Row],[Ne-atlyginimų sąnaudos]]/U64-1,0)</f>
        <v>0.50586270110806852</v>
      </c>
      <c r="W65" s="9">
        <v>27646</v>
      </c>
      <c r="X65" s="6">
        <v>-0.42275489111143588</v>
      </c>
      <c r="Y65" s="8">
        <f>Table2[[#This Row],[DU sąnaudos]]*0.43</f>
        <v>104722.2</v>
      </c>
      <c r="Z65" s="8">
        <f>Table2[[#This Row],[Apyvarta]]-Table2[[#This Row],[Ne-atlyginimų sąnaudos]]+Table2[[#This Row],[Fiks ir pelno mokestis]]</f>
        <v>375908.2</v>
      </c>
    </row>
    <row r="66" spans="1:26" hidden="1" x14ac:dyDescent="0.2">
      <c r="A66" s="5" t="s">
        <v>630</v>
      </c>
      <c r="B66" s="5" t="s">
        <v>1431</v>
      </c>
      <c r="C66" s="5">
        <v>2023</v>
      </c>
      <c r="D66" s="5" t="s">
        <v>1721</v>
      </c>
      <c r="E66" s="5" t="s">
        <v>1721</v>
      </c>
      <c r="F66" s="5" t="s">
        <v>1721</v>
      </c>
      <c r="G66" s="5" t="s">
        <v>1721</v>
      </c>
      <c r="H66" s="5" t="s">
        <v>1721</v>
      </c>
      <c r="I66" s="5" t="s">
        <v>1721</v>
      </c>
      <c r="J66" s="5" t="s">
        <v>1721</v>
      </c>
      <c r="K66" s="5" t="s">
        <v>193</v>
      </c>
      <c r="L66" s="5" t="s">
        <v>1721</v>
      </c>
      <c r="M66" s="9">
        <v>15</v>
      </c>
      <c r="N66" s="6">
        <f>IFERROR(Table2[[#This Row],[Darbuotojų skaičius]]/M65-1,0)</f>
        <v>0</v>
      </c>
      <c r="O66" s="9">
        <v>1957</v>
      </c>
      <c r="P66" s="6">
        <v>0.44641537324464159</v>
      </c>
      <c r="Q66" s="9">
        <f>Table2[[#This Row],[Atlyginimo vidurkis]]*Table2[[#This Row],[Darbuotojų skaičius]]*12</f>
        <v>352260</v>
      </c>
      <c r="R66" s="49">
        <f>IFERROR(Table2[[#This Row],[DU sąnaudos]]/Q65-1,0)</f>
        <v>0.44641537324464164</v>
      </c>
      <c r="S66" s="9">
        <v>999514</v>
      </c>
      <c r="T66" s="6">
        <v>0.36237976263983113</v>
      </c>
      <c r="U66" s="9">
        <f>IF(Table2[[#This Row],[DU sąnaudos]]=0,0,Table2[[#This Row],[Apyvarta]]-Table2[[#This Row],[DU sąnaudos]]-Table2[[#This Row],[Pelnas]])</f>
        <v>665696</v>
      </c>
      <c r="V66" s="49">
        <v>0</v>
      </c>
      <c r="W66" s="9">
        <v>-18442</v>
      </c>
      <c r="X66" s="6">
        <v>-1.667076611444694</v>
      </c>
      <c r="Y66" s="8">
        <f>Table2[[#This Row],[DU sąnaudos]]*0.43</f>
        <v>151471.79999999999</v>
      </c>
      <c r="Z66" s="8">
        <f>Table2[[#This Row],[Apyvarta]]-Table2[[#This Row],[Ne-atlyginimų sąnaudos]]+Table2[[#This Row],[Fiks ir pelno mokestis]]</f>
        <v>485289.8</v>
      </c>
    </row>
    <row r="67" spans="1:26" hidden="1" x14ac:dyDescent="0.2">
      <c r="A67" s="5" t="s">
        <v>630</v>
      </c>
      <c r="B67" s="5" t="s">
        <v>1431</v>
      </c>
      <c r="C67" s="5">
        <v>2024</v>
      </c>
      <c r="D67" s="5" t="s">
        <v>1721</v>
      </c>
      <c r="E67" s="5" t="s">
        <v>1721</v>
      </c>
      <c r="F67" s="5" t="s">
        <v>1721</v>
      </c>
      <c r="G67" s="5" t="s">
        <v>1721</v>
      </c>
      <c r="H67" s="5" t="s">
        <v>1721</v>
      </c>
      <c r="I67" s="5" t="s">
        <v>1721</v>
      </c>
      <c r="J67" s="5" t="s">
        <v>1721</v>
      </c>
      <c r="K67" s="5" t="s">
        <v>193</v>
      </c>
      <c r="L67" s="5" t="s">
        <v>1721</v>
      </c>
      <c r="M67" s="9">
        <v>18</v>
      </c>
      <c r="N67" s="6">
        <f>IFERROR(Table2[[#This Row],[Darbuotojų skaičius]]/M66-1,0)</f>
        <v>0.19999999999999996</v>
      </c>
      <c r="O67" s="9">
        <v>2075</v>
      </c>
      <c r="P67" s="6">
        <v>6.0296371997956122E-2</v>
      </c>
      <c r="Q67" s="9">
        <f>Table2[[#This Row],[Atlyginimo vidurkis]]*Table2[[#This Row],[Darbuotojų skaičius]]*12</f>
        <v>448200</v>
      </c>
      <c r="R67" s="49">
        <f>IFERROR(Table2[[#This Row],[DU sąnaudos]]/Q66-1,0)</f>
        <v>0.27235564639754717</v>
      </c>
      <c r="S67" s="9">
        <v>853822</v>
      </c>
      <c r="T67" s="6">
        <v>-0.1457628407406</v>
      </c>
      <c r="U67" s="9">
        <f>IF(Table2[[#This Row],[DU sąnaudos]]=0,0,Table2[[#This Row],[Apyvarta]]-Table2[[#This Row],[DU sąnaudos]]-Table2[[#This Row],[Pelnas]])</f>
        <v>500089</v>
      </c>
      <c r="V67" s="49">
        <f>IFERROR(Table2[[#This Row],[Ne-atlyginimų sąnaudos]]/U66-1,0)</f>
        <v>-0.2487727130702303</v>
      </c>
      <c r="W67" s="9">
        <v>-94467</v>
      </c>
      <c r="X67" s="6">
        <v>4.1223836894046197</v>
      </c>
      <c r="Y67" s="8">
        <f>Table2[[#This Row],[DU sąnaudos]]*0.43</f>
        <v>192726</v>
      </c>
      <c r="Z67" s="8">
        <f>Table2[[#This Row],[Apyvarta]]-Table2[[#This Row],[Ne-atlyginimų sąnaudos]]+Table2[[#This Row],[Fiks ir pelno mokestis]]</f>
        <v>546459</v>
      </c>
    </row>
    <row r="68" spans="1:26" hidden="1" x14ac:dyDescent="0.2">
      <c r="A68" s="5" t="s">
        <v>1433</v>
      </c>
      <c r="B68" s="5" t="s">
        <v>1434</v>
      </c>
      <c r="C68" s="5">
        <v>2019</v>
      </c>
      <c r="D68" s="5" t="s">
        <v>1721</v>
      </c>
      <c r="E68" s="5" t="s">
        <v>1721</v>
      </c>
      <c r="F68" s="5" t="s">
        <v>1721</v>
      </c>
      <c r="G68" s="5" t="s">
        <v>1721</v>
      </c>
      <c r="H68" s="5" t="s">
        <v>1721</v>
      </c>
      <c r="I68" s="5" t="s">
        <v>1721</v>
      </c>
      <c r="J68" s="5" t="s">
        <v>1721</v>
      </c>
      <c r="K68" s="5" t="s">
        <v>193</v>
      </c>
      <c r="L68" s="5" t="s">
        <v>1721</v>
      </c>
      <c r="M68" s="9">
        <v>6</v>
      </c>
      <c r="N68" s="6">
        <v>0</v>
      </c>
      <c r="O68" s="9">
        <v>1039</v>
      </c>
      <c r="P68" s="6">
        <v>0</v>
      </c>
      <c r="Q68" s="9">
        <f>Table2[[#This Row],[Atlyginimo vidurkis]]*Table2[[#This Row],[Darbuotojų skaičius]]*12</f>
        <v>74808</v>
      </c>
      <c r="R68" s="49">
        <v>0</v>
      </c>
      <c r="S68" s="9">
        <v>134293</v>
      </c>
      <c r="T68" s="6">
        <v>0</v>
      </c>
      <c r="U68" s="9">
        <f>IF(Table2[[#This Row],[DU sąnaudos]]=0,0,Table2[[#This Row],[Apyvarta]]-Table2[[#This Row],[DU sąnaudos]]-Table2[[#This Row],[Pelnas]])</f>
        <v>74589</v>
      </c>
      <c r="V68" s="49">
        <v>0</v>
      </c>
      <c r="W68" s="9">
        <v>-15104</v>
      </c>
      <c r="X68" s="6">
        <v>0</v>
      </c>
      <c r="Y68" s="8">
        <f>Table2[[#This Row],[DU sąnaudos]]*0.43</f>
        <v>32167.439999999999</v>
      </c>
      <c r="Z68" s="8">
        <f>Table2[[#This Row],[Apyvarta]]-Table2[[#This Row],[Ne-atlyginimų sąnaudos]]+Table2[[#This Row],[Fiks ir pelno mokestis]]</f>
        <v>91871.44</v>
      </c>
    </row>
    <row r="69" spans="1:26" hidden="1" x14ac:dyDescent="0.2">
      <c r="A69" s="5" t="s">
        <v>1433</v>
      </c>
      <c r="B69" s="5" t="s">
        <v>1434</v>
      </c>
      <c r="C69" s="5">
        <v>2020</v>
      </c>
      <c r="D69" s="5" t="s">
        <v>1721</v>
      </c>
      <c r="E69" s="5" t="s">
        <v>1721</v>
      </c>
      <c r="F69" s="5" t="s">
        <v>1721</v>
      </c>
      <c r="G69" s="5" t="s">
        <v>1721</v>
      </c>
      <c r="H69" s="5" t="s">
        <v>1721</v>
      </c>
      <c r="I69" s="5" t="s">
        <v>1721</v>
      </c>
      <c r="J69" s="5" t="s">
        <v>1721</v>
      </c>
      <c r="K69" s="5" t="s">
        <v>193</v>
      </c>
      <c r="L69" s="5" t="s">
        <v>1721</v>
      </c>
      <c r="M69" s="9">
        <v>3</v>
      </c>
      <c r="N69" s="6">
        <f>IFERROR(Table2[[#This Row],[Darbuotojų skaičius]]/M68-1,0)</f>
        <v>-0.5</v>
      </c>
      <c r="O69" s="9">
        <v>1263</v>
      </c>
      <c r="P69" s="6">
        <v>0.2155919153031762</v>
      </c>
      <c r="Q69" s="9">
        <f>Table2[[#This Row],[Atlyginimo vidurkis]]*Table2[[#This Row],[Darbuotojų skaičius]]*12</f>
        <v>45468</v>
      </c>
      <c r="R69" s="49">
        <f>IFERROR(Table2[[#This Row],[DU sąnaudos]]/Q68-1,0)</f>
        <v>-0.39220404234841189</v>
      </c>
      <c r="S69" s="9">
        <v>297045</v>
      </c>
      <c r="T69" s="6">
        <v>1.2119172257675379</v>
      </c>
      <c r="U69" s="9">
        <f>IF(Table2[[#This Row],[DU sąnaudos]]=0,0,Table2[[#This Row],[Apyvarta]]-Table2[[#This Row],[DU sąnaudos]]-Table2[[#This Row],[Pelnas]])</f>
        <v>227606</v>
      </c>
      <c r="V69" s="49">
        <f>IFERROR(Table2[[#This Row],[Ne-atlyginimų sąnaudos]]/U68-1,0)</f>
        <v>2.0514687152261057</v>
      </c>
      <c r="W69" s="9">
        <v>23971</v>
      </c>
      <c r="X69" s="6">
        <v>-2.5870630296610169</v>
      </c>
      <c r="Y69" s="8">
        <f>Table2[[#This Row],[DU sąnaudos]]*0.43</f>
        <v>19551.239999999998</v>
      </c>
      <c r="Z69" s="8">
        <f>Table2[[#This Row],[Apyvarta]]-Table2[[#This Row],[Ne-atlyginimų sąnaudos]]+Table2[[#This Row],[Fiks ir pelno mokestis]]</f>
        <v>88990.239999999991</v>
      </c>
    </row>
    <row r="70" spans="1:26" hidden="1" x14ac:dyDescent="0.2">
      <c r="A70" s="5" t="s">
        <v>1433</v>
      </c>
      <c r="B70" s="5" t="s">
        <v>1434</v>
      </c>
      <c r="C70" s="5">
        <v>2021</v>
      </c>
      <c r="D70" s="5" t="s">
        <v>1721</v>
      </c>
      <c r="E70" s="5" t="s">
        <v>1721</v>
      </c>
      <c r="F70" s="5" t="s">
        <v>1721</v>
      </c>
      <c r="G70" s="5" t="s">
        <v>1721</v>
      </c>
      <c r="H70" s="5" t="s">
        <v>1721</v>
      </c>
      <c r="I70" s="5" t="s">
        <v>1721</v>
      </c>
      <c r="J70" s="5" t="s">
        <v>1721</v>
      </c>
      <c r="K70" s="5" t="s">
        <v>193</v>
      </c>
      <c r="L70" s="5" t="s">
        <v>1721</v>
      </c>
      <c r="M70" s="9">
        <v>1</v>
      </c>
      <c r="N70" s="6">
        <f>IFERROR(Table2[[#This Row],[Darbuotojų skaičius]]/M69-1,0)</f>
        <v>-0.66666666666666674</v>
      </c>
      <c r="O70" s="9">
        <v>0</v>
      </c>
      <c r="P70" s="6">
        <v>0</v>
      </c>
      <c r="Q70" s="9">
        <f>Table2[[#This Row],[Atlyginimo vidurkis]]*Table2[[#This Row],[Darbuotojų skaičius]]*12</f>
        <v>0</v>
      </c>
      <c r="R70" s="49">
        <f>IFERROR(Table2[[#This Row],[DU sąnaudos]]/Q69-1,0)</f>
        <v>-1</v>
      </c>
      <c r="S70" s="9">
        <v>924135</v>
      </c>
      <c r="T70" s="6">
        <v>2.11109427864465</v>
      </c>
      <c r="U70" s="9">
        <f>IF(Table2[[#This Row],[DU sąnaudos]]=0,0,Table2[[#This Row],[Apyvarta]]-Table2[[#This Row],[DU sąnaudos]]-Table2[[#This Row],[Pelnas]])</f>
        <v>0</v>
      </c>
      <c r="V70" s="49">
        <v>0</v>
      </c>
      <c r="W70" s="9">
        <v>176024</v>
      </c>
      <c r="X70" s="6">
        <v>6.3432063743690286</v>
      </c>
      <c r="Y70" s="8">
        <f>Table2[[#This Row],[DU sąnaudos]]*0.43</f>
        <v>0</v>
      </c>
      <c r="Z70" s="8">
        <f>Table2[[#This Row],[Apyvarta]]-Table2[[#This Row],[Ne-atlyginimų sąnaudos]]+Table2[[#This Row],[Fiks ir pelno mokestis]]</f>
        <v>924135</v>
      </c>
    </row>
    <row r="71" spans="1:26" hidden="1" x14ac:dyDescent="0.2">
      <c r="A71" s="5" t="s">
        <v>1433</v>
      </c>
      <c r="B71" s="5" t="s">
        <v>1434</v>
      </c>
      <c r="C71" s="5">
        <v>2022</v>
      </c>
      <c r="D71" s="5" t="s">
        <v>1721</v>
      </c>
      <c r="E71" s="5" t="s">
        <v>1721</v>
      </c>
      <c r="F71" s="5" t="s">
        <v>1721</v>
      </c>
      <c r="G71" s="5" t="s">
        <v>1721</v>
      </c>
      <c r="H71" s="5" t="s">
        <v>1721</v>
      </c>
      <c r="I71" s="5" t="s">
        <v>1721</v>
      </c>
      <c r="J71" s="5" t="s">
        <v>1721</v>
      </c>
      <c r="K71" s="5" t="s">
        <v>193</v>
      </c>
      <c r="L71" s="5" t="s">
        <v>1721</v>
      </c>
      <c r="M71" s="9">
        <v>1</v>
      </c>
      <c r="N71" s="6">
        <f>IFERROR(Table2[[#This Row],[Darbuotojų skaičius]]/M70-1,0)</f>
        <v>0</v>
      </c>
      <c r="O71" s="9">
        <v>0</v>
      </c>
      <c r="P71" s="6">
        <v>0</v>
      </c>
      <c r="Q71" s="9">
        <f>Table2[[#This Row],[Atlyginimo vidurkis]]*Table2[[#This Row],[Darbuotojų skaičius]]*12</f>
        <v>0</v>
      </c>
      <c r="R71" s="49">
        <f>IFERROR(Table2[[#This Row],[DU sąnaudos]]/Q70-1,0)</f>
        <v>0</v>
      </c>
      <c r="S71" s="9">
        <v>702426</v>
      </c>
      <c r="T71" s="6">
        <v>-0.23990975344511359</v>
      </c>
      <c r="U71" s="9">
        <f>IF(Table2[[#This Row],[DU sąnaudos]]=0,0,Table2[[#This Row],[Apyvarta]]-Table2[[#This Row],[DU sąnaudos]]-Table2[[#This Row],[Pelnas]])</f>
        <v>0</v>
      </c>
      <c r="V71" s="49">
        <f>IFERROR(Table2[[#This Row],[Ne-atlyginimų sąnaudos]]/U70-1,0)</f>
        <v>0</v>
      </c>
      <c r="W71" s="9">
        <v>75777</v>
      </c>
      <c r="X71" s="6">
        <v>-0.56950756714993411</v>
      </c>
      <c r="Y71" s="8">
        <f>Table2[[#This Row],[DU sąnaudos]]*0.43</f>
        <v>0</v>
      </c>
      <c r="Z71" s="8">
        <f>Table2[[#This Row],[Apyvarta]]-Table2[[#This Row],[Ne-atlyginimų sąnaudos]]+Table2[[#This Row],[Fiks ir pelno mokestis]]</f>
        <v>702426</v>
      </c>
    </row>
    <row r="72" spans="1:26" hidden="1" x14ac:dyDescent="0.2">
      <c r="A72" s="5" t="s">
        <v>1433</v>
      </c>
      <c r="B72" s="5" t="s">
        <v>1434</v>
      </c>
      <c r="C72" s="5">
        <v>2023</v>
      </c>
      <c r="D72" s="5" t="s">
        <v>1721</v>
      </c>
      <c r="E72" s="5" t="s">
        <v>1721</v>
      </c>
      <c r="F72" s="5" t="s">
        <v>1721</v>
      </c>
      <c r="G72" s="5" t="s">
        <v>1721</v>
      </c>
      <c r="H72" s="5" t="s">
        <v>1721</v>
      </c>
      <c r="I72" s="5" t="s">
        <v>1721</v>
      </c>
      <c r="J72" s="5" t="s">
        <v>1721</v>
      </c>
      <c r="K72" s="5" t="s">
        <v>193</v>
      </c>
      <c r="L72" s="5" t="s">
        <v>1721</v>
      </c>
      <c r="M72" s="9">
        <v>1</v>
      </c>
      <c r="N72" s="6">
        <f>IFERROR(Table2[[#This Row],[Darbuotojų skaičius]]/M71-1,0)</f>
        <v>0</v>
      </c>
      <c r="O72" s="9">
        <v>0</v>
      </c>
      <c r="P72" s="6">
        <v>0</v>
      </c>
      <c r="Q72" s="9">
        <f>Table2[[#This Row],[Atlyginimo vidurkis]]*Table2[[#This Row],[Darbuotojų skaičius]]*12</f>
        <v>0</v>
      </c>
      <c r="R72" s="49">
        <f>IFERROR(Table2[[#This Row],[DU sąnaudos]]/Q71-1,0)</f>
        <v>0</v>
      </c>
      <c r="S72" s="9">
        <v>682575</v>
      </c>
      <c r="T72" s="6">
        <v>-2.8260628165813869E-2</v>
      </c>
      <c r="U72" s="9">
        <f>IF(Table2[[#This Row],[DU sąnaudos]]=0,0,Table2[[#This Row],[Apyvarta]]-Table2[[#This Row],[DU sąnaudos]]-Table2[[#This Row],[Pelnas]])</f>
        <v>0</v>
      </c>
      <c r="V72" s="49">
        <f>IFERROR(Table2[[#This Row],[Ne-atlyginimų sąnaudos]]/U71-1,0)</f>
        <v>0</v>
      </c>
      <c r="W72" s="9">
        <v>66010</v>
      </c>
      <c r="X72" s="6">
        <v>-0.12889135225728121</v>
      </c>
      <c r="Y72" s="8">
        <f>Table2[[#This Row],[DU sąnaudos]]*0.43</f>
        <v>0</v>
      </c>
      <c r="Z72" s="8">
        <f>Table2[[#This Row],[Apyvarta]]-Table2[[#This Row],[Ne-atlyginimų sąnaudos]]+Table2[[#This Row],[Fiks ir pelno mokestis]]</f>
        <v>682575</v>
      </c>
    </row>
    <row r="73" spans="1:26" hidden="1" x14ac:dyDescent="0.2">
      <c r="A73" s="5" t="s">
        <v>1433</v>
      </c>
      <c r="B73" s="5" t="s">
        <v>1434</v>
      </c>
      <c r="C73" s="5">
        <v>2024</v>
      </c>
      <c r="D73" s="5" t="s">
        <v>1721</v>
      </c>
      <c r="E73" s="5" t="s">
        <v>1721</v>
      </c>
      <c r="F73" s="5" t="s">
        <v>1721</v>
      </c>
      <c r="G73" s="5" t="s">
        <v>1721</v>
      </c>
      <c r="H73" s="5" t="s">
        <v>1721</v>
      </c>
      <c r="I73" s="5" t="s">
        <v>1721</v>
      </c>
      <c r="J73" s="5" t="s">
        <v>1721</v>
      </c>
      <c r="K73" s="5" t="s">
        <v>193</v>
      </c>
      <c r="L73" s="5" t="s">
        <v>1721</v>
      </c>
      <c r="M73" s="9">
        <v>1</v>
      </c>
      <c r="N73" s="6">
        <f>IFERROR(Table2[[#This Row],[Darbuotojų skaičius]]/M72-1,0)</f>
        <v>0</v>
      </c>
      <c r="O73" s="9">
        <v>0</v>
      </c>
      <c r="P73" s="6">
        <v>0</v>
      </c>
      <c r="Q73" s="9">
        <f>Table2[[#This Row],[Atlyginimo vidurkis]]*Table2[[#This Row],[Darbuotojų skaičius]]*12</f>
        <v>0</v>
      </c>
      <c r="R73" s="49">
        <f>IFERROR(Table2[[#This Row],[DU sąnaudos]]/Q72-1,0)</f>
        <v>0</v>
      </c>
      <c r="S73" s="20">
        <v>0</v>
      </c>
      <c r="T73" s="6">
        <v>0</v>
      </c>
      <c r="U73" s="9">
        <f>IF(Table2[[#This Row],[DU sąnaudos]]=0,0,Table2[[#This Row],[Apyvarta]]-Table2[[#This Row],[DU sąnaudos]]-Table2[[#This Row],[Pelnas]])</f>
        <v>0</v>
      </c>
      <c r="V73" s="49">
        <f>IFERROR(Table2[[#This Row],[Ne-atlyginimų sąnaudos]]/U72-1,0)</f>
        <v>0</v>
      </c>
      <c r="W73" s="9">
        <v>0</v>
      </c>
      <c r="X73" s="6">
        <v>0</v>
      </c>
      <c r="Y73" s="8">
        <f>Table2[[#This Row],[DU sąnaudos]]*0.43</f>
        <v>0</v>
      </c>
      <c r="Z73" s="8">
        <f>Table2[[#This Row],[Apyvarta]]-Table2[[#This Row],[Ne-atlyginimų sąnaudos]]+Table2[[#This Row],[Fiks ir pelno mokestis]]</f>
        <v>0</v>
      </c>
    </row>
    <row r="74" spans="1:26" x14ac:dyDescent="0.2">
      <c r="A74" s="5" t="s">
        <v>1437</v>
      </c>
      <c r="B74" t="s">
        <v>1438</v>
      </c>
      <c r="C74">
        <v>2019</v>
      </c>
      <c r="D74" s="5" t="s">
        <v>1721</v>
      </c>
      <c r="E74" s="5" t="s">
        <v>1721</v>
      </c>
      <c r="F74" s="5" t="s">
        <v>1721</v>
      </c>
      <c r="G74" s="5" t="s">
        <v>1721</v>
      </c>
      <c r="H74" s="5" t="s">
        <v>1721</v>
      </c>
      <c r="I74" s="5" t="s">
        <v>1721</v>
      </c>
      <c r="J74" t="s">
        <v>300</v>
      </c>
      <c r="K74" s="5" t="s">
        <v>1721</v>
      </c>
      <c r="L74" s="5" t="s">
        <v>1721</v>
      </c>
      <c r="M74" s="9">
        <v>33</v>
      </c>
      <c r="N74" s="6">
        <v>0</v>
      </c>
      <c r="O74" s="9">
        <v>1914</v>
      </c>
      <c r="P74" s="6">
        <v>0</v>
      </c>
      <c r="Q74" s="9">
        <f>Table2[[#This Row],[Atlyginimo vidurkis]]*Table2[[#This Row],[Darbuotojų skaičius]]*12</f>
        <v>757944</v>
      </c>
      <c r="R74" s="49">
        <v>0</v>
      </c>
      <c r="S74" s="9">
        <v>3084434</v>
      </c>
      <c r="T74" s="6">
        <v>0</v>
      </c>
      <c r="U74" s="9">
        <f>IF(Table2[[#This Row],[DU sąnaudos]]=0,0,Table2[[#This Row],[Apyvarta]]-Table2[[#This Row],[DU sąnaudos]]-Table2[[#This Row],[Pelnas]])</f>
        <v>2276594</v>
      </c>
      <c r="V74" s="49">
        <v>0</v>
      </c>
      <c r="W74" s="9">
        <v>49896</v>
      </c>
      <c r="X74" s="6">
        <v>0</v>
      </c>
      <c r="Y74" s="8">
        <f>Table2[[#This Row],[DU sąnaudos]]*0.43</f>
        <v>325915.92</v>
      </c>
      <c r="Z74" s="8">
        <f>Table2[[#This Row],[Apyvarta]]-Table2[[#This Row],[Ne-atlyginimų sąnaudos]]+Table2[[#This Row],[Fiks ir pelno mokestis]]</f>
        <v>1133755.92</v>
      </c>
    </row>
    <row r="75" spans="1:26" x14ac:dyDescent="0.2">
      <c r="A75" s="5" t="s">
        <v>1437</v>
      </c>
      <c r="B75" t="s">
        <v>1438</v>
      </c>
      <c r="C75">
        <v>2020</v>
      </c>
      <c r="D75" s="5" t="s">
        <v>1721</v>
      </c>
      <c r="E75" s="5" t="s">
        <v>1721</v>
      </c>
      <c r="F75" s="5" t="s">
        <v>1721</v>
      </c>
      <c r="G75" s="5" t="s">
        <v>1721</v>
      </c>
      <c r="H75" s="5" t="s">
        <v>1721</v>
      </c>
      <c r="I75" s="5" t="s">
        <v>1721</v>
      </c>
      <c r="J75" t="s">
        <v>300</v>
      </c>
      <c r="K75" s="5" t="s">
        <v>1721</v>
      </c>
      <c r="L75" s="5" t="s">
        <v>1721</v>
      </c>
      <c r="M75" s="9">
        <v>21</v>
      </c>
      <c r="N75" s="6">
        <f>IFERROR(Table2[[#This Row],[Darbuotojų skaičius]]/M74-1,0)</f>
        <v>-0.36363636363636365</v>
      </c>
      <c r="O75" s="9">
        <v>2264</v>
      </c>
      <c r="P75" s="6">
        <v>0.18</v>
      </c>
      <c r="Q75" s="9">
        <f>Table2[[#This Row],[Atlyginimo vidurkis]]*Table2[[#This Row],[Darbuotojų skaičius]]*12</f>
        <v>570528</v>
      </c>
      <c r="R75" s="49">
        <f>IFERROR(Table2[[#This Row],[DU sąnaudos]]/Q74-1,0)</f>
        <v>-0.24726892751971119</v>
      </c>
      <c r="S75" s="9">
        <v>1249050</v>
      </c>
      <c r="T75" s="6">
        <v>-0.6</v>
      </c>
      <c r="U75" s="9">
        <f>IF(Table2[[#This Row],[DU sąnaudos]]=0,0,Table2[[#This Row],[Apyvarta]]-Table2[[#This Row],[DU sąnaudos]]-Table2[[#This Row],[Pelnas]])</f>
        <v>747784</v>
      </c>
      <c r="V75" s="49">
        <f>IFERROR(Table2[[#This Row],[Ne-atlyginimų sąnaudos]]/U74-1,0)</f>
        <v>-0.67153387911942142</v>
      </c>
      <c r="W75" s="9">
        <v>-69262</v>
      </c>
      <c r="X75" s="6">
        <v>-2.39</v>
      </c>
      <c r="Y75" s="8">
        <f>Table2[[#This Row],[DU sąnaudos]]*0.43</f>
        <v>245327.04</v>
      </c>
      <c r="Z75" s="8">
        <f>Table2[[#This Row],[Apyvarta]]-Table2[[#This Row],[Ne-atlyginimų sąnaudos]]+Table2[[#This Row],[Fiks ir pelno mokestis]]</f>
        <v>746593.04</v>
      </c>
    </row>
    <row r="76" spans="1:26" x14ac:dyDescent="0.2">
      <c r="A76" s="5" t="s">
        <v>1437</v>
      </c>
      <c r="B76" t="s">
        <v>1438</v>
      </c>
      <c r="C76">
        <v>2021</v>
      </c>
      <c r="D76" s="5" t="s">
        <v>1721</v>
      </c>
      <c r="E76" s="5" t="s">
        <v>1721</v>
      </c>
      <c r="F76" s="5" t="s">
        <v>1721</v>
      </c>
      <c r="G76" s="5" t="s">
        <v>1721</v>
      </c>
      <c r="H76" s="5" t="s">
        <v>1721</v>
      </c>
      <c r="I76" s="5" t="s">
        <v>1721</v>
      </c>
      <c r="J76" t="s">
        <v>300</v>
      </c>
      <c r="K76" s="5" t="s">
        <v>1721</v>
      </c>
      <c r="L76" s="5" t="s">
        <v>1721</v>
      </c>
      <c r="M76" s="9">
        <v>22</v>
      </c>
      <c r="N76" s="6">
        <f>IFERROR(Table2[[#This Row],[Darbuotojų skaičius]]/M75-1,0)</f>
        <v>4.7619047619047672E-2</v>
      </c>
      <c r="O76" s="9">
        <v>2355</v>
      </c>
      <c r="P76" s="6">
        <v>0.04</v>
      </c>
      <c r="Q76" s="9">
        <f>Table2[[#This Row],[Atlyginimo vidurkis]]*Table2[[#This Row],[Darbuotojų skaičius]]*12</f>
        <v>621720</v>
      </c>
      <c r="R76" s="49">
        <f>IFERROR(Table2[[#This Row],[DU sąnaudos]]/Q75-1,0)</f>
        <v>8.9727410398788399E-2</v>
      </c>
      <c r="S76" s="9">
        <v>1374583</v>
      </c>
      <c r="T76" s="6">
        <v>0.1</v>
      </c>
      <c r="U76" s="9">
        <f>IF(Table2[[#This Row],[DU sąnaudos]]=0,0,Table2[[#This Row],[Apyvarta]]-Table2[[#This Row],[DU sąnaudos]]-Table2[[#This Row],[Pelnas]])</f>
        <v>749439</v>
      </c>
      <c r="V76" s="49">
        <f>IFERROR(Table2[[#This Row],[Ne-atlyginimų sąnaudos]]/U75-1,0)</f>
        <v>2.2132059525210579E-3</v>
      </c>
      <c r="W76" s="9">
        <v>3424</v>
      </c>
      <c r="X76" s="6">
        <v>1.05</v>
      </c>
      <c r="Y76" s="8">
        <f>Table2[[#This Row],[DU sąnaudos]]*0.43</f>
        <v>267339.59999999998</v>
      </c>
      <c r="Z76" s="8">
        <f>Table2[[#This Row],[Apyvarta]]-Table2[[#This Row],[Ne-atlyginimų sąnaudos]]+Table2[[#This Row],[Fiks ir pelno mokestis]]</f>
        <v>892483.6</v>
      </c>
    </row>
    <row r="77" spans="1:26" x14ac:dyDescent="0.2">
      <c r="A77" s="5" t="s">
        <v>1437</v>
      </c>
      <c r="B77" t="s">
        <v>1438</v>
      </c>
      <c r="C77">
        <v>2022</v>
      </c>
      <c r="D77" s="5" t="s">
        <v>1721</v>
      </c>
      <c r="E77" s="5" t="s">
        <v>1721</v>
      </c>
      <c r="F77" s="5" t="s">
        <v>1721</v>
      </c>
      <c r="G77" s="5" t="s">
        <v>1721</v>
      </c>
      <c r="H77" s="5" t="s">
        <v>1721</v>
      </c>
      <c r="I77" s="5" t="s">
        <v>1721</v>
      </c>
      <c r="J77" t="s">
        <v>300</v>
      </c>
      <c r="K77" s="5" t="s">
        <v>1721</v>
      </c>
      <c r="L77" s="5" t="s">
        <v>1721</v>
      </c>
      <c r="M77" s="9">
        <v>23</v>
      </c>
      <c r="N77" s="6">
        <f>IFERROR(Table2[[#This Row],[Darbuotojų skaičius]]/M76-1,0)</f>
        <v>4.5454545454545414E-2</v>
      </c>
      <c r="O77" s="9">
        <v>2689</v>
      </c>
      <c r="P77" s="6">
        <v>0.14000000000000001</v>
      </c>
      <c r="Q77" s="9">
        <f>Table2[[#This Row],[Atlyginimo vidurkis]]*Table2[[#This Row],[Darbuotojų skaičius]]*12</f>
        <v>742164</v>
      </c>
      <c r="R77" s="49">
        <f>IFERROR(Table2[[#This Row],[DU sąnaudos]]/Q76-1,0)</f>
        <v>0.19372707971434089</v>
      </c>
      <c r="S77" s="9">
        <v>1467780</v>
      </c>
      <c r="T77" s="6">
        <v>7.0000000000000007E-2</v>
      </c>
      <c r="U77" s="9">
        <f>IF(Table2[[#This Row],[DU sąnaudos]]=0,0,Table2[[#This Row],[Apyvarta]]-Table2[[#This Row],[DU sąnaudos]]-Table2[[#This Row],[Pelnas]])</f>
        <v>725193</v>
      </c>
      <c r="V77" s="49">
        <f>IFERROR(Table2[[#This Row],[Ne-atlyginimų sąnaudos]]/U76-1,0)</f>
        <v>-3.235219944518497E-2</v>
      </c>
      <c r="W77" s="9">
        <v>423</v>
      </c>
      <c r="X77" s="6">
        <v>-0.88</v>
      </c>
      <c r="Y77" s="8">
        <f>Table2[[#This Row],[DU sąnaudos]]*0.43</f>
        <v>319130.52</v>
      </c>
      <c r="Z77" s="8">
        <f>Table2[[#This Row],[Apyvarta]]-Table2[[#This Row],[Ne-atlyginimų sąnaudos]]+Table2[[#This Row],[Fiks ir pelno mokestis]]</f>
        <v>1061717.52</v>
      </c>
    </row>
    <row r="78" spans="1:26" x14ac:dyDescent="0.2">
      <c r="A78" s="5" t="s">
        <v>1437</v>
      </c>
      <c r="B78" t="s">
        <v>1438</v>
      </c>
      <c r="C78">
        <v>2023</v>
      </c>
      <c r="D78" s="5" t="s">
        <v>1721</v>
      </c>
      <c r="E78" s="5" t="s">
        <v>1721</v>
      </c>
      <c r="F78" s="5" t="s">
        <v>1721</v>
      </c>
      <c r="G78" s="5" t="s">
        <v>1721</v>
      </c>
      <c r="H78" s="5" t="s">
        <v>1721</v>
      </c>
      <c r="I78" s="5" t="s">
        <v>1721</v>
      </c>
      <c r="J78" t="s">
        <v>300</v>
      </c>
      <c r="K78" s="5" t="s">
        <v>1721</v>
      </c>
      <c r="L78" s="5" t="s">
        <v>1721</v>
      </c>
      <c r="M78" s="9">
        <v>18</v>
      </c>
      <c r="N78" s="6">
        <f>IFERROR(Table2[[#This Row],[Darbuotojų skaičius]]/M77-1,0)</f>
        <v>-0.21739130434782605</v>
      </c>
      <c r="O78" s="9">
        <v>2843</v>
      </c>
      <c r="P78" s="6">
        <v>0.06</v>
      </c>
      <c r="Q78" s="9">
        <f>Table2[[#This Row],[Atlyginimo vidurkis]]*Table2[[#This Row],[Darbuotojų skaičius]]*12</f>
        <v>614088</v>
      </c>
      <c r="R78" s="49">
        <f>IFERROR(Table2[[#This Row],[DU sąnaudos]]/Q77-1,0)</f>
        <v>-0.17257102203825569</v>
      </c>
      <c r="S78" s="9">
        <v>1658335</v>
      </c>
      <c r="T78" s="6">
        <v>0.13</v>
      </c>
      <c r="U78" s="9">
        <f>IF(Table2[[#This Row],[DU sąnaudos]]=0,0,Table2[[#This Row],[Apyvarta]]-Table2[[#This Row],[DU sąnaudos]]-Table2[[#This Row],[Pelnas]])</f>
        <v>1042758</v>
      </c>
      <c r="V78" s="49">
        <f>IFERROR(Table2[[#This Row],[Ne-atlyginimų sąnaudos]]/U77-1,0)</f>
        <v>0.43790411655931583</v>
      </c>
      <c r="W78" s="9">
        <v>1489</v>
      </c>
      <c r="X78" s="6">
        <v>2.52</v>
      </c>
      <c r="Y78" s="8">
        <f>Table2[[#This Row],[DU sąnaudos]]*0.43</f>
        <v>264057.83999999997</v>
      </c>
      <c r="Z78" s="8">
        <f>Table2[[#This Row],[Apyvarta]]-Table2[[#This Row],[Ne-atlyginimų sąnaudos]]+Table2[[#This Row],[Fiks ir pelno mokestis]]</f>
        <v>879634.84</v>
      </c>
    </row>
    <row r="79" spans="1:26" x14ac:dyDescent="0.2">
      <c r="A79" s="5" t="s">
        <v>1437</v>
      </c>
      <c r="B79" t="s">
        <v>1438</v>
      </c>
      <c r="C79">
        <v>2024</v>
      </c>
      <c r="D79" s="5" t="s">
        <v>1721</v>
      </c>
      <c r="E79" s="5" t="s">
        <v>1721</v>
      </c>
      <c r="F79" s="5" t="s">
        <v>1721</v>
      </c>
      <c r="G79" s="5" t="s">
        <v>1721</v>
      </c>
      <c r="H79" s="5" t="s">
        <v>1721</v>
      </c>
      <c r="I79" s="5" t="s">
        <v>1721</v>
      </c>
      <c r="J79" t="s">
        <v>300</v>
      </c>
      <c r="K79" s="5" t="s">
        <v>1721</v>
      </c>
      <c r="L79" s="5" t="s">
        <v>1721</v>
      </c>
      <c r="M79" s="9">
        <v>19</v>
      </c>
      <c r="N79" s="6">
        <f>IFERROR(Table2[[#This Row],[Darbuotojų skaičius]]/M78-1,0)</f>
        <v>5.555555555555558E-2</v>
      </c>
      <c r="O79" s="9">
        <v>2886</v>
      </c>
      <c r="P79" s="6">
        <v>0.02</v>
      </c>
      <c r="Q79" s="9">
        <f>Table2[[#This Row],[Atlyginimo vidurkis]]*Table2[[#This Row],[Darbuotojų skaičius]]*12</f>
        <v>658008</v>
      </c>
      <c r="R79" s="49">
        <f>IFERROR(Table2[[#This Row],[DU sąnaudos]]/Q78-1,0)</f>
        <v>7.152069410247397E-2</v>
      </c>
      <c r="S79" s="9">
        <v>1526769</v>
      </c>
      <c r="T79" s="6">
        <v>-0.08</v>
      </c>
      <c r="U79" s="9">
        <f>IF(Table2[[#This Row],[DU sąnaudos]]=0,0,Table2[[#This Row],[Apyvarta]]-Table2[[#This Row],[DU sąnaudos]]-Table2[[#This Row],[Pelnas]])</f>
        <v>916541</v>
      </c>
      <c r="V79" s="49">
        <f>IFERROR(Table2[[#This Row],[Ne-atlyginimų sąnaudos]]/U78-1,0)</f>
        <v>-0.12104150723370144</v>
      </c>
      <c r="W79" s="9">
        <v>-47780</v>
      </c>
      <c r="X79" s="6">
        <v>-33.090000000000003</v>
      </c>
      <c r="Y79" s="8">
        <f>Table2[[#This Row],[DU sąnaudos]]*0.43</f>
        <v>282943.44</v>
      </c>
      <c r="Z79" s="8">
        <f>Table2[[#This Row],[Apyvarta]]-Table2[[#This Row],[Ne-atlyginimų sąnaudos]]+Table2[[#This Row],[Fiks ir pelno mokestis]]</f>
        <v>893171.44</v>
      </c>
    </row>
    <row r="80" spans="1:26" x14ac:dyDescent="0.2">
      <c r="A80" s="5" t="s">
        <v>1439</v>
      </c>
      <c r="B80" t="s">
        <v>1440</v>
      </c>
      <c r="C80">
        <v>2019</v>
      </c>
      <c r="D80" s="5" t="s">
        <v>1721</v>
      </c>
      <c r="E80" s="5" t="s">
        <v>1721</v>
      </c>
      <c r="F80" s="5" t="s">
        <v>1721</v>
      </c>
      <c r="G80" s="5" t="s">
        <v>1721</v>
      </c>
      <c r="H80" s="5" t="s">
        <v>1721</v>
      </c>
      <c r="I80" s="5" t="s">
        <v>1721</v>
      </c>
      <c r="J80" t="s">
        <v>300</v>
      </c>
      <c r="K80" s="5" t="s">
        <v>1721</v>
      </c>
      <c r="L80" s="5" t="s">
        <v>1721</v>
      </c>
      <c r="M80" s="9">
        <v>7</v>
      </c>
      <c r="N80" s="6">
        <v>0</v>
      </c>
      <c r="O80" s="9">
        <v>1744</v>
      </c>
      <c r="P80" s="6">
        <v>0</v>
      </c>
      <c r="Q80" s="9">
        <f>Table2[[#This Row],[Atlyginimo vidurkis]]*Table2[[#This Row],[Darbuotojų skaičius]]*12</f>
        <v>146496</v>
      </c>
      <c r="R80" s="49">
        <v>0</v>
      </c>
      <c r="S80" s="9">
        <v>231606</v>
      </c>
      <c r="T80" s="6">
        <v>0</v>
      </c>
      <c r="U80" s="9">
        <f>IF(Table2[[#This Row],[DU sąnaudos]]=0,0,Table2[[#This Row],[Apyvarta]]-Table2[[#This Row],[DU sąnaudos]]-Table2[[#This Row],[Pelnas]])</f>
        <v>142244</v>
      </c>
      <c r="V80" s="49">
        <v>0</v>
      </c>
      <c r="W80" s="9">
        <v>-57134</v>
      </c>
      <c r="X80" s="6">
        <v>0</v>
      </c>
      <c r="Y80" s="8">
        <f>Table2[[#This Row],[DU sąnaudos]]*0.43</f>
        <v>62993.279999999999</v>
      </c>
      <c r="Z80" s="8">
        <f>Table2[[#This Row],[Apyvarta]]-Table2[[#This Row],[Ne-atlyginimų sąnaudos]]+Table2[[#This Row],[Fiks ir pelno mokestis]]</f>
        <v>152355.28</v>
      </c>
    </row>
    <row r="81" spans="1:26" x14ac:dyDescent="0.2">
      <c r="A81" s="5" t="s">
        <v>1439</v>
      </c>
      <c r="B81" t="s">
        <v>1440</v>
      </c>
      <c r="C81">
        <v>2020</v>
      </c>
      <c r="D81" s="5" t="s">
        <v>1721</v>
      </c>
      <c r="E81" s="5" t="s">
        <v>1721</v>
      </c>
      <c r="F81" s="5" t="s">
        <v>1721</v>
      </c>
      <c r="G81" s="5" t="s">
        <v>1721</v>
      </c>
      <c r="H81" s="5" t="s">
        <v>1721</v>
      </c>
      <c r="I81" s="5" t="s">
        <v>1721</v>
      </c>
      <c r="J81" t="s">
        <v>300</v>
      </c>
      <c r="K81" s="5" t="s">
        <v>1721</v>
      </c>
      <c r="L81" s="5" t="s">
        <v>1721</v>
      </c>
      <c r="M81" s="9">
        <v>6</v>
      </c>
      <c r="N81" s="6">
        <f>IFERROR(Table2[[#This Row],[Darbuotojų skaičius]]/M80-1,0)</f>
        <v>-0.1428571428571429</v>
      </c>
      <c r="O81" s="9">
        <v>1741</v>
      </c>
      <c r="P81" s="6">
        <v>0</v>
      </c>
      <c r="Q81" s="9">
        <f>Table2[[#This Row],[Atlyginimo vidurkis]]*Table2[[#This Row],[Darbuotojų skaičius]]*12</f>
        <v>125352</v>
      </c>
      <c r="R81" s="49">
        <f>IFERROR(Table2[[#This Row],[DU sąnaudos]]/Q80-1,0)</f>
        <v>-0.14433158584534733</v>
      </c>
      <c r="S81" s="9">
        <v>429939</v>
      </c>
      <c r="T81" s="6">
        <v>0.86</v>
      </c>
      <c r="U81" s="9">
        <f>IF(Table2[[#This Row],[DU sąnaudos]]=0,0,Table2[[#This Row],[Apyvarta]]-Table2[[#This Row],[DU sąnaudos]]-Table2[[#This Row],[Pelnas]])</f>
        <v>200151</v>
      </c>
      <c r="V81" s="49">
        <f>IFERROR(Table2[[#This Row],[Ne-atlyginimų sąnaudos]]/U80-1,0)</f>
        <v>0.40709625713562603</v>
      </c>
      <c r="W81" s="9">
        <v>104436</v>
      </c>
      <c r="X81" s="6">
        <v>2.83</v>
      </c>
      <c r="Y81" s="8">
        <f>Table2[[#This Row],[DU sąnaudos]]*0.43</f>
        <v>53901.36</v>
      </c>
      <c r="Z81" s="8">
        <f>Table2[[#This Row],[Apyvarta]]-Table2[[#This Row],[Ne-atlyginimų sąnaudos]]+Table2[[#This Row],[Fiks ir pelno mokestis]]</f>
        <v>283689.36</v>
      </c>
    </row>
    <row r="82" spans="1:26" x14ac:dyDescent="0.2">
      <c r="A82" s="5" t="s">
        <v>1439</v>
      </c>
      <c r="B82" t="s">
        <v>1440</v>
      </c>
      <c r="C82">
        <v>2021</v>
      </c>
      <c r="D82" s="5" t="s">
        <v>1721</v>
      </c>
      <c r="E82" s="5" t="s">
        <v>1721</v>
      </c>
      <c r="F82" s="5" t="s">
        <v>1721</v>
      </c>
      <c r="G82" s="5" t="s">
        <v>1721</v>
      </c>
      <c r="H82" s="5" t="s">
        <v>1721</v>
      </c>
      <c r="I82" s="5" t="s">
        <v>1721</v>
      </c>
      <c r="J82" t="s">
        <v>300</v>
      </c>
      <c r="K82" s="5" t="s">
        <v>1721</v>
      </c>
      <c r="L82" s="5" t="s">
        <v>1721</v>
      </c>
      <c r="M82" s="9">
        <v>8</v>
      </c>
      <c r="N82" s="6">
        <f>IFERROR(Table2[[#This Row],[Darbuotojų skaičius]]/M81-1,0)</f>
        <v>0.33333333333333326</v>
      </c>
      <c r="O82" s="9">
        <v>2459</v>
      </c>
      <c r="P82" s="6">
        <v>0.41</v>
      </c>
      <c r="Q82" s="9">
        <f>Table2[[#This Row],[Atlyginimo vidurkis]]*Table2[[#This Row],[Darbuotojų skaičius]]*12</f>
        <v>236064</v>
      </c>
      <c r="R82" s="49">
        <f>IFERROR(Table2[[#This Row],[DU sąnaudos]]/Q81-1,0)</f>
        <v>0.88320888378326634</v>
      </c>
      <c r="S82" s="9">
        <v>620813</v>
      </c>
      <c r="T82" s="6">
        <v>0.44</v>
      </c>
      <c r="U82" s="9">
        <f>IF(Table2[[#This Row],[DU sąnaudos]]=0,0,Table2[[#This Row],[Apyvarta]]-Table2[[#This Row],[DU sąnaudos]]-Table2[[#This Row],[Pelnas]])</f>
        <v>287487</v>
      </c>
      <c r="V82" s="49">
        <f>IFERROR(Table2[[#This Row],[Ne-atlyginimų sąnaudos]]/U81-1,0)</f>
        <v>0.4363505553307252</v>
      </c>
      <c r="W82" s="9">
        <v>97262</v>
      </c>
      <c r="X82" s="6">
        <v>-7.0000000000000007E-2</v>
      </c>
      <c r="Y82" s="8">
        <f>Table2[[#This Row],[DU sąnaudos]]*0.43</f>
        <v>101507.52</v>
      </c>
      <c r="Z82" s="8">
        <f>Table2[[#This Row],[Apyvarta]]-Table2[[#This Row],[Ne-atlyginimų sąnaudos]]+Table2[[#This Row],[Fiks ir pelno mokestis]]</f>
        <v>434833.52</v>
      </c>
    </row>
    <row r="83" spans="1:26" x14ac:dyDescent="0.2">
      <c r="A83" s="5" t="s">
        <v>1439</v>
      </c>
      <c r="B83" t="s">
        <v>1440</v>
      </c>
      <c r="C83">
        <v>2022</v>
      </c>
      <c r="D83" s="5" t="s">
        <v>1721</v>
      </c>
      <c r="E83" s="5" t="s">
        <v>1721</v>
      </c>
      <c r="F83" s="5" t="s">
        <v>1721</v>
      </c>
      <c r="G83" s="5" t="s">
        <v>1721</v>
      </c>
      <c r="H83" s="5" t="s">
        <v>1721</v>
      </c>
      <c r="I83" s="5" t="s">
        <v>1721</v>
      </c>
      <c r="J83" t="s">
        <v>300</v>
      </c>
      <c r="K83" s="5" t="s">
        <v>1721</v>
      </c>
      <c r="L83" s="5" t="s">
        <v>1721</v>
      </c>
      <c r="M83" s="9">
        <v>9</v>
      </c>
      <c r="N83" s="6">
        <f>IFERROR(Table2[[#This Row],[Darbuotojų skaičius]]/M82-1,0)</f>
        <v>0.125</v>
      </c>
      <c r="O83" s="9">
        <v>2996</v>
      </c>
      <c r="P83" s="6">
        <v>0.22</v>
      </c>
      <c r="Q83" s="9">
        <f>Table2[[#This Row],[Atlyginimo vidurkis]]*Table2[[#This Row],[Darbuotojų skaičius]]*12</f>
        <v>323568</v>
      </c>
      <c r="R83" s="49">
        <f>IFERROR(Table2[[#This Row],[DU sąnaudos]]/Q82-1,0)</f>
        <v>0.37067913786091911</v>
      </c>
      <c r="S83" s="9">
        <v>922751</v>
      </c>
      <c r="T83" s="6">
        <v>0.49</v>
      </c>
      <c r="U83" s="9">
        <f>IF(Table2[[#This Row],[DU sąnaudos]]=0,0,Table2[[#This Row],[Apyvarta]]-Table2[[#This Row],[DU sąnaudos]]-Table2[[#This Row],[Pelnas]])</f>
        <v>621784</v>
      </c>
      <c r="V83" s="49">
        <f>IFERROR(Table2[[#This Row],[Ne-atlyginimų sąnaudos]]/U82-1,0)</f>
        <v>1.162824753814955</v>
      </c>
      <c r="W83" s="9">
        <v>-22601</v>
      </c>
      <c r="X83" s="6">
        <v>-1.23</v>
      </c>
      <c r="Y83" s="8">
        <f>Table2[[#This Row],[DU sąnaudos]]*0.43</f>
        <v>139134.24</v>
      </c>
      <c r="Z83" s="8">
        <f>Table2[[#This Row],[Apyvarta]]-Table2[[#This Row],[Ne-atlyginimų sąnaudos]]+Table2[[#This Row],[Fiks ir pelno mokestis]]</f>
        <v>440101.24</v>
      </c>
    </row>
    <row r="84" spans="1:26" x14ac:dyDescent="0.2">
      <c r="A84" s="5" t="s">
        <v>1439</v>
      </c>
      <c r="B84" t="s">
        <v>1440</v>
      </c>
      <c r="C84">
        <v>2023</v>
      </c>
      <c r="D84" s="5" t="s">
        <v>1721</v>
      </c>
      <c r="E84" s="5" t="s">
        <v>1721</v>
      </c>
      <c r="F84" s="5" t="s">
        <v>1721</v>
      </c>
      <c r="G84" s="5" t="s">
        <v>1721</v>
      </c>
      <c r="H84" s="5" t="s">
        <v>1721</v>
      </c>
      <c r="I84" s="5" t="s">
        <v>1721</v>
      </c>
      <c r="J84" t="s">
        <v>300</v>
      </c>
      <c r="K84" s="5" t="s">
        <v>1721</v>
      </c>
      <c r="L84" s="5" t="s">
        <v>1721</v>
      </c>
      <c r="M84" s="9">
        <v>11</v>
      </c>
      <c r="N84" s="6">
        <f>IFERROR(Table2[[#This Row],[Darbuotojų skaičius]]/M83-1,0)</f>
        <v>0.22222222222222232</v>
      </c>
      <c r="O84" s="9">
        <v>3036</v>
      </c>
      <c r="P84" s="6">
        <v>0.01</v>
      </c>
      <c r="Q84" s="9">
        <f>Table2[[#This Row],[Atlyginimo vidurkis]]*Table2[[#This Row],[Darbuotojų skaičius]]*12</f>
        <v>400752</v>
      </c>
      <c r="R84" s="49">
        <f>IFERROR(Table2[[#This Row],[DU sąnaudos]]/Q83-1,0)</f>
        <v>0.23854027592345339</v>
      </c>
      <c r="S84" s="9">
        <v>1018276</v>
      </c>
      <c r="T84" s="6">
        <v>0.1</v>
      </c>
      <c r="U84" s="9">
        <f>IF(Table2[[#This Row],[DU sąnaudos]]=0,0,Table2[[#This Row],[Apyvarta]]-Table2[[#This Row],[DU sąnaudos]]-Table2[[#This Row],[Pelnas]])</f>
        <v>554131</v>
      </c>
      <c r="V84" s="49">
        <f>IFERROR(Table2[[#This Row],[Ne-atlyginimų sąnaudos]]/U83-1,0)</f>
        <v>-0.1088046652856941</v>
      </c>
      <c r="W84" s="9">
        <v>63393</v>
      </c>
      <c r="X84" s="6">
        <v>3.8</v>
      </c>
      <c r="Y84" s="8">
        <f>Table2[[#This Row],[DU sąnaudos]]*0.43</f>
        <v>172323.36</v>
      </c>
      <c r="Z84" s="8">
        <f>Table2[[#This Row],[Apyvarta]]-Table2[[#This Row],[Ne-atlyginimų sąnaudos]]+Table2[[#This Row],[Fiks ir pelno mokestis]]</f>
        <v>636468.36</v>
      </c>
    </row>
    <row r="85" spans="1:26" x14ac:dyDescent="0.2">
      <c r="A85" s="5" t="s">
        <v>1439</v>
      </c>
      <c r="B85" t="s">
        <v>1440</v>
      </c>
      <c r="C85">
        <v>2024</v>
      </c>
      <c r="D85" s="5" t="s">
        <v>1721</v>
      </c>
      <c r="E85" s="5" t="s">
        <v>1721</v>
      </c>
      <c r="F85" s="5" t="s">
        <v>1721</v>
      </c>
      <c r="G85" s="5" t="s">
        <v>1721</v>
      </c>
      <c r="H85" s="5" t="s">
        <v>1721</v>
      </c>
      <c r="I85" s="5" t="s">
        <v>1721</v>
      </c>
      <c r="J85" t="s">
        <v>300</v>
      </c>
      <c r="K85" s="5" t="s">
        <v>1721</v>
      </c>
      <c r="L85" s="5" t="s">
        <v>1721</v>
      </c>
      <c r="M85" s="9">
        <v>11</v>
      </c>
      <c r="N85" s="6">
        <f>IFERROR(Table2[[#This Row],[Darbuotojų skaičius]]/M84-1,0)</f>
        <v>0</v>
      </c>
      <c r="O85" s="9">
        <v>3512</v>
      </c>
      <c r="P85" s="6">
        <v>0.16</v>
      </c>
      <c r="Q85" s="9">
        <f>Table2[[#This Row],[Atlyginimo vidurkis]]*Table2[[#This Row],[Darbuotojų skaičius]]*12</f>
        <v>463584</v>
      </c>
      <c r="R85" s="49">
        <f>IFERROR(Table2[[#This Row],[DU sąnaudos]]/Q84-1,0)</f>
        <v>0.15678524374176539</v>
      </c>
      <c r="S85" s="9">
        <v>1566507</v>
      </c>
      <c r="T85" s="6">
        <v>0.54</v>
      </c>
      <c r="U85" s="9">
        <f>IF(Table2[[#This Row],[DU sąnaudos]]=0,0,Table2[[#This Row],[Apyvarta]]-Table2[[#This Row],[DU sąnaudos]]-Table2[[#This Row],[Pelnas]])</f>
        <v>999078</v>
      </c>
      <c r="V85" s="49">
        <f>IFERROR(Table2[[#This Row],[Ne-atlyginimų sąnaudos]]/U84-1,0)</f>
        <v>0.8029635591583939</v>
      </c>
      <c r="W85" s="9">
        <v>103845</v>
      </c>
      <c r="X85" s="6">
        <v>0.64</v>
      </c>
      <c r="Y85" s="8">
        <f>Table2[[#This Row],[DU sąnaudos]]*0.43</f>
        <v>199341.12</v>
      </c>
      <c r="Z85" s="8">
        <f>Table2[[#This Row],[Apyvarta]]-Table2[[#This Row],[Ne-atlyginimų sąnaudos]]+Table2[[#This Row],[Fiks ir pelno mokestis]]</f>
        <v>766770.12</v>
      </c>
    </row>
    <row r="86" spans="1:26" hidden="1" x14ac:dyDescent="0.2">
      <c r="A86" s="5" t="s">
        <v>1106</v>
      </c>
      <c r="B86" s="5" t="s">
        <v>1441</v>
      </c>
      <c r="C86" s="5">
        <v>2019</v>
      </c>
      <c r="D86" s="5" t="s">
        <v>1721</v>
      </c>
      <c r="E86" s="5" t="s">
        <v>1721</v>
      </c>
      <c r="F86" s="5" t="s">
        <v>1721</v>
      </c>
      <c r="G86" s="5" t="s">
        <v>73</v>
      </c>
      <c r="H86" s="5" t="s">
        <v>1721</v>
      </c>
      <c r="I86" s="5" t="s">
        <v>1721</v>
      </c>
      <c r="J86" s="5" t="s">
        <v>1721</v>
      </c>
      <c r="K86" s="5" t="s">
        <v>1721</v>
      </c>
      <c r="L86" s="5" t="s">
        <v>1721</v>
      </c>
      <c r="M86" s="9">
        <v>28</v>
      </c>
      <c r="N86" s="6">
        <v>0</v>
      </c>
      <c r="O86" s="9">
        <v>2172</v>
      </c>
      <c r="P86" s="6">
        <v>0</v>
      </c>
      <c r="Q86" s="9">
        <f>Table2[[#This Row],[Atlyginimo vidurkis]]*Table2[[#This Row],[Darbuotojų skaičius]]*12</f>
        <v>729792</v>
      </c>
      <c r="R86" s="49">
        <v>0</v>
      </c>
      <c r="S86" s="9">
        <v>12323796</v>
      </c>
      <c r="T86" s="6">
        <v>0</v>
      </c>
      <c r="U86" s="9">
        <f>IF(Table2[[#This Row],[DU sąnaudos]]=0,0,Table2[[#This Row],[Apyvarta]]-Table2[[#This Row],[DU sąnaudos]]-Table2[[#This Row],[Pelnas]])</f>
        <v>11322500</v>
      </c>
      <c r="V86" s="49">
        <v>0</v>
      </c>
      <c r="W86" s="9">
        <v>271504</v>
      </c>
      <c r="X86" s="6">
        <v>0</v>
      </c>
      <c r="Y86" s="8">
        <f>Table2[[#This Row],[DU sąnaudos]]*0.43</f>
        <v>313810.56</v>
      </c>
      <c r="Z86" s="8">
        <f>Table2[[#This Row],[Apyvarta]]-Table2[[#This Row],[Ne-atlyginimų sąnaudos]]+Table2[[#This Row],[Fiks ir pelno mokestis]]</f>
        <v>1315106.56</v>
      </c>
    </row>
    <row r="87" spans="1:26" hidden="1" x14ac:dyDescent="0.2">
      <c r="A87" s="5" t="s">
        <v>1106</v>
      </c>
      <c r="B87" s="5" t="s">
        <v>1441</v>
      </c>
      <c r="C87" s="5">
        <v>2020</v>
      </c>
      <c r="D87" s="5" t="s">
        <v>1721</v>
      </c>
      <c r="E87" s="5" t="s">
        <v>1721</v>
      </c>
      <c r="F87" s="5" t="s">
        <v>1721</v>
      </c>
      <c r="G87" s="5" t="s">
        <v>73</v>
      </c>
      <c r="H87" s="5" t="s">
        <v>1721</v>
      </c>
      <c r="I87" s="5" t="s">
        <v>1721</v>
      </c>
      <c r="J87" s="5" t="s">
        <v>1721</v>
      </c>
      <c r="K87" s="5" t="s">
        <v>1721</v>
      </c>
      <c r="L87" s="5" t="s">
        <v>1721</v>
      </c>
      <c r="M87" s="9">
        <v>27</v>
      </c>
      <c r="N87" s="6">
        <f>IFERROR(Table2[[#This Row],[Darbuotojų skaičius]]/M86-1,0)</f>
        <v>-3.5714285714285698E-2</v>
      </c>
      <c r="O87" s="9">
        <v>2392</v>
      </c>
      <c r="P87" s="6">
        <v>0.1012891344383058</v>
      </c>
      <c r="Q87" s="9">
        <f>Table2[[#This Row],[Atlyginimo vidurkis]]*Table2[[#This Row],[Darbuotojų skaičius]]*12</f>
        <v>775008</v>
      </c>
      <c r="R87" s="49">
        <f>IFERROR(Table2[[#This Row],[DU sąnaudos]]/Q86-1,0)</f>
        <v>6.1957379636937704E-2</v>
      </c>
      <c r="S87" s="9">
        <v>12436858</v>
      </c>
      <c r="T87" s="6">
        <v>9.1742836379309356E-3</v>
      </c>
      <c r="U87" s="9">
        <f>IF(Table2[[#This Row],[DU sąnaudos]]=0,0,Table2[[#This Row],[Apyvarta]]-Table2[[#This Row],[DU sąnaudos]]-Table2[[#This Row],[Pelnas]])</f>
        <v>11411693</v>
      </c>
      <c r="V87" s="49">
        <f>IFERROR(Table2[[#This Row],[Ne-atlyginimų sąnaudos]]/U86-1,0)</f>
        <v>7.8775005519982066E-3</v>
      </c>
      <c r="W87" s="9">
        <v>250157</v>
      </c>
      <c r="X87" s="6">
        <v>-7.862499263362599E-2</v>
      </c>
      <c r="Y87" s="8">
        <f>Table2[[#This Row],[DU sąnaudos]]*0.43</f>
        <v>333253.44</v>
      </c>
      <c r="Z87" s="8">
        <f>Table2[[#This Row],[Apyvarta]]-Table2[[#This Row],[Ne-atlyginimų sąnaudos]]+Table2[[#This Row],[Fiks ir pelno mokestis]]</f>
        <v>1358418.44</v>
      </c>
    </row>
    <row r="88" spans="1:26" hidden="1" x14ac:dyDescent="0.2">
      <c r="A88" s="5" t="s">
        <v>1106</v>
      </c>
      <c r="B88" s="5" t="s">
        <v>1441</v>
      </c>
      <c r="C88" s="5">
        <v>2021</v>
      </c>
      <c r="D88" s="5" t="s">
        <v>1721</v>
      </c>
      <c r="E88" s="5" t="s">
        <v>1721</v>
      </c>
      <c r="F88" s="5" t="s">
        <v>1721</v>
      </c>
      <c r="G88" s="5" t="s">
        <v>73</v>
      </c>
      <c r="H88" s="5" t="s">
        <v>1721</v>
      </c>
      <c r="I88" s="5" t="s">
        <v>1721</v>
      </c>
      <c r="J88" s="5" t="s">
        <v>1721</v>
      </c>
      <c r="K88" s="5" t="s">
        <v>1721</v>
      </c>
      <c r="L88" s="5" t="s">
        <v>1721</v>
      </c>
      <c r="M88" s="9">
        <v>32</v>
      </c>
      <c r="N88" s="6">
        <f>IFERROR(Table2[[#This Row],[Darbuotojų skaičius]]/M87-1,0)</f>
        <v>0.18518518518518512</v>
      </c>
      <c r="O88" s="9">
        <v>2540</v>
      </c>
      <c r="P88" s="6">
        <v>6.1872909698996732E-2</v>
      </c>
      <c r="Q88" s="9">
        <f>Table2[[#This Row],[Atlyginimo vidurkis]]*Table2[[#This Row],[Darbuotojų skaičius]]*12</f>
        <v>975360</v>
      </c>
      <c r="R88" s="49">
        <f>IFERROR(Table2[[#This Row],[DU sąnaudos]]/Q87-1,0)</f>
        <v>0.2585160411247367</v>
      </c>
      <c r="S88" s="9">
        <v>16776261</v>
      </c>
      <c r="T88" s="6">
        <v>0.34891473393038658</v>
      </c>
      <c r="U88" s="9">
        <f>IF(Table2[[#This Row],[DU sąnaudos]]=0,0,Table2[[#This Row],[Apyvarta]]-Table2[[#This Row],[DU sąnaudos]]-Table2[[#This Row],[Pelnas]])</f>
        <v>15384080</v>
      </c>
      <c r="V88" s="49">
        <f>IFERROR(Table2[[#This Row],[Ne-atlyginimų sąnaudos]]/U87-1,0)</f>
        <v>0.34809795531653376</v>
      </c>
      <c r="W88" s="9">
        <v>416821</v>
      </c>
      <c r="X88" s="6">
        <v>0.66623760278545063</v>
      </c>
      <c r="Y88" s="8">
        <f>Table2[[#This Row],[DU sąnaudos]]*0.43</f>
        <v>419404.79999999999</v>
      </c>
      <c r="Z88" s="8">
        <f>Table2[[#This Row],[Apyvarta]]-Table2[[#This Row],[Ne-atlyginimų sąnaudos]]+Table2[[#This Row],[Fiks ir pelno mokestis]]</f>
        <v>1811585.8</v>
      </c>
    </row>
    <row r="89" spans="1:26" hidden="1" x14ac:dyDescent="0.2">
      <c r="A89" s="5" t="s">
        <v>1106</v>
      </c>
      <c r="B89" s="5" t="s">
        <v>1441</v>
      </c>
      <c r="C89" s="5">
        <v>2022</v>
      </c>
      <c r="D89" s="5" t="s">
        <v>1721</v>
      </c>
      <c r="E89" s="5" t="s">
        <v>1721</v>
      </c>
      <c r="F89" s="5" t="s">
        <v>1721</v>
      </c>
      <c r="G89" s="5" t="s">
        <v>73</v>
      </c>
      <c r="H89" s="5" t="s">
        <v>1721</v>
      </c>
      <c r="I89" s="5" t="s">
        <v>1721</v>
      </c>
      <c r="J89" s="5" t="s">
        <v>1721</v>
      </c>
      <c r="K89" s="5" t="s">
        <v>1721</v>
      </c>
      <c r="L89" s="5" t="s">
        <v>1721</v>
      </c>
      <c r="M89" s="9">
        <v>37</v>
      </c>
      <c r="N89" s="6">
        <f>IFERROR(Table2[[#This Row],[Darbuotojų skaičius]]/M88-1,0)</f>
        <v>0.15625</v>
      </c>
      <c r="O89" s="9">
        <v>2999</v>
      </c>
      <c r="P89" s="6">
        <v>0.18070866141732281</v>
      </c>
      <c r="Q89" s="9">
        <f>Table2[[#This Row],[Atlyginimo vidurkis]]*Table2[[#This Row],[Darbuotojų skaičius]]*12</f>
        <v>1331556</v>
      </c>
      <c r="R89" s="49">
        <f>IFERROR(Table2[[#This Row],[DU sąnaudos]]/Q88-1,0)</f>
        <v>0.36519438976377949</v>
      </c>
      <c r="S89" s="9">
        <v>21224833</v>
      </c>
      <c r="T89" s="6">
        <v>0.26517064797692402</v>
      </c>
      <c r="U89" s="9">
        <f>IF(Table2[[#This Row],[DU sąnaudos]]=0,0,Table2[[#This Row],[Apyvarta]]-Table2[[#This Row],[DU sąnaudos]]-Table2[[#This Row],[Pelnas]])</f>
        <v>19467482</v>
      </c>
      <c r="V89" s="49">
        <f>IFERROR(Table2[[#This Row],[Ne-atlyginimų sąnaudos]]/U88-1,0)</f>
        <v>0.2654303669767708</v>
      </c>
      <c r="W89" s="9">
        <v>425795</v>
      </c>
      <c r="X89" s="6">
        <v>2.1529625426741861E-2</v>
      </c>
      <c r="Y89" s="8">
        <f>Table2[[#This Row],[DU sąnaudos]]*0.43</f>
        <v>572569.07999999996</v>
      </c>
      <c r="Z89" s="8">
        <f>Table2[[#This Row],[Apyvarta]]-Table2[[#This Row],[Ne-atlyginimų sąnaudos]]+Table2[[#This Row],[Fiks ir pelno mokestis]]</f>
        <v>2329920.08</v>
      </c>
    </row>
    <row r="90" spans="1:26" hidden="1" x14ac:dyDescent="0.2">
      <c r="A90" s="5" t="s">
        <v>1106</v>
      </c>
      <c r="B90" s="5" t="s">
        <v>1441</v>
      </c>
      <c r="C90" s="5">
        <v>2023</v>
      </c>
      <c r="D90" s="5" t="s">
        <v>1721</v>
      </c>
      <c r="E90" s="5" t="s">
        <v>1721</v>
      </c>
      <c r="F90" s="5" t="s">
        <v>1721</v>
      </c>
      <c r="G90" s="5" t="s">
        <v>73</v>
      </c>
      <c r="H90" s="5" t="s">
        <v>1721</v>
      </c>
      <c r="I90" s="5" t="s">
        <v>1721</v>
      </c>
      <c r="J90" s="5" t="s">
        <v>1721</v>
      </c>
      <c r="K90" s="5" t="s">
        <v>1721</v>
      </c>
      <c r="L90" s="5" t="s">
        <v>1721</v>
      </c>
      <c r="M90" s="9">
        <v>38</v>
      </c>
      <c r="N90" s="6">
        <f>IFERROR(Table2[[#This Row],[Darbuotojų skaičius]]/M89-1,0)</f>
        <v>2.7027027027026973E-2</v>
      </c>
      <c r="O90" s="9">
        <v>3216</v>
      </c>
      <c r="P90" s="6">
        <v>7.2357452484161477E-2</v>
      </c>
      <c r="Q90" s="9">
        <f>Table2[[#This Row],[Atlyginimo vidurkis]]*Table2[[#This Row],[Darbuotojų skaičius]]*12</f>
        <v>1466496</v>
      </c>
      <c r="R90" s="49">
        <f>IFERROR(Table2[[#This Row],[DU sąnaudos]]/Q89-1,0)</f>
        <v>0.10134008633508462</v>
      </c>
      <c r="S90" s="9">
        <v>25811839</v>
      </c>
      <c r="T90" s="6">
        <v>0.21611505730103969</v>
      </c>
      <c r="U90" s="9">
        <f>IF(Table2[[#This Row],[DU sąnaudos]]=0,0,Table2[[#This Row],[Apyvarta]]-Table2[[#This Row],[DU sąnaudos]]-Table2[[#This Row],[Pelnas]])</f>
        <v>23939519</v>
      </c>
      <c r="V90" s="49">
        <f>IFERROR(Table2[[#This Row],[Ne-atlyginimų sąnaudos]]/U89-1,0)</f>
        <v>0.22971830666133397</v>
      </c>
      <c r="W90" s="9">
        <v>405824</v>
      </c>
      <c r="X90" s="6">
        <v>-4.690285231155833E-2</v>
      </c>
      <c r="Y90" s="8">
        <f>Table2[[#This Row],[DU sąnaudos]]*0.43</f>
        <v>630593.28000000003</v>
      </c>
      <c r="Z90" s="8">
        <f>Table2[[#This Row],[Apyvarta]]-Table2[[#This Row],[Ne-atlyginimų sąnaudos]]+Table2[[#This Row],[Fiks ir pelno mokestis]]</f>
        <v>2502913.2800000003</v>
      </c>
    </row>
    <row r="91" spans="1:26" hidden="1" x14ac:dyDescent="0.2">
      <c r="A91" s="5" t="s">
        <v>1106</v>
      </c>
      <c r="B91" s="5" t="s">
        <v>1441</v>
      </c>
      <c r="C91" s="5">
        <v>2024</v>
      </c>
      <c r="D91" s="5" t="s">
        <v>1721</v>
      </c>
      <c r="E91" s="5" t="s">
        <v>1721</v>
      </c>
      <c r="F91" s="5" t="s">
        <v>1721</v>
      </c>
      <c r="G91" s="5" t="s">
        <v>73</v>
      </c>
      <c r="H91" s="5" t="s">
        <v>1721</v>
      </c>
      <c r="I91" s="5" t="s">
        <v>1721</v>
      </c>
      <c r="J91" s="5" t="s">
        <v>1721</v>
      </c>
      <c r="K91" s="5" t="s">
        <v>1721</v>
      </c>
      <c r="L91" s="5" t="s">
        <v>1721</v>
      </c>
      <c r="M91" s="9">
        <v>46</v>
      </c>
      <c r="N91" s="6">
        <f>IFERROR(Table2[[#This Row],[Darbuotojų skaičius]]/M90-1,0)</f>
        <v>0.21052631578947367</v>
      </c>
      <c r="O91" s="9">
        <v>3398</v>
      </c>
      <c r="P91" s="6">
        <v>5.659203980099492E-2</v>
      </c>
      <c r="Q91" s="9">
        <f>Table2[[#This Row],[Atlyginimo vidurkis]]*Table2[[#This Row],[Darbuotojų skaičius]]*12</f>
        <v>1875696</v>
      </c>
      <c r="R91" s="49">
        <f>IFERROR(Table2[[#This Row],[DU sąnaudos]]/Q90-1,0)</f>
        <v>0.27903246923278346</v>
      </c>
      <c r="S91" s="9">
        <v>36438837</v>
      </c>
      <c r="T91" s="6">
        <v>0.41171022335913388</v>
      </c>
      <c r="U91" s="9">
        <f>IF(Table2[[#This Row],[DU sąnaudos]]=0,0,Table2[[#This Row],[Apyvarta]]-Table2[[#This Row],[DU sąnaudos]]-Table2[[#This Row],[Pelnas]])</f>
        <v>34043820</v>
      </c>
      <c r="V91" s="49">
        <f>IFERROR(Table2[[#This Row],[Ne-atlyginimų sąnaudos]]/U90-1,0)</f>
        <v>0.42207619125513762</v>
      </c>
      <c r="W91" s="9">
        <v>519321</v>
      </c>
      <c r="X91" s="6">
        <v>0.27967049755559059</v>
      </c>
      <c r="Y91" s="8">
        <f>Table2[[#This Row],[DU sąnaudos]]*0.43</f>
        <v>806549.28</v>
      </c>
      <c r="Z91" s="8">
        <f>Table2[[#This Row],[Apyvarta]]-Table2[[#This Row],[Ne-atlyginimų sąnaudos]]+Table2[[#This Row],[Fiks ir pelno mokestis]]</f>
        <v>3201566.2800000003</v>
      </c>
    </row>
    <row r="92" spans="1:26" hidden="1" x14ac:dyDescent="0.2">
      <c r="A92" s="5" t="s">
        <v>1417</v>
      </c>
      <c r="B92" t="s">
        <v>1418</v>
      </c>
      <c r="C92" s="5">
        <v>2019</v>
      </c>
      <c r="D92" s="5" t="s">
        <v>1721</v>
      </c>
      <c r="E92" s="5" t="s">
        <v>1721</v>
      </c>
      <c r="F92" s="5" t="s">
        <v>1721</v>
      </c>
      <c r="G92" s="5" t="s">
        <v>1721</v>
      </c>
      <c r="H92" s="5" t="s">
        <v>1721</v>
      </c>
      <c r="I92" s="5" t="s">
        <v>1721</v>
      </c>
      <c r="J92" s="5" t="s">
        <v>1721</v>
      </c>
      <c r="K92" s="5" t="s">
        <v>193</v>
      </c>
      <c r="L92" s="5" t="s">
        <v>1721</v>
      </c>
      <c r="M92" s="9">
        <v>7</v>
      </c>
      <c r="N92" s="6">
        <v>0</v>
      </c>
      <c r="O92" s="9">
        <v>1237</v>
      </c>
      <c r="P92" s="6">
        <v>0</v>
      </c>
      <c r="Q92" s="9">
        <f>Table2[[#This Row],[Atlyginimo vidurkis]]*Table2[[#This Row],[Darbuotojų skaičius]]*12</f>
        <v>103908</v>
      </c>
      <c r="R92" s="49">
        <v>0</v>
      </c>
      <c r="S92" s="9">
        <v>316051</v>
      </c>
      <c r="T92" s="6">
        <v>0</v>
      </c>
      <c r="U92" s="9">
        <f>IF(Table2[[#This Row],[DU sąnaudos]]=0,0,Table2[[#This Row],[Apyvarta]]-Table2[[#This Row],[DU sąnaudos]]-Table2[[#This Row],[Pelnas]])</f>
        <v>153556</v>
      </c>
      <c r="V92" s="49">
        <v>0</v>
      </c>
      <c r="W92" s="9">
        <v>58587</v>
      </c>
      <c r="X92" s="6">
        <v>0</v>
      </c>
      <c r="Y92" s="8">
        <f>Table2[[#This Row],[DU sąnaudos]]*0.43</f>
        <v>44680.44</v>
      </c>
      <c r="Z92" s="8">
        <f>Table2[[#This Row],[Apyvarta]]-Table2[[#This Row],[Ne-atlyginimų sąnaudos]]+Table2[[#This Row],[Fiks ir pelno mokestis]]</f>
        <v>207175.44</v>
      </c>
    </row>
    <row r="93" spans="1:26" hidden="1" x14ac:dyDescent="0.2">
      <c r="A93" s="5" t="s">
        <v>1417</v>
      </c>
      <c r="B93" t="s">
        <v>1418</v>
      </c>
      <c r="C93">
        <v>2020</v>
      </c>
      <c r="D93" s="5" t="s">
        <v>1721</v>
      </c>
      <c r="E93" s="5" t="s">
        <v>1721</v>
      </c>
      <c r="F93" s="5" t="s">
        <v>1721</v>
      </c>
      <c r="G93" s="5" t="s">
        <v>1721</v>
      </c>
      <c r="H93" s="5" t="s">
        <v>1721</v>
      </c>
      <c r="I93" s="5" t="s">
        <v>1721</v>
      </c>
      <c r="J93" s="5" t="s">
        <v>1721</v>
      </c>
      <c r="K93" s="5" t="s">
        <v>193</v>
      </c>
      <c r="L93" s="5" t="s">
        <v>1721</v>
      </c>
      <c r="M93" s="9">
        <v>9</v>
      </c>
      <c r="N93" s="6">
        <f>IFERROR(Table2[[#This Row],[Darbuotojų skaičius]]/M92-1,0)</f>
        <v>0.28571428571428581</v>
      </c>
      <c r="O93" s="9">
        <v>1252</v>
      </c>
      <c r="P93" s="6">
        <v>0.01</v>
      </c>
      <c r="Q93" s="9">
        <f>Table2[[#This Row],[Atlyginimo vidurkis]]*Table2[[#This Row],[Darbuotojų skaičius]]*12</f>
        <v>135216</v>
      </c>
      <c r="R93" s="49">
        <f>IFERROR(Table2[[#This Row],[DU sąnaudos]]/Q92-1,0)</f>
        <v>0.30130500057743381</v>
      </c>
      <c r="S93" s="9">
        <v>516299</v>
      </c>
      <c r="T93" s="6">
        <v>0.63</v>
      </c>
      <c r="U93" s="9">
        <f>IF(Table2[[#This Row],[DU sąnaudos]]=0,0,Table2[[#This Row],[Apyvarta]]-Table2[[#This Row],[DU sąnaudos]]-Table2[[#This Row],[Pelnas]])</f>
        <v>236260</v>
      </c>
      <c r="V93" s="49">
        <f>IFERROR(Table2[[#This Row],[Ne-atlyginimų sąnaudos]]/U92-1,0)</f>
        <v>0.53859178410482178</v>
      </c>
      <c r="W93" s="9">
        <v>144823</v>
      </c>
      <c r="X93" s="6">
        <v>1.47</v>
      </c>
      <c r="Y93" s="8">
        <f>Table2[[#This Row],[DU sąnaudos]]*0.43</f>
        <v>58142.879999999997</v>
      </c>
      <c r="Z93" s="8">
        <f>Table2[[#This Row],[Apyvarta]]-Table2[[#This Row],[Ne-atlyginimų sąnaudos]]+Table2[[#This Row],[Fiks ir pelno mokestis]]</f>
        <v>338181.88</v>
      </c>
    </row>
    <row r="94" spans="1:26" hidden="1" x14ac:dyDescent="0.2">
      <c r="A94" s="5" t="s">
        <v>1417</v>
      </c>
      <c r="B94" t="s">
        <v>1418</v>
      </c>
      <c r="C94">
        <v>2021</v>
      </c>
      <c r="D94" s="5" t="s">
        <v>1721</v>
      </c>
      <c r="E94" s="5" t="s">
        <v>1721</v>
      </c>
      <c r="F94" s="5" t="s">
        <v>1721</v>
      </c>
      <c r="G94" s="5" t="s">
        <v>1721</v>
      </c>
      <c r="H94" s="5" t="s">
        <v>1721</v>
      </c>
      <c r="I94" s="5" t="s">
        <v>1721</v>
      </c>
      <c r="J94" s="5" t="s">
        <v>1721</v>
      </c>
      <c r="K94" s="5" t="s">
        <v>193</v>
      </c>
      <c r="L94" s="5" t="s">
        <v>1721</v>
      </c>
      <c r="M94" s="9">
        <v>20</v>
      </c>
      <c r="N94" s="6">
        <f>IFERROR(Table2[[#This Row],[Darbuotojų skaičius]]/M93-1,0)</f>
        <v>1.2222222222222223</v>
      </c>
      <c r="O94" s="9">
        <v>1343</v>
      </c>
      <c r="P94" s="6">
        <v>7.0000000000000007E-2</v>
      </c>
      <c r="Q94" s="9">
        <f>Table2[[#This Row],[Atlyginimo vidurkis]]*Table2[[#This Row],[Darbuotojų skaičius]]*12</f>
        <v>322320</v>
      </c>
      <c r="R94" s="49">
        <f>IFERROR(Table2[[#This Row],[DU sąnaudos]]/Q93-1,0)</f>
        <v>1.3837415690450836</v>
      </c>
      <c r="S94" s="9">
        <v>716566</v>
      </c>
      <c r="T94" s="6">
        <v>0.39</v>
      </c>
      <c r="U94" s="9">
        <f>IF(Table2[[#This Row],[DU sąnaudos]]=0,0,Table2[[#This Row],[Apyvarta]]-Table2[[#This Row],[DU sąnaudos]]-Table2[[#This Row],[Pelnas]])</f>
        <v>319916</v>
      </c>
      <c r="V94" s="49">
        <f>IFERROR(Table2[[#This Row],[Ne-atlyginimų sąnaudos]]/U93-1,0)</f>
        <v>0.35408448319647845</v>
      </c>
      <c r="W94" s="9">
        <v>74330</v>
      </c>
      <c r="X94" s="6">
        <v>-0.49</v>
      </c>
      <c r="Y94" s="8">
        <f>Table2[[#This Row],[DU sąnaudos]]*0.43</f>
        <v>138597.6</v>
      </c>
      <c r="Z94" s="8">
        <f>Table2[[#This Row],[Apyvarta]]-Table2[[#This Row],[Ne-atlyginimų sąnaudos]]+Table2[[#This Row],[Fiks ir pelno mokestis]]</f>
        <v>535247.6</v>
      </c>
    </row>
    <row r="95" spans="1:26" hidden="1" x14ac:dyDescent="0.2">
      <c r="A95" s="5" t="s">
        <v>1417</v>
      </c>
      <c r="B95" t="s">
        <v>1418</v>
      </c>
      <c r="C95">
        <v>2022</v>
      </c>
      <c r="D95" s="5" t="s">
        <v>1721</v>
      </c>
      <c r="E95" s="5" t="s">
        <v>1721</v>
      </c>
      <c r="F95" s="5" t="s">
        <v>1721</v>
      </c>
      <c r="G95" s="5" t="s">
        <v>1721</v>
      </c>
      <c r="H95" s="5" t="s">
        <v>1721</v>
      </c>
      <c r="I95" s="5" t="s">
        <v>1721</v>
      </c>
      <c r="J95" s="5" t="s">
        <v>1721</v>
      </c>
      <c r="K95" s="5" t="s">
        <v>193</v>
      </c>
      <c r="L95" s="5" t="s">
        <v>1721</v>
      </c>
      <c r="M95" s="9">
        <v>24</v>
      </c>
      <c r="N95" s="6">
        <f>IFERROR(Table2[[#This Row],[Darbuotojų skaičius]]/M94-1,0)</f>
        <v>0.19999999999999996</v>
      </c>
      <c r="O95" s="9">
        <v>1618</v>
      </c>
      <c r="P95" s="6">
        <v>0.2</v>
      </c>
      <c r="Q95" s="9">
        <f>Table2[[#This Row],[Atlyginimo vidurkis]]*Table2[[#This Row],[Darbuotojų skaičius]]*12</f>
        <v>465984</v>
      </c>
      <c r="R95" s="49">
        <f>IFERROR(Table2[[#This Row],[DU sąnaudos]]/Q94-1,0)</f>
        <v>0.4457185405807893</v>
      </c>
      <c r="S95" s="9">
        <v>716566</v>
      </c>
      <c r="T95" s="6">
        <v>0.39</v>
      </c>
      <c r="U95" s="9">
        <f>IF(Table2[[#This Row],[DU sąnaudos]]=0,0,Table2[[#This Row],[Apyvarta]]-Table2[[#This Row],[DU sąnaudos]]-Table2[[#This Row],[Pelnas]])</f>
        <v>47327</v>
      </c>
      <c r="V95" s="49">
        <f>IFERROR(Table2[[#This Row],[Ne-atlyginimų sąnaudos]]/U94-1,0)</f>
        <v>-0.85206429187661759</v>
      </c>
      <c r="W95" s="9">
        <v>203255</v>
      </c>
      <c r="X95" s="6">
        <v>1.73</v>
      </c>
      <c r="Y95" s="8">
        <f>Table2[[#This Row],[DU sąnaudos]]*0.43</f>
        <v>200373.12</v>
      </c>
      <c r="Z95" s="8">
        <f>Table2[[#This Row],[Apyvarta]]-Table2[[#This Row],[Ne-atlyginimų sąnaudos]]+Table2[[#This Row],[Fiks ir pelno mokestis]]</f>
        <v>869612.12</v>
      </c>
    </row>
    <row r="96" spans="1:26" hidden="1" x14ac:dyDescent="0.2">
      <c r="A96" s="5" t="s">
        <v>1417</v>
      </c>
      <c r="B96" t="s">
        <v>1418</v>
      </c>
      <c r="C96">
        <v>2023</v>
      </c>
      <c r="D96" s="5" t="s">
        <v>1721</v>
      </c>
      <c r="E96" s="5" t="s">
        <v>1721</v>
      </c>
      <c r="F96" s="5" t="s">
        <v>1721</v>
      </c>
      <c r="G96" s="5" t="s">
        <v>1721</v>
      </c>
      <c r="H96" s="5" t="s">
        <v>1721</v>
      </c>
      <c r="I96" s="5" t="s">
        <v>1721</v>
      </c>
      <c r="J96" s="5" t="s">
        <v>1721</v>
      </c>
      <c r="K96" s="5" t="s">
        <v>193</v>
      </c>
      <c r="L96" s="5" t="s">
        <v>1721</v>
      </c>
      <c r="M96" s="9">
        <v>30</v>
      </c>
      <c r="N96" s="6">
        <f>IFERROR(Table2[[#This Row],[Darbuotojų skaičius]]/M95-1,0)</f>
        <v>0.25</v>
      </c>
      <c r="O96" s="9">
        <v>1764</v>
      </c>
      <c r="P96" s="6">
        <v>0.09</v>
      </c>
      <c r="Q96" s="9">
        <f>Table2[[#This Row],[Atlyginimo vidurkis]]*Table2[[#This Row],[Darbuotojų skaičius]]*12</f>
        <v>635040</v>
      </c>
      <c r="R96" s="49">
        <f>IFERROR(Table2[[#This Row],[DU sąnaudos]]/Q95-1,0)</f>
        <v>0.36279357231149567</v>
      </c>
      <c r="S96" s="9">
        <v>1278169</v>
      </c>
      <c r="T96" s="6">
        <v>0.2</v>
      </c>
      <c r="U96" s="9">
        <f>IF(Table2[[#This Row],[DU sąnaudos]]=0,0,Table2[[#This Row],[Apyvarta]]-Table2[[#This Row],[DU sąnaudos]]-Table2[[#This Row],[Pelnas]])</f>
        <v>487348</v>
      </c>
      <c r="V96" s="49">
        <f>IFERROR(Table2[[#This Row],[Ne-atlyginimų sąnaudos]]/U95-1,0)</f>
        <v>9.297462336509815</v>
      </c>
      <c r="W96" s="9">
        <v>155781</v>
      </c>
      <c r="X96" s="6">
        <v>-0.23</v>
      </c>
      <c r="Y96" s="8">
        <f>Table2[[#This Row],[DU sąnaudos]]*0.43</f>
        <v>273067.2</v>
      </c>
      <c r="Z96" s="8">
        <f>Table2[[#This Row],[Apyvarta]]-Table2[[#This Row],[Ne-atlyginimų sąnaudos]]+Table2[[#This Row],[Fiks ir pelno mokestis]]</f>
        <v>1063888.2</v>
      </c>
    </row>
    <row r="97" spans="1:26" hidden="1" x14ac:dyDescent="0.2">
      <c r="A97" s="5" t="s">
        <v>1417</v>
      </c>
      <c r="B97" t="s">
        <v>1418</v>
      </c>
      <c r="C97">
        <v>2024</v>
      </c>
      <c r="D97" s="5" t="s">
        <v>1721</v>
      </c>
      <c r="E97" s="5" t="s">
        <v>1721</v>
      </c>
      <c r="F97" s="5" t="s">
        <v>1721</v>
      </c>
      <c r="G97" s="5" t="s">
        <v>1721</v>
      </c>
      <c r="H97" s="5" t="s">
        <v>1721</v>
      </c>
      <c r="I97" s="5" t="s">
        <v>1721</v>
      </c>
      <c r="J97" s="5" t="s">
        <v>1721</v>
      </c>
      <c r="K97" s="5" t="s">
        <v>193</v>
      </c>
      <c r="L97" s="5" t="s">
        <v>1721</v>
      </c>
      <c r="M97" s="9">
        <v>30</v>
      </c>
      <c r="N97" s="6">
        <f>IFERROR(Table2[[#This Row],[Darbuotojų skaičius]]/M96-1,0)</f>
        <v>0</v>
      </c>
      <c r="O97" s="9">
        <v>2000</v>
      </c>
      <c r="P97" s="6">
        <v>0.13</v>
      </c>
      <c r="Q97" s="9">
        <f>Table2[[#This Row],[Atlyginimo vidurkis]]*Table2[[#This Row],[Darbuotojų skaičius]]*12</f>
        <v>720000</v>
      </c>
      <c r="R97" s="49">
        <f>IFERROR(Table2[[#This Row],[DU sąnaudos]]/Q96-1,0)</f>
        <v>0.13378684807256236</v>
      </c>
      <c r="S97" s="9">
        <v>1258533</v>
      </c>
      <c r="T97" s="6">
        <v>-0.02</v>
      </c>
      <c r="U97" s="9">
        <f>IF(Table2[[#This Row],[DU sąnaudos]]=0,0,Table2[[#This Row],[Apyvarta]]-Table2[[#This Row],[DU sąnaudos]]-Table2[[#This Row],[Pelnas]])</f>
        <v>533550</v>
      </c>
      <c r="V97" s="49">
        <f>IFERROR(Table2[[#This Row],[Ne-atlyginimų sąnaudos]]/U96-1,0)</f>
        <v>9.4802892389011628E-2</v>
      </c>
      <c r="W97" s="9">
        <v>4983</v>
      </c>
      <c r="X97" s="6">
        <v>-0.97</v>
      </c>
      <c r="Y97" s="8">
        <f>Table2[[#This Row],[DU sąnaudos]]*0.43</f>
        <v>309600</v>
      </c>
      <c r="Z97" s="8">
        <f>Table2[[#This Row],[Apyvarta]]-Table2[[#This Row],[Ne-atlyginimų sąnaudos]]+Table2[[#This Row],[Fiks ir pelno mokestis]]</f>
        <v>1034583</v>
      </c>
    </row>
    <row r="98" spans="1:26" hidden="1" x14ac:dyDescent="0.2">
      <c r="A98" s="5" t="s">
        <v>1443</v>
      </c>
      <c r="B98" t="s">
        <v>1444</v>
      </c>
      <c r="C98">
        <v>2019</v>
      </c>
      <c r="D98" s="5" t="s">
        <v>1721</v>
      </c>
      <c r="E98" s="5" t="s">
        <v>1721</v>
      </c>
      <c r="F98" s="5" t="s">
        <v>1721</v>
      </c>
      <c r="G98" s="5" t="s">
        <v>1721</v>
      </c>
      <c r="H98" s="5" t="s">
        <v>1724</v>
      </c>
      <c r="I98" s="5" t="s">
        <v>1721</v>
      </c>
      <c r="J98" s="5" t="s">
        <v>1721</v>
      </c>
      <c r="K98" s="5" t="s">
        <v>1721</v>
      </c>
      <c r="L98" s="5" t="s">
        <v>1721</v>
      </c>
      <c r="M98" s="9">
        <v>6</v>
      </c>
      <c r="N98" s="6">
        <v>0</v>
      </c>
      <c r="O98" s="9">
        <v>1347</v>
      </c>
      <c r="P98" s="6">
        <v>0</v>
      </c>
      <c r="Q98" s="9">
        <f>Table2[[#This Row],[Atlyginimo vidurkis]]*Table2[[#This Row],[Darbuotojų skaičius]]*12</f>
        <v>96984</v>
      </c>
      <c r="R98" s="49">
        <v>0</v>
      </c>
      <c r="S98" s="9">
        <v>919681</v>
      </c>
      <c r="T98" s="6">
        <v>0</v>
      </c>
      <c r="U98" s="9">
        <f>IF(Table2[[#This Row],[DU sąnaudos]]=0,0,Table2[[#This Row],[Apyvarta]]-Table2[[#This Row],[DU sąnaudos]]-Table2[[#This Row],[Pelnas]])</f>
        <v>787872</v>
      </c>
      <c r="V98" s="49">
        <v>0</v>
      </c>
      <c r="W98" s="9">
        <v>34825</v>
      </c>
      <c r="X98" s="6">
        <v>0</v>
      </c>
      <c r="Y98" s="8">
        <f>Table2[[#This Row],[DU sąnaudos]]*0.43</f>
        <v>41703.120000000003</v>
      </c>
      <c r="Z98" s="8">
        <f>Table2[[#This Row],[Apyvarta]]-Table2[[#This Row],[Ne-atlyginimų sąnaudos]]+Table2[[#This Row],[Fiks ir pelno mokestis]]</f>
        <v>173512.12</v>
      </c>
    </row>
    <row r="99" spans="1:26" hidden="1" x14ac:dyDescent="0.2">
      <c r="A99" s="5" t="s">
        <v>1443</v>
      </c>
      <c r="B99" t="s">
        <v>1444</v>
      </c>
      <c r="C99">
        <v>2020</v>
      </c>
      <c r="D99" s="5" t="s">
        <v>1721</v>
      </c>
      <c r="E99" s="5" t="s">
        <v>1721</v>
      </c>
      <c r="F99" s="5" t="s">
        <v>1721</v>
      </c>
      <c r="G99" s="5" t="s">
        <v>1721</v>
      </c>
      <c r="H99" s="5" t="s">
        <v>1724</v>
      </c>
      <c r="I99" s="5" t="s">
        <v>1721</v>
      </c>
      <c r="J99" s="5" t="s">
        <v>1721</v>
      </c>
      <c r="K99" s="5" t="s">
        <v>1721</v>
      </c>
      <c r="L99" s="5" t="s">
        <v>1721</v>
      </c>
      <c r="M99" s="9">
        <v>6</v>
      </c>
      <c r="N99" s="6">
        <f>IFERROR(Table2[[#This Row],[Darbuotojų skaičius]]/M98-1,0)</f>
        <v>0</v>
      </c>
      <c r="O99" s="9">
        <v>1849</v>
      </c>
      <c r="P99" s="6">
        <v>0.37</v>
      </c>
      <c r="Q99" s="9">
        <f>Table2[[#This Row],[Atlyginimo vidurkis]]*Table2[[#This Row],[Darbuotojų skaičius]]*12</f>
        <v>133128</v>
      </c>
      <c r="R99" s="49">
        <f>IFERROR(Table2[[#This Row],[DU sąnaudos]]/Q98-1,0)</f>
        <v>0.37268002969561986</v>
      </c>
      <c r="S99" s="9">
        <v>957226</v>
      </c>
      <c r="T99" s="6">
        <v>0.04</v>
      </c>
      <c r="U99" s="9">
        <f>IF(Table2[[#This Row],[DU sąnaudos]]=0,0,Table2[[#This Row],[Apyvarta]]-Table2[[#This Row],[DU sąnaudos]]-Table2[[#This Row],[Pelnas]])</f>
        <v>786325</v>
      </c>
      <c r="V99" s="49">
        <f>IFERROR(Table2[[#This Row],[Ne-atlyginimų sąnaudos]]/U98-1,0)</f>
        <v>-1.9635169164534672E-3</v>
      </c>
      <c r="W99" s="9">
        <v>37773</v>
      </c>
      <c r="X99" s="6">
        <v>0.08</v>
      </c>
      <c r="Y99" s="8">
        <f>Table2[[#This Row],[DU sąnaudos]]*0.43</f>
        <v>57245.04</v>
      </c>
      <c r="Z99" s="8">
        <f>Table2[[#This Row],[Apyvarta]]-Table2[[#This Row],[Ne-atlyginimų sąnaudos]]+Table2[[#This Row],[Fiks ir pelno mokestis]]</f>
        <v>228146.04</v>
      </c>
    </row>
    <row r="100" spans="1:26" hidden="1" x14ac:dyDescent="0.2">
      <c r="A100" s="5" t="s">
        <v>1443</v>
      </c>
      <c r="B100" t="s">
        <v>1444</v>
      </c>
      <c r="C100">
        <v>2021</v>
      </c>
      <c r="D100" s="5" t="s">
        <v>1721</v>
      </c>
      <c r="E100" s="5" t="s">
        <v>1721</v>
      </c>
      <c r="F100" s="5" t="s">
        <v>1721</v>
      </c>
      <c r="G100" s="5" t="s">
        <v>1721</v>
      </c>
      <c r="H100" s="5" t="s">
        <v>1724</v>
      </c>
      <c r="I100" s="5" t="s">
        <v>1721</v>
      </c>
      <c r="J100" s="5" t="s">
        <v>1721</v>
      </c>
      <c r="K100" s="5" t="s">
        <v>1721</v>
      </c>
      <c r="L100" s="5" t="s">
        <v>1721</v>
      </c>
      <c r="M100" s="9">
        <v>7</v>
      </c>
      <c r="N100" s="6">
        <f>IFERROR(Table2[[#This Row],[Darbuotojų skaičius]]/M99-1,0)</f>
        <v>0.16666666666666674</v>
      </c>
      <c r="O100" s="9">
        <v>1704</v>
      </c>
      <c r="P100" s="6">
        <v>-0.08</v>
      </c>
      <c r="Q100" s="9">
        <f>Table2[[#This Row],[Atlyginimo vidurkis]]*Table2[[#This Row],[Darbuotojų skaičius]]*12</f>
        <v>143136</v>
      </c>
      <c r="R100" s="49">
        <f>IFERROR(Table2[[#This Row],[DU sąnaudos]]/Q99-1,0)</f>
        <v>7.5175770686857657E-2</v>
      </c>
      <c r="S100" s="9">
        <v>1539976</v>
      </c>
      <c r="T100" s="6">
        <v>0.61</v>
      </c>
      <c r="U100" s="9">
        <f>IF(Table2[[#This Row],[DU sąnaudos]]=0,0,Table2[[#This Row],[Apyvarta]]-Table2[[#This Row],[DU sąnaudos]]-Table2[[#This Row],[Pelnas]])</f>
        <v>1350432</v>
      </c>
      <c r="V100" s="49">
        <f>IFERROR(Table2[[#This Row],[Ne-atlyginimų sąnaudos]]/U99-1,0)</f>
        <v>0.71739675070740461</v>
      </c>
      <c r="W100" s="9">
        <v>46408</v>
      </c>
      <c r="X100" s="6">
        <v>0.23</v>
      </c>
      <c r="Y100" s="8">
        <f>Table2[[#This Row],[DU sąnaudos]]*0.43</f>
        <v>61548.479999999996</v>
      </c>
      <c r="Z100" s="8">
        <f>Table2[[#This Row],[Apyvarta]]-Table2[[#This Row],[Ne-atlyginimų sąnaudos]]+Table2[[#This Row],[Fiks ir pelno mokestis]]</f>
        <v>251092.47999999998</v>
      </c>
    </row>
    <row r="101" spans="1:26" hidden="1" x14ac:dyDescent="0.2">
      <c r="A101" s="5" t="s">
        <v>1443</v>
      </c>
      <c r="B101" t="s">
        <v>1444</v>
      </c>
      <c r="C101">
        <v>2022</v>
      </c>
      <c r="D101" s="5" t="s">
        <v>1721</v>
      </c>
      <c r="E101" s="5" t="s">
        <v>1721</v>
      </c>
      <c r="F101" s="5" t="s">
        <v>1721</v>
      </c>
      <c r="G101" s="5" t="s">
        <v>1721</v>
      </c>
      <c r="H101" s="5" t="s">
        <v>1724</v>
      </c>
      <c r="I101" s="5" t="s">
        <v>1721</v>
      </c>
      <c r="J101" s="5" t="s">
        <v>1721</v>
      </c>
      <c r="K101" s="5" t="s">
        <v>1721</v>
      </c>
      <c r="L101" s="5" t="s">
        <v>1721</v>
      </c>
      <c r="M101" s="9">
        <v>7</v>
      </c>
      <c r="N101" s="6">
        <f>IFERROR(Table2[[#This Row],[Darbuotojų skaičius]]/M100-1,0)</f>
        <v>0</v>
      </c>
      <c r="O101" s="9">
        <v>1886</v>
      </c>
      <c r="P101" s="6">
        <v>0.11</v>
      </c>
      <c r="Q101" s="9">
        <f>Table2[[#This Row],[Atlyginimo vidurkis]]*Table2[[#This Row],[Darbuotojų skaičius]]*12</f>
        <v>158424</v>
      </c>
      <c r="R101" s="49">
        <f>IFERROR(Table2[[#This Row],[DU sąnaudos]]/Q100-1,0)</f>
        <v>0.10680751173708924</v>
      </c>
      <c r="S101" s="9">
        <v>1186957</v>
      </c>
      <c r="T101" s="6">
        <v>-0.23</v>
      </c>
      <c r="U101" s="9">
        <f>IF(Table2[[#This Row],[DU sąnaudos]]=0,0,Table2[[#This Row],[Apyvarta]]-Table2[[#This Row],[DU sąnaudos]]-Table2[[#This Row],[Pelnas]])</f>
        <v>980127</v>
      </c>
      <c r="V101" s="49">
        <f>IFERROR(Table2[[#This Row],[Ne-atlyginimų sąnaudos]]/U100-1,0)</f>
        <v>-0.27421225207933464</v>
      </c>
      <c r="W101" s="9">
        <v>48406</v>
      </c>
      <c r="X101" s="6">
        <v>0.04</v>
      </c>
      <c r="Y101" s="8">
        <f>Table2[[#This Row],[DU sąnaudos]]*0.43</f>
        <v>68122.319999999992</v>
      </c>
      <c r="Z101" s="8">
        <f>Table2[[#This Row],[Apyvarta]]-Table2[[#This Row],[Ne-atlyginimų sąnaudos]]+Table2[[#This Row],[Fiks ir pelno mokestis]]</f>
        <v>274952.32000000001</v>
      </c>
    </row>
    <row r="102" spans="1:26" hidden="1" x14ac:dyDescent="0.2">
      <c r="A102" s="5" t="s">
        <v>1443</v>
      </c>
      <c r="B102" t="s">
        <v>1444</v>
      </c>
      <c r="C102">
        <v>2023</v>
      </c>
      <c r="D102" s="5" t="s">
        <v>1721</v>
      </c>
      <c r="E102" s="5" t="s">
        <v>1721</v>
      </c>
      <c r="F102" s="5" t="s">
        <v>1721</v>
      </c>
      <c r="G102" s="5" t="s">
        <v>1721</v>
      </c>
      <c r="H102" s="5" t="s">
        <v>1724</v>
      </c>
      <c r="I102" s="5" t="s">
        <v>1721</v>
      </c>
      <c r="J102" s="5" t="s">
        <v>1721</v>
      </c>
      <c r="K102" s="5" t="s">
        <v>1721</v>
      </c>
      <c r="L102" s="5" t="s">
        <v>1721</v>
      </c>
      <c r="M102" s="9">
        <v>7</v>
      </c>
      <c r="N102" s="6">
        <f>IFERROR(Table2[[#This Row],[Darbuotojų skaičius]]/M101-1,0)</f>
        <v>0</v>
      </c>
      <c r="O102" s="9">
        <v>2051</v>
      </c>
      <c r="P102" s="6">
        <v>0.09</v>
      </c>
      <c r="Q102" s="9">
        <f>Table2[[#This Row],[Atlyginimo vidurkis]]*Table2[[#This Row],[Darbuotojų skaičius]]*12</f>
        <v>172284</v>
      </c>
      <c r="R102" s="49">
        <f>IFERROR(Table2[[#This Row],[DU sąnaudos]]/Q101-1,0)</f>
        <v>8.7486744432661689E-2</v>
      </c>
      <c r="S102" s="9">
        <v>1069493</v>
      </c>
      <c r="T102" s="6">
        <v>-0.1</v>
      </c>
      <c r="U102" s="9">
        <f>IF(Table2[[#This Row],[DU sąnaudos]]=0,0,Table2[[#This Row],[Apyvarta]]-Table2[[#This Row],[DU sąnaudos]]-Table2[[#This Row],[Pelnas]])</f>
        <v>836255</v>
      </c>
      <c r="V102" s="49">
        <f>IFERROR(Table2[[#This Row],[Ne-atlyginimų sąnaudos]]/U101-1,0)</f>
        <v>-0.14678914059096426</v>
      </c>
      <c r="W102" s="9">
        <v>60954</v>
      </c>
      <c r="X102" s="6">
        <v>0.26</v>
      </c>
      <c r="Y102" s="8">
        <f>Table2[[#This Row],[DU sąnaudos]]*0.43</f>
        <v>74082.12</v>
      </c>
      <c r="Z102" s="8">
        <f>Table2[[#This Row],[Apyvarta]]-Table2[[#This Row],[Ne-atlyginimų sąnaudos]]+Table2[[#This Row],[Fiks ir pelno mokestis]]</f>
        <v>307320.12</v>
      </c>
    </row>
    <row r="103" spans="1:26" hidden="1" x14ac:dyDescent="0.2">
      <c r="A103" s="5" t="s">
        <v>1443</v>
      </c>
      <c r="B103" t="s">
        <v>1444</v>
      </c>
      <c r="C103">
        <v>2024</v>
      </c>
      <c r="D103" s="5" t="s">
        <v>1721</v>
      </c>
      <c r="E103" s="5" t="s">
        <v>1721</v>
      </c>
      <c r="F103" s="5" t="s">
        <v>1721</v>
      </c>
      <c r="G103" s="5" t="s">
        <v>1721</v>
      </c>
      <c r="H103" s="5" t="s">
        <v>1724</v>
      </c>
      <c r="I103" s="5" t="s">
        <v>1721</v>
      </c>
      <c r="J103" s="5" t="s">
        <v>1721</v>
      </c>
      <c r="K103" s="5" t="s">
        <v>1721</v>
      </c>
      <c r="L103" s="5" t="s">
        <v>1721</v>
      </c>
      <c r="M103" s="9">
        <v>7</v>
      </c>
      <c r="N103" s="6">
        <f>IFERROR(Table2[[#This Row],[Darbuotojų skaičius]]/M102-1,0)</f>
        <v>0</v>
      </c>
      <c r="O103" s="9">
        <v>2167</v>
      </c>
      <c r="P103" s="6">
        <v>0.06</v>
      </c>
      <c r="Q103" s="9">
        <f>Table2[[#This Row],[Atlyginimo vidurkis]]*Table2[[#This Row],[Darbuotojų skaičius]]*12</f>
        <v>182028</v>
      </c>
      <c r="R103" s="49">
        <f>IFERROR(Table2[[#This Row],[DU sąnaudos]]/Q102-1,0)</f>
        <v>5.6557776694295514E-2</v>
      </c>
      <c r="S103" s="9">
        <v>848557</v>
      </c>
      <c r="T103" s="6">
        <v>-0.21</v>
      </c>
      <c r="U103" s="9">
        <f>IF(Table2[[#This Row],[DU sąnaudos]]=0,0,Table2[[#This Row],[Apyvarta]]-Table2[[#This Row],[DU sąnaudos]]-Table2[[#This Row],[Pelnas]])</f>
        <v>626323</v>
      </c>
      <c r="V103" s="49">
        <f>IFERROR(Table2[[#This Row],[Ne-atlyginimų sąnaudos]]/U102-1,0)</f>
        <v>-0.25103825986092754</v>
      </c>
      <c r="W103" s="9">
        <v>40206</v>
      </c>
      <c r="X103" s="6">
        <v>-0.34</v>
      </c>
      <c r="Y103" s="8">
        <f>Table2[[#This Row],[DU sąnaudos]]*0.43</f>
        <v>78272.039999999994</v>
      </c>
      <c r="Z103" s="8">
        <f>Table2[[#This Row],[Apyvarta]]-Table2[[#This Row],[Ne-atlyginimų sąnaudos]]+Table2[[#This Row],[Fiks ir pelno mokestis]]</f>
        <v>300506.03999999998</v>
      </c>
    </row>
    <row r="104" spans="1:26" x14ac:dyDescent="0.2">
      <c r="A104" s="5" t="s">
        <v>387</v>
      </c>
      <c r="B104" s="5" t="s">
        <v>1445</v>
      </c>
      <c r="C104" s="5">
        <v>2019</v>
      </c>
      <c r="D104" s="5" t="s">
        <v>1721</v>
      </c>
      <c r="E104" s="5" t="s">
        <v>1721</v>
      </c>
      <c r="F104" s="5" t="s">
        <v>1721</v>
      </c>
      <c r="G104" s="5" t="s">
        <v>1721</v>
      </c>
      <c r="H104" s="5" t="s">
        <v>1721</v>
      </c>
      <c r="I104" s="5" t="s">
        <v>1721</v>
      </c>
      <c r="J104" s="5" t="s">
        <v>300</v>
      </c>
      <c r="K104" s="5" t="s">
        <v>1721</v>
      </c>
      <c r="L104" s="5" t="s">
        <v>1721</v>
      </c>
      <c r="M104" s="9">
        <v>21</v>
      </c>
      <c r="N104" s="6">
        <v>0</v>
      </c>
      <c r="O104" s="9">
        <v>1975</v>
      </c>
      <c r="P104" s="6">
        <v>0</v>
      </c>
      <c r="Q104" s="9">
        <f>Table2[[#This Row],[Atlyginimo vidurkis]]*Table2[[#This Row],[Darbuotojų skaičius]]*12</f>
        <v>497700</v>
      </c>
      <c r="R104" s="49">
        <v>0</v>
      </c>
      <c r="S104" s="9">
        <v>2883332</v>
      </c>
      <c r="T104" s="6">
        <v>0</v>
      </c>
      <c r="U104" s="9">
        <f>IF(Table2[[#This Row],[DU sąnaudos]]=0,0,Table2[[#This Row],[Apyvarta]]-Table2[[#This Row],[DU sąnaudos]]-Table2[[#This Row],[Pelnas]])</f>
        <v>2291007</v>
      </c>
      <c r="V104" s="49">
        <v>0</v>
      </c>
      <c r="W104" s="9">
        <v>94625</v>
      </c>
      <c r="X104" s="6">
        <v>0</v>
      </c>
      <c r="Y104" s="8">
        <f>Table2[[#This Row],[DU sąnaudos]]*0.43</f>
        <v>214011</v>
      </c>
      <c r="Z104" s="8">
        <f>Table2[[#This Row],[Apyvarta]]-Table2[[#This Row],[Ne-atlyginimų sąnaudos]]+Table2[[#This Row],[Fiks ir pelno mokestis]]</f>
        <v>806336</v>
      </c>
    </row>
    <row r="105" spans="1:26" x14ac:dyDescent="0.2">
      <c r="A105" s="5" t="s">
        <v>387</v>
      </c>
      <c r="B105" s="5" t="s">
        <v>1445</v>
      </c>
      <c r="C105" s="5">
        <v>2020</v>
      </c>
      <c r="D105" s="5" t="s">
        <v>1721</v>
      </c>
      <c r="E105" s="5" t="s">
        <v>1721</v>
      </c>
      <c r="F105" s="5" t="s">
        <v>1721</v>
      </c>
      <c r="G105" s="5" t="s">
        <v>1721</v>
      </c>
      <c r="H105" s="5" t="s">
        <v>1721</v>
      </c>
      <c r="I105" s="5" t="s">
        <v>1721</v>
      </c>
      <c r="J105" s="5" t="s">
        <v>300</v>
      </c>
      <c r="K105" s="5" t="s">
        <v>1721</v>
      </c>
      <c r="L105" s="5" t="s">
        <v>1721</v>
      </c>
      <c r="M105" s="9">
        <v>21</v>
      </c>
      <c r="N105" s="6">
        <f>IFERROR(Table2[[#This Row],[Darbuotojų skaičius]]/M104-1,0)</f>
        <v>0</v>
      </c>
      <c r="O105" s="9">
        <v>1912</v>
      </c>
      <c r="P105" s="6">
        <v>-3.1898734177215227E-2</v>
      </c>
      <c r="Q105" s="9">
        <f>Table2[[#This Row],[Atlyginimo vidurkis]]*Table2[[#This Row],[Darbuotojų skaičius]]*12</f>
        <v>481824</v>
      </c>
      <c r="R105" s="49">
        <f>IFERROR(Table2[[#This Row],[DU sąnaudos]]/Q104-1,0)</f>
        <v>-3.1898734177215227E-2</v>
      </c>
      <c r="S105" s="9">
        <v>2684538</v>
      </c>
      <c r="T105" s="6">
        <v>-6.8945927836267185E-2</v>
      </c>
      <c r="U105" s="9">
        <f>IF(Table2[[#This Row],[DU sąnaudos]]=0,0,Table2[[#This Row],[Apyvarta]]-Table2[[#This Row],[DU sąnaudos]]-Table2[[#This Row],[Pelnas]])</f>
        <v>1997675</v>
      </c>
      <c r="V105" s="49">
        <f>IFERROR(Table2[[#This Row],[Ne-atlyginimų sąnaudos]]/U104-1,0)</f>
        <v>-0.12803627400527362</v>
      </c>
      <c r="W105" s="9">
        <v>205039</v>
      </c>
      <c r="X105" s="6">
        <v>1.1668586525759581</v>
      </c>
      <c r="Y105" s="8">
        <f>Table2[[#This Row],[DU sąnaudos]]*0.43</f>
        <v>207184.32</v>
      </c>
      <c r="Z105" s="8">
        <f>Table2[[#This Row],[Apyvarta]]-Table2[[#This Row],[Ne-atlyginimų sąnaudos]]+Table2[[#This Row],[Fiks ir pelno mokestis]]</f>
        <v>894047.32000000007</v>
      </c>
    </row>
    <row r="106" spans="1:26" x14ac:dyDescent="0.2">
      <c r="A106" s="5" t="s">
        <v>387</v>
      </c>
      <c r="B106" s="5" t="s">
        <v>1445</v>
      </c>
      <c r="C106" s="5">
        <v>2021</v>
      </c>
      <c r="D106" s="5" t="s">
        <v>1721</v>
      </c>
      <c r="E106" s="5" t="s">
        <v>1721</v>
      </c>
      <c r="F106" s="5" t="s">
        <v>1721</v>
      </c>
      <c r="G106" s="5" t="s">
        <v>1721</v>
      </c>
      <c r="H106" s="5" t="s">
        <v>1721</v>
      </c>
      <c r="I106" s="5" t="s">
        <v>1721</v>
      </c>
      <c r="J106" s="5" t="s">
        <v>300</v>
      </c>
      <c r="K106" s="5" t="s">
        <v>1721</v>
      </c>
      <c r="L106" s="5" t="s">
        <v>1721</v>
      </c>
      <c r="M106" s="9">
        <v>26</v>
      </c>
      <c r="N106" s="6">
        <f>IFERROR(Table2[[#This Row],[Darbuotojų skaičius]]/M105-1,0)</f>
        <v>0.23809523809523814</v>
      </c>
      <c r="O106" s="9">
        <v>2050</v>
      </c>
      <c r="P106" s="6">
        <v>7.2175732217573119E-2</v>
      </c>
      <c r="Q106" s="9">
        <f>Table2[[#This Row],[Atlyginimo vidurkis]]*Table2[[#This Row],[Darbuotojų skaičius]]*12</f>
        <v>639600</v>
      </c>
      <c r="R106" s="49">
        <f>IFERROR(Table2[[#This Row],[DU sąnaudos]]/Q105-1,0)</f>
        <v>0.32745566845985263</v>
      </c>
      <c r="S106" s="9">
        <v>3293875</v>
      </c>
      <c r="T106" s="6">
        <v>0.22698021037511859</v>
      </c>
      <c r="U106" s="9">
        <f>IF(Table2[[#This Row],[DU sąnaudos]]=0,0,Table2[[#This Row],[Apyvarta]]-Table2[[#This Row],[DU sąnaudos]]-Table2[[#This Row],[Pelnas]])</f>
        <v>2434812</v>
      </c>
      <c r="V106" s="49">
        <f>IFERROR(Table2[[#This Row],[Ne-atlyginimų sąnaudos]]/U105-1,0)</f>
        <v>0.21882288159985985</v>
      </c>
      <c r="W106" s="9">
        <v>219463</v>
      </c>
      <c r="X106" s="6">
        <v>7.0347592409248927E-2</v>
      </c>
      <c r="Y106" s="8">
        <f>Table2[[#This Row],[DU sąnaudos]]*0.43</f>
        <v>275028</v>
      </c>
      <c r="Z106" s="8">
        <f>Table2[[#This Row],[Apyvarta]]-Table2[[#This Row],[Ne-atlyginimų sąnaudos]]+Table2[[#This Row],[Fiks ir pelno mokestis]]</f>
        <v>1134091</v>
      </c>
    </row>
    <row r="107" spans="1:26" x14ac:dyDescent="0.2">
      <c r="A107" s="5" t="s">
        <v>387</v>
      </c>
      <c r="B107" s="5" t="s">
        <v>1445</v>
      </c>
      <c r="C107" s="5">
        <v>2022</v>
      </c>
      <c r="D107" s="5" t="s">
        <v>1721</v>
      </c>
      <c r="E107" s="5" t="s">
        <v>1721</v>
      </c>
      <c r="F107" s="5" t="s">
        <v>1721</v>
      </c>
      <c r="G107" s="5" t="s">
        <v>1721</v>
      </c>
      <c r="H107" s="5" t="s">
        <v>1721</v>
      </c>
      <c r="I107" s="5" t="s">
        <v>1721</v>
      </c>
      <c r="J107" s="5" t="s">
        <v>300</v>
      </c>
      <c r="K107" s="5" t="s">
        <v>1721</v>
      </c>
      <c r="L107" s="5" t="s">
        <v>1721</v>
      </c>
      <c r="M107" s="9">
        <v>27</v>
      </c>
      <c r="N107" s="6">
        <f>IFERROR(Table2[[#This Row],[Darbuotojų skaičius]]/M106-1,0)</f>
        <v>3.8461538461538547E-2</v>
      </c>
      <c r="O107" s="9">
        <v>2306</v>
      </c>
      <c r="P107" s="6">
        <v>0.1248780487804879</v>
      </c>
      <c r="Q107" s="9">
        <f>Table2[[#This Row],[Atlyginimo vidurkis]]*Table2[[#This Row],[Darbuotojų skaičius]]*12</f>
        <v>747144</v>
      </c>
      <c r="R107" s="49">
        <f>IFERROR(Table2[[#This Row],[DU sąnaudos]]/Q106-1,0)</f>
        <v>0.1681425891181989</v>
      </c>
      <c r="S107" s="9">
        <v>3529291</v>
      </c>
      <c r="T107" s="6">
        <v>7.1470836021403361E-2</v>
      </c>
      <c r="U107" s="9">
        <f>IF(Table2[[#This Row],[DU sąnaudos]]=0,0,Table2[[#This Row],[Apyvarta]]-Table2[[#This Row],[DU sąnaudos]]-Table2[[#This Row],[Pelnas]])</f>
        <v>2500174</v>
      </c>
      <c r="V107" s="49">
        <f>IFERROR(Table2[[#This Row],[Ne-atlyginimų sąnaudos]]/U106-1,0)</f>
        <v>2.6844783087975665E-2</v>
      </c>
      <c r="W107" s="9">
        <v>281973</v>
      </c>
      <c r="X107" s="6">
        <v>0.28483161170675692</v>
      </c>
      <c r="Y107" s="8">
        <f>Table2[[#This Row],[DU sąnaudos]]*0.43</f>
        <v>321271.92</v>
      </c>
      <c r="Z107" s="8">
        <f>Table2[[#This Row],[Apyvarta]]-Table2[[#This Row],[Ne-atlyginimų sąnaudos]]+Table2[[#This Row],[Fiks ir pelno mokestis]]</f>
        <v>1350388.92</v>
      </c>
    </row>
    <row r="108" spans="1:26" x14ac:dyDescent="0.2">
      <c r="A108" s="5" t="s">
        <v>387</v>
      </c>
      <c r="B108" s="5" t="s">
        <v>1445</v>
      </c>
      <c r="C108" s="5">
        <v>2023</v>
      </c>
      <c r="D108" s="5" t="s">
        <v>1721</v>
      </c>
      <c r="E108" s="5" t="s">
        <v>1721</v>
      </c>
      <c r="F108" s="5" t="s">
        <v>1721</v>
      </c>
      <c r="G108" s="5" t="s">
        <v>1721</v>
      </c>
      <c r="H108" s="5" t="s">
        <v>1721</v>
      </c>
      <c r="I108" s="5" t="s">
        <v>1721</v>
      </c>
      <c r="J108" s="5" t="s">
        <v>300</v>
      </c>
      <c r="K108" s="5" t="s">
        <v>1721</v>
      </c>
      <c r="L108" s="5" t="s">
        <v>1721</v>
      </c>
      <c r="M108" s="9">
        <v>26</v>
      </c>
      <c r="N108" s="6">
        <f>IFERROR(Table2[[#This Row],[Darbuotojų skaičius]]/M107-1,0)</f>
        <v>-3.703703703703709E-2</v>
      </c>
      <c r="O108" s="9">
        <v>2557</v>
      </c>
      <c r="P108" s="6">
        <v>0.1088464874241111</v>
      </c>
      <c r="Q108" s="9">
        <f>Table2[[#This Row],[Atlyginimo vidurkis]]*Table2[[#This Row],[Darbuotojų skaičius]]*12</f>
        <v>797784</v>
      </c>
      <c r="R108" s="49">
        <f>IFERROR(Table2[[#This Row],[DU sąnaudos]]/Q107-1,0)</f>
        <v>6.777809900099574E-2</v>
      </c>
      <c r="S108" s="9">
        <v>4148973</v>
      </c>
      <c r="T108" s="6">
        <v>0.17558257451709139</v>
      </c>
      <c r="U108" s="9">
        <f>IF(Table2[[#This Row],[DU sąnaudos]]=0,0,Table2[[#This Row],[Apyvarta]]-Table2[[#This Row],[DU sąnaudos]]-Table2[[#This Row],[Pelnas]])</f>
        <v>3130484</v>
      </c>
      <c r="V108" s="49">
        <f>IFERROR(Table2[[#This Row],[Ne-atlyginimų sąnaudos]]/U107-1,0)</f>
        <v>0.25210645339084392</v>
      </c>
      <c r="W108" s="9">
        <v>220705</v>
      </c>
      <c r="X108" s="6">
        <v>-0.21728321505959791</v>
      </c>
      <c r="Y108" s="8">
        <f>Table2[[#This Row],[DU sąnaudos]]*0.43</f>
        <v>343047.12</v>
      </c>
      <c r="Z108" s="8">
        <f>Table2[[#This Row],[Apyvarta]]-Table2[[#This Row],[Ne-atlyginimų sąnaudos]]+Table2[[#This Row],[Fiks ir pelno mokestis]]</f>
        <v>1361536.12</v>
      </c>
    </row>
    <row r="109" spans="1:26" x14ac:dyDescent="0.2">
      <c r="A109" s="5" t="s">
        <v>387</v>
      </c>
      <c r="B109" s="5" t="s">
        <v>1445</v>
      </c>
      <c r="C109" s="5">
        <v>2024</v>
      </c>
      <c r="D109" s="5" t="s">
        <v>1721</v>
      </c>
      <c r="E109" s="5" t="s">
        <v>1721</v>
      </c>
      <c r="F109" s="5" t="s">
        <v>1721</v>
      </c>
      <c r="G109" s="5" t="s">
        <v>1721</v>
      </c>
      <c r="H109" s="5" t="s">
        <v>1721</v>
      </c>
      <c r="I109" s="5" t="s">
        <v>1721</v>
      </c>
      <c r="J109" s="5" t="s">
        <v>300</v>
      </c>
      <c r="K109" s="5" t="s">
        <v>1721</v>
      </c>
      <c r="L109" s="5" t="s">
        <v>1721</v>
      </c>
      <c r="M109" s="9">
        <v>24</v>
      </c>
      <c r="N109" s="6">
        <f>IFERROR(Table2[[#This Row],[Darbuotojų skaičius]]/M108-1,0)</f>
        <v>-7.6923076923076872E-2</v>
      </c>
      <c r="O109" s="9">
        <v>2745</v>
      </c>
      <c r="P109" s="6">
        <v>7.3523660539694946E-2</v>
      </c>
      <c r="Q109" s="9">
        <f>Table2[[#This Row],[Atlyginimo vidurkis]]*Table2[[#This Row],[Darbuotojų skaičius]]*12</f>
        <v>790560</v>
      </c>
      <c r="R109" s="49">
        <f>IFERROR(Table2[[#This Row],[DU sąnaudos]]/Q108-1,0)</f>
        <v>-9.0550825787431011E-3</v>
      </c>
      <c r="S109" s="9">
        <v>3374832</v>
      </c>
      <c r="T109" s="6">
        <v>-0.1865861744581129</v>
      </c>
      <c r="U109" s="9">
        <f>IF(Table2[[#This Row],[DU sąnaudos]]=0,0,Table2[[#This Row],[Apyvarta]]-Table2[[#This Row],[DU sąnaudos]]-Table2[[#This Row],[Pelnas]])</f>
        <v>2302493</v>
      </c>
      <c r="V109" s="49">
        <f>IFERROR(Table2[[#This Row],[Ne-atlyginimų sąnaudos]]/U108-1,0)</f>
        <v>-0.26449296658280319</v>
      </c>
      <c r="W109" s="9">
        <v>281779</v>
      </c>
      <c r="X109" s="6">
        <v>0.2767223216510728</v>
      </c>
      <c r="Y109" s="8">
        <f>Table2[[#This Row],[DU sąnaudos]]*0.43</f>
        <v>339940.8</v>
      </c>
      <c r="Z109" s="8">
        <f>Table2[[#This Row],[Apyvarta]]-Table2[[#This Row],[Ne-atlyginimų sąnaudos]]+Table2[[#This Row],[Fiks ir pelno mokestis]]</f>
        <v>1412279.8</v>
      </c>
    </row>
    <row r="110" spans="1:26" hidden="1" x14ac:dyDescent="0.2">
      <c r="A110" s="5" t="s">
        <v>715</v>
      </c>
      <c r="B110" s="5" t="s">
        <v>1449</v>
      </c>
      <c r="C110" s="5">
        <v>2019</v>
      </c>
      <c r="D110" s="5" t="s">
        <v>1721</v>
      </c>
      <c r="E110" s="5" t="s">
        <v>1721</v>
      </c>
      <c r="F110" s="5" t="s">
        <v>1721</v>
      </c>
      <c r="G110" s="5" t="s">
        <v>1721</v>
      </c>
      <c r="H110" s="5" t="s">
        <v>1721</v>
      </c>
      <c r="I110" s="5" t="s">
        <v>1721</v>
      </c>
      <c r="J110" s="5" t="s">
        <v>1721</v>
      </c>
      <c r="K110" s="5" t="s">
        <v>193</v>
      </c>
      <c r="L110" s="5" t="s">
        <v>1721</v>
      </c>
      <c r="M110" s="9">
        <v>4</v>
      </c>
      <c r="N110" s="6">
        <v>0</v>
      </c>
      <c r="O110" s="9">
        <v>825</v>
      </c>
      <c r="P110" s="6">
        <v>0</v>
      </c>
      <c r="Q110" s="9">
        <f>Table2[[#This Row],[Atlyginimo vidurkis]]*Table2[[#This Row],[Darbuotojų skaičius]]*12</f>
        <v>39600</v>
      </c>
      <c r="R110" s="49">
        <v>0</v>
      </c>
      <c r="S110" s="9">
        <v>76508</v>
      </c>
      <c r="T110" s="6">
        <v>0</v>
      </c>
      <c r="U110" s="9">
        <f>IF(Table2[[#This Row],[DU sąnaudos]]=0,0,Table2[[#This Row],[Apyvarta]]-Table2[[#This Row],[DU sąnaudos]]-Table2[[#This Row],[Pelnas]])</f>
        <v>39617</v>
      </c>
      <c r="V110" s="49">
        <v>0</v>
      </c>
      <c r="W110" s="9">
        <v>-2709</v>
      </c>
      <c r="X110" s="6">
        <v>0</v>
      </c>
      <c r="Y110" s="8">
        <f>Table2[[#This Row],[DU sąnaudos]]*0.43</f>
        <v>17028</v>
      </c>
      <c r="Z110" s="8">
        <f>Table2[[#This Row],[Apyvarta]]-Table2[[#This Row],[Ne-atlyginimų sąnaudos]]+Table2[[#This Row],[Fiks ir pelno mokestis]]</f>
        <v>53919</v>
      </c>
    </row>
    <row r="111" spans="1:26" hidden="1" x14ac:dyDescent="0.2">
      <c r="A111" s="5" t="s">
        <v>715</v>
      </c>
      <c r="B111" s="5" t="s">
        <v>1449</v>
      </c>
      <c r="C111" s="5">
        <v>2020</v>
      </c>
      <c r="D111" s="5" t="s">
        <v>1721</v>
      </c>
      <c r="E111" s="5" t="s">
        <v>1721</v>
      </c>
      <c r="F111" s="5" t="s">
        <v>1721</v>
      </c>
      <c r="G111" s="5" t="s">
        <v>1721</v>
      </c>
      <c r="H111" s="5" t="s">
        <v>1721</v>
      </c>
      <c r="I111" s="5" t="s">
        <v>1721</v>
      </c>
      <c r="J111" s="5" t="s">
        <v>1721</v>
      </c>
      <c r="K111" s="5" t="s">
        <v>193</v>
      </c>
      <c r="L111" s="5" t="s">
        <v>1721</v>
      </c>
      <c r="M111" s="9">
        <v>6</v>
      </c>
      <c r="N111" s="6">
        <f>IFERROR(Table2[[#This Row],[Darbuotojų skaičius]]/M110-1,0)</f>
        <v>0.5</v>
      </c>
      <c r="O111" s="9">
        <v>915</v>
      </c>
      <c r="P111" s="6">
        <v>0.1090909090909091</v>
      </c>
      <c r="Q111" s="9">
        <f>Table2[[#This Row],[Atlyginimo vidurkis]]*Table2[[#This Row],[Darbuotojų skaičius]]*12</f>
        <v>65880</v>
      </c>
      <c r="R111" s="49">
        <f>IFERROR(Table2[[#This Row],[DU sąnaudos]]/Q110-1,0)</f>
        <v>0.66363636363636358</v>
      </c>
      <c r="S111" s="9">
        <v>111249</v>
      </c>
      <c r="T111" s="6">
        <v>0.45408323312594773</v>
      </c>
      <c r="U111" s="9">
        <f>IF(Table2[[#This Row],[DU sąnaudos]]=0,0,Table2[[#This Row],[Apyvarta]]-Table2[[#This Row],[DU sąnaudos]]-Table2[[#This Row],[Pelnas]])</f>
        <v>45369</v>
      </c>
      <c r="V111" s="49">
        <f>IFERROR(Table2[[#This Row],[Ne-atlyginimų sąnaudos]]/U110-1,0)</f>
        <v>0.14519019612792494</v>
      </c>
      <c r="W111" s="9">
        <v>0</v>
      </c>
      <c r="X111" s="6">
        <v>-1</v>
      </c>
      <c r="Y111" s="8">
        <f>Table2[[#This Row],[DU sąnaudos]]*0.43</f>
        <v>28328.399999999998</v>
      </c>
      <c r="Z111" s="8">
        <f>Table2[[#This Row],[Apyvarta]]-Table2[[#This Row],[Ne-atlyginimų sąnaudos]]+Table2[[#This Row],[Fiks ir pelno mokestis]]</f>
        <v>94208.4</v>
      </c>
    </row>
    <row r="112" spans="1:26" hidden="1" x14ac:dyDescent="0.2">
      <c r="A112" s="5" t="s">
        <v>715</v>
      </c>
      <c r="B112" s="5" t="s">
        <v>1449</v>
      </c>
      <c r="C112" s="5">
        <v>2021</v>
      </c>
      <c r="D112" s="5" t="s">
        <v>1721</v>
      </c>
      <c r="E112" s="5" t="s">
        <v>1721</v>
      </c>
      <c r="F112" s="5" t="s">
        <v>1721</v>
      </c>
      <c r="G112" s="5" t="s">
        <v>1721</v>
      </c>
      <c r="H112" s="5" t="s">
        <v>1721</v>
      </c>
      <c r="I112" s="5" t="s">
        <v>1721</v>
      </c>
      <c r="J112" s="5" t="s">
        <v>1721</v>
      </c>
      <c r="K112" s="5" t="s">
        <v>193</v>
      </c>
      <c r="L112" s="5" t="s">
        <v>1721</v>
      </c>
      <c r="M112" s="9">
        <v>8</v>
      </c>
      <c r="N112" s="6">
        <f>IFERROR(Table2[[#This Row],[Darbuotojų skaičius]]/M111-1,0)</f>
        <v>0.33333333333333326</v>
      </c>
      <c r="O112" s="9">
        <v>1144</v>
      </c>
      <c r="P112" s="6">
        <v>0.25027322404371583</v>
      </c>
      <c r="Q112" s="9">
        <f>Table2[[#This Row],[Atlyginimo vidurkis]]*Table2[[#This Row],[Darbuotojų skaičius]]*12</f>
        <v>109824</v>
      </c>
      <c r="R112" s="49">
        <f>IFERROR(Table2[[#This Row],[DU sąnaudos]]/Q111-1,0)</f>
        <v>0.6670309653916211</v>
      </c>
      <c r="S112" s="9">
        <v>205766</v>
      </c>
      <c r="T112" s="6">
        <v>0.84959864807773555</v>
      </c>
      <c r="U112" s="9">
        <f>IF(Table2[[#This Row],[DU sąnaudos]]=0,0,Table2[[#This Row],[Apyvarta]]-Table2[[#This Row],[DU sąnaudos]]-Table2[[#This Row],[Pelnas]])</f>
        <v>93280</v>
      </c>
      <c r="V112" s="49">
        <f>IFERROR(Table2[[#This Row],[Ne-atlyginimų sąnaudos]]/U111-1,0)</f>
        <v>1.0560294474200447</v>
      </c>
      <c r="W112" s="9">
        <v>2662</v>
      </c>
      <c r="X112" s="6">
        <v>0</v>
      </c>
      <c r="Y112" s="8">
        <f>Table2[[#This Row],[DU sąnaudos]]*0.43</f>
        <v>47224.32</v>
      </c>
      <c r="Z112" s="8">
        <f>Table2[[#This Row],[Apyvarta]]-Table2[[#This Row],[Ne-atlyginimų sąnaudos]]+Table2[[#This Row],[Fiks ir pelno mokestis]]</f>
        <v>159710.32</v>
      </c>
    </row>
    <row r="113" spans="1:26" hidden="1" x14ac:dyDescent="0.2">
      <c r="A113" s="5" t="s">
        <v>715</v>
      </c>
      <c r="B113" s="5" t="s">
        <v>1449</v>
      </c>
      <c r="C113" s="5">
        <v>2022</v>
      </c>
      <c r="D113" s="5" t="s">
        <v>1721</v>
      </c>
      <c r="E113" s="5" t="s">
        <v>1721</v>
      </c>
      <c r="F113" s="5" t="s">
        <v>1721</v>
      </c>
      <c r="G113" s="5" t="s">
        <v>1721</v>
      </c>
      <c r="H113" s="5" t="s">
        <v>1721</v>
      </c>
      <c r="I113" s="5" t="s">
        <v>1721</v>
      </c>
      <c r="J113" s="5" t="s">
        <v>1721</v>
      </c>
      <c r="K113" s="5" t="s">
        <v>193</v>
      </c>
      <c r="L113" s="5" t="s">
        <v>1721</v>
      </c>
      <c r="M113" s="9">
        <v>10</v>
      </c>
      <c r="N113" s="6">
        <f>IFERROR(Table2[[#This Row],[Darbuotojų skaičius]]/M112-1,0)</f>
        <v>0.25</v>
      </c>
      <c r="O113" s="9">
        <v>1415</v>
      </c>
      <c r="P113" s="6">
        <v>0.2368881118881119</v>
      </c>
      <c r="Q113" s="9">
        <f>Table2[[#This Row],[Atlyginimo vidurkis]]*Table2[[#This Row],[Darbuotojų skaičius]]*12</f>
        <v>169800</v>
      </c>
      <c r="R113" s="49">
        <f>IFERROR(Table2[[#This Row],[DU sąnaudos]]/Q112-1,0)</f>
        <v>0.54611013986013979</v>
      </c>
      <c r="S113" s="9">
        <v>370276</v>
      </c>
      <c r="T113" s="6">
        <v>0.79950040337081929</v>
      </c>
      <c r="U113" s="9">
        <f>IF(Table2[[#This Row],[DU sąnaudos]]=0,0,Table2[[#This Row],[Apyvarta]]-Table2[[#This Row],[DU sąnaudos]]-Table2[[#This Row],[Pelnas]])</f>
        <v>187120</v>
      </c>
      <c r="V113" s="49">
        <f>IFERROR(Table2[[#This Row],[Ne-atlyginimų sąnaudos]]/U112-1,0)</f>
        <v>1.0060034305317322</v>
      </c>
      <c r="W113" s="9">
        <v>13356</v>
      </c>
      <c r="X113" s="6">
        <v>4.0172802404207362</v>
      </c>
      <c r="Y113" s="8">
        <f>Table2[[#This Row],[DU sąnaudos]]*0.43</f>
        <v>73014</v>
      </c>
      <c r="Z113" s="8">
        <f>Table2[[#This Row],[Apyvarta]]-Table2[[#This Row],[Ne-atlyginimų sąnaudos]]+Table2[[#This Row],[Fiks ir pelno mokestis]]</f>
        <v>256170</v>
      </c>
    </row>
    <row r="114" spans="1:26" hidden="1" x14ac:dyDescent="0.2">
      <c r="A114" s="5" t="s">
        <v>715</v>
      </c>
      <c r="B114" s="5" t="s">
        <v>1449</v>
      </c>
      <c r="C114" s="5">
        <v>2023</v>
      </c>
      <c r="D114" s="5" t="s">
        <v>1721</v>
      </c>
      <c r="E114" s="5" t="s">
        <v>1721</v>
      </c>
      <c r="F114" s="5" t="s">
        <v>1721</v>
      </c>
      <c r="G114" s="5" t="s">
        <v>1721</v>
      </c>
      <c r="H114" s="5" t="s">
        <v>1721</v>
      </c>
      <c r="I114" s="5" t="s">
        <v>1721</v>
      </c>
      <c r="J114" s="5" t="s">
        <v>1721</v>
      </c>
      <c r="K114" s="5" t="s">
        <v>193</v>
      </c>
      <c r="L114" s="5" t="s">
        <v>1721</v>
      </c>
      <c r="M114" s="9">
        <v>12</v>
      </c>
      <c r="N114" s="6">
        <f>IFERROR(Table2[[#This Row],[Darbuotojų skaičius]]/M113-1,0)</f>
        <v>0.19999999999999996</v>
      </c>
      <c r="O114" s="9">
        <v>1933</v>
      </c>
      <c r="P114" s="6">
        <v>0.36607773851590109</v>
      </c>
      <c r="Q114" s="9">
        <f>Table2[[#This Row],[Atlyginimo vidurkis]]*Table2[[#This Row],[Darbuotojų skaičius]]*12</f>
        <v>278352</v>
      </c>
      <c r="R114" s="49">
        <f>IFERROR(Table2[[#This Row],[DU sąnaudos]]/Q113-1,0)</f>
        <v>0.63929328621908121</v>
      </c>
      <c r="S114" s="9">
        <v>534736</v>
      </c>
      <c r="T114" s="6">
        <v>0.44415517073750399</v>
      </c>
      <c r="U114" s="9">
        <f>IF(Table2[[#This Row],[DU sąnaudos]]=0,0,Table2[[#This Row],[Apyvarta]]-Table2[[#This Row],[DU sąnaudos]]-Table2[[#This Row],[Pelnas]])</f>
        <v>205067</v>
      </c>
      <c r="V114" s="49">
        <f>IFERROR(Table2[[#This Row],[Ne-atlyginimų sąnaudos]]/U113-1,0)</f>
        <v>9.59117144078665E-2</v>
      </c>
      <c r="W114" s="9">
        <v>51317</v>
      </c>
      <c r="X114" s="6">
        <v>2.8422431865828091</v>
      </c>
      <c r="Y114" s="8">
        <f>Table2[[#This Row],[DU sąnaudos]]*0.43</f>
        <v>119691.36</v>
      </c>
      <c r="Z114" s="8">
        <f>Table2[[#This Row],[Apyvarta]]-Table2[[#This Row],[Ne-atlyginimų sąnaudos]]+Table2[[#This Row],[Fiks ir pelno mokestis]]</f>
        <v>449360.36</v>
      </c>
    </row>
    <row r="115" spans="1:26" hidden="1" x14ac:dyDescent="0.2">
      <c r="A115" s="5" t="s">
        <v>715</v>
      </c>
      <c r="B115" s="5" t="s">
        <v>1449</v>
      </c>
      <c r="C115" s="5">
        <v>2024</v>
      </c>
      <c r="D115" s="5" t="s">
        <v>1721</v>
      </c>
      <c r="E115" s="5" t="s">
        <v>1721</v>
      </c>
      <c r="F115" s="5" t="s">
        <v>1721</v>
      </c>
      <c r="G115" s="5" t="s">
        <v>1721</v>
      </c>
      <c r="H115" s="5" t="s">
        <v>1721</v>
      </c>
      <c r="I115" s="5" t="s">
        <v>1721</v>
      </c>
      <c r="J115" s="5" t="s">
        <v>1721</v>
      </c>
      <c r="K115" s="5" t="s">
        <v>193</v>
      </c>
      <c r="L115" s="5" t="s">
        <v>1721</v>
      </c>
      <c r="M115" s="9">
        <v>12</v>
      </c>
      <c r="N115" s="6">
        <f>IFERROR(Table2[[#This Row],[Darbuotojų skaičius]]/M114-1,0)</f>
        <v>0</v>
      </c>
      <c r="O115" s="9">
        <v>2028</v>
      </c>
      <c r="P115" s="6">
        <v>4.914640455250896E-2</v>
      </c>
      <c r="Q115" s="9">
        <f>Table2[[#This Row],[Atlyginimo vidurkis]]*Table2[[#This Row],[Darbuotojų skaičius]]*12</f>
        <v>292032</v>
      </c>
      <c r="R115" s="49">
        <f>IFERROR(Table2[[#This Row],[DU sąnaudos]]/Q114-1,0)</f>
        <v>4.914640455250896E-2</v>
      </c>
      <c r="S115" s="9">
        <v>514040</v>
      </c>
      <c r="T115" s="6">
        <v>-3.8703210556237037E-2</v>
      </c>
      <c r="U115" s="9">
        <f>IF(Table2[[#This Row],[DU sąnaudos]]=0,0,Table2[[#This Row],[Apyvarta]]-Table2[[#This Row],[DU sąnaudos]]-Table2[[#This Row],[Pelnas]])</f>
        <v>204686</v>
      </c>
      <c r="V115" s="49">
        <f>IFERROR(Table2[[#This Row],[Ne-atlyginimų sąnaudos]]/U114-1,0)</f>
        <v>-1.8579293596726609E-3</v>
      </c>
      <c r="W115" s="9">
        <v>17322</v>
      </c>
      <c r="X115" s="6">
        <v>-0.66245103961650131</v>
      </c>
      <c r="Y115" s="8">
        <f>Table2[[#This Row],[DU sąnaudos]]*0.43</f>
        <v>125573.75999999999</v>
      </c>
      <c r="Z115" s="8">
        <f>Table2[[#This Row],[Apyvarta]]-Table2[[#This Row],[Ne-atlyginimų sąnaudos]]+Table2[[#This Row],[Fiks ir pelno mokestis]]</f>
        <v>434927.76</v>
      </c>
    </row>
    <row r="116" spans="1:26" hidden="1" x14ac:dyDescent="0.2">
      <c r="A116" t="s">
        <v>1452</v>
      </c>
      <c r="B116" t="s">
        <v>1453</v>
      </c>
      <c r="C116">
        <v>2019</v>
      </c>
      <c r="D116" s="5" t="s">
        <v>1721</v>
      </c>
      <c r="E116" s="5" t="s">
        <v>1721</v>
      </c>
      <c r="F116" s="5" t="s">
        <v>1721</v>
      </c>
      <c r="G116" s="5" t="s">
        <v>1721</v>
      </c>
      <c r="H116" s="5" t="s">
        <v>1724</v>
      </c>
      <c r="I116" s="5" t="s">
        <v>1721</v>
      </c>
      <c r="J116" s="5" t="s">
        <v>1721</v>
      </c>
      <c r="K116" s="5" t="s">
        <v>1721</v>
      </c>
      <c r="L116" s="5" t="s">
        <v>1721</v>
      </c>
      <c r="M116" s="9">
        <v>6</v>
      </c>
      <c r="N116" s="6">
        <v>0</v>
      </c>
      <c r="O116" s="9">
        <v>1883</v>
      </c>
      <c r="P116" s="6">
        <v>0</v>
      </c>
      <c r="Q116" s="9">
        <f>Table2[[#This Row],[Atlyginimo vidurkis]]*Table2[[#This Row],[Darbuotojų skaičius]]*12</f>
        <v>135576</v>
      </c>
      <c r="R116" s="49">
        <v>0</v>
      </c>
      <c r="S116" s="9">
        <v>4843320</v>
      </c>
      <c r="T116" s="6">
        <v>0</v>
      </c>
      <c r="U116" s="9">
        <f>IF(Table2[[#This Row],[DU sąnaudos]]=0,0,Table2[[#This Row],[Apyvarta]]-Table2[[#This Row],[DU sąnaudos]]-Table2[[#This Row],[Pelnas]])</f>
        <v>4256072</v>
      </c>
      <c r="V116" s="49">
        <v>0</v>
      </c>
      <c r="W116" s="9">
        <v>451672</v>
      </c>
      <c r="X116" s="6">
        <v>0</v>
      </c>
      <c r="Y116" s="8">
        <f>Table2[[#This Row],[DU sąnaudos]]*0.43</f>
        <v>58297.68</v>
      </c>
      <c r="Z116" s="8">
        <f>Table2[[#This Row],[Apyvarta]]-Table2[[#This Row],[Ne-atlyginimų sąnaudos]]+Table2[[#This Row],[Fiks ir pelno mokestis]]</f>
        <v>645545.68000000005</v>
      </c>
    </row>
    <row r="117" spans="1:26" hidden="1" x14ac:dyDescent="0.2">
      <c r="A117" t="s">
        <v>1452</v>
      </c>
      <c r="B117" t="s">
        <v>1453</v>
      </c>
      <c r="C117">
        <v>2020</v>
      </c>
      <c r="D117" s="5" t="s">
        <v>1721</v>
      </c>
      <c r="E117" s="5" t="s">
        <v>1721</v>
      </c>
      <c r="F117" s="5" t="s">
        <v>1721</v>
      </c>
      <c r="G117" s="5" t="s">
        <v>1721</v>
      </c>
      <c r="H117" s="5" t="s">
        <v>1724</v>
      </c>
      <c r="I117" s="5" t="s">
        <v>1721</v>
      </c>
      <c r="J117" s="5" t="s">
        <v>1721</v>
      </c>
      <c r="K117" s="5" t="s">
        <v>1721</v>
      </c>
      <c r="L117" s="5" t="s">
        <v>1721</v>
      </c>
      <c r="M117" s="9">
        <v>5</v>
      </c>
      <c r="N117" s="6">
        <f>IFERROR(Table2[[#This Row],[Darbuotojų skaičius]]/M116-1,0)</f>
        <v>-0.16666666666666663</v>
      </c>
      <c r="O117" s="9">
        <v>1962</v>
      </c>
      <c r="P117" s="6">
        <v>0.04</v>
      </c>
      <c r="Q117" s="9">
        <f>Table2[[#This Row],[Atlyginimo vidurkis]]*Table2[[#This Row],[Darbuotojų skaičius]]*12</f>
        <v>117720</v>
      </c>
      <c r="R117" s="49">
        <f>IFERROR(Table2[[#This Row],[DU sąnaudos]]/Q116-1,0)</f>
        <v>-0.13170472650026555</v>
      </c>
      <c r="S117" s="9">
        <v>4939175</v>
      </c>
      <c r="T117" s="6">
        <v>0.02</v>
      </c>
      <c r="U117" s="9">
        <f>IF(Table2[[#This Row],[DU sąnaudos]]=0,0,Table2[[#This Row],[Apyvarta]]-Table2[[#This Row],[DU sąnaudos]]-Table2[[#This Row],[Pelnas]])</f>
        <v>4609031</v>
      </c>
      <c r="V117" s="49">
        <f>IFERROR(Table2[[#This Row],[Ne-atlyginimų sąnaudos]]/U116-1,0)</f>
        <v>8.2930692901811875E-2</v>
      </c>
      <c r="W117" s="9">
        <v>212424</v>
      </c>
      <c r="X117" s="6">
        <v>-0.53</v>
      </c>
      <c r="Y117" s="8">
        <f>Table2[[#This Row],[DU sąnaudos]]*0.43</f>
        <v>50619.6</v>
      </c>
      <c r="Z117" s="8">
        <f>Table2[[#This Row],[Apyvarta]]-Table2[[#This Row],[Ne-atlyginimų sąnaudos]]+Table2[[#This Row],[Fiks ir pelno mokestis]]</f>
        <v>380763.6</v>
      </c>
    </row>
    <row r="118" spans="1:26" hidden="1" x14ac:dyDescent="0.2">
      <c r="A118" t="s">
        <v>1452</v>
      </c>
      <c r="B118" t="s">
        <v>1453</v>
      </c>
      <c r="C118">
        <v>2021</v>
      </c>
      <c r="D118" s="5" t="s">
        <v>1721</v>
      </c>
      <c r="E118" s="5" t="s">
        <v>1721</v>
      </c>
      <c r="F118" s="5" t="s">
        <v>1721</v>
      </c>
      <c r="G118" s="5" t="s">
        <v>1721</v>
      </c>
      <c r="H118" s="5" t="s">
        <v>1724</v>
      </c>
      <c r="I118" s="5" t="s">
        <v>1721</v>
      </c>
      <c r="J118" s="5" t="s">
        <v>1721</v>
      </c>
      <c r="K118" s="5" t="s">
        <v>1721</v>
      </c>
      <c r="L118" s="5" t="s">
        <v>1721</v>
      </c>
      <c r="M118" s="9">
        <v>5</v>
      </c>
      <c r="N118" s="6">
        <f>IFERROR(Table2[[#This Row],[Darbuotojų skaičius]]/M117-1,0)</f>
        <v>0</v>
      </c>
      <c r="O118" s="9">
        <v>1999</v>
      </c>
      <c r="P118" s="6">
        <v>0.02</v>
      </c>
      <c r="Q118" s="9">
        <f>Table2[[#This Row],[Atlyginimo vidurkis]]*Table2[[#This Row],[Darbuotojų skaičius]]*12</f>
        <v>119940</v>
      </c>
      <c r="R118" s="49">
        <f>IFERROR(Table2[[#This Row],[DU sąnaudos]]/Q117-1,0)</f>
        <v>1.885830784913356E-2</v>
      </c>
      <c r="S118" s="9">
        <v>4099596</v>
      </c>
      <c r="T118" s="6">
        <v>-0.17</v>
      </c>
      <c r="U118" s="9">
        <f>IF(Table2[[#This Row],[DU sąnaudos]]=0,0,Table2[[#This Row],[Apyvarta]]-Table2[[#This Row],[DU sąnaudos]]-Table2[[#This Row],[Pelnas]])</f>
        <v>3799927</v>
      </c>
      <c r="V118" s="49">
        <f>IFERROR(Table2[[#This Row],[Ne-atlyginimų sąnaudos]]/U117-1,0)</f>
        <v>-0.17554752831994402</v>
      </c>
      <c r="W118" s="9">
        <v>179729</v>
      </c>
      <c r="X118" s="6">
        <v>-0.15</v>
      </c>
      <c r="Y118" s="8">
        <f>Table2[[#This Row],[DU sąnaudos]]*0.43</f>
        <v>51574.2</v>
      </c>
      <c r="Z118" s="8">
        <f>Table2[[#This Row],[Apyvarta]]-Table2[[#This Row],[Ne-atlyginimų sąnaudos]]+Table2[[#This Row],[Fiks ir pelno mokestis]]</f>
        <v>351243.2</v>
      </c>
    </row>
    <row r="119" spans="1:26" hidden="1" x14ac:dyDescent="0.2">
      <c r="A119" t="s">
        <v>1452</v>
      </c>
      <c r="B119" t="s">
        <v>1453</v>
      </c>
      <c r="C119">
        <v>2022</v>
      </c>
      <c r="D119" s="5" t="s">
        <v>1721</v>
      </c>
      <c r="E119" s="5" t="s">
        <v>1721</v>
      </c>
      <c r="F119" s="5" t="s">
        <v>1721</v>
      </c>
      <c r="G119" s="5" t="s">
        <v>1721</v>
      </c>
      <c r="H119" s="5" t="s">
        <v>1724</v>
      </c>
      <c r="I119" s="5" t="s">
        <v>1721</v>
      </c>
      <c r="J119" s="5" t="s">
        <v>1721</v>
      </c>
      <c r="K119" s="5" t="s">
        <v>1721</v>
      </c>
      <c r="L119" s="5" t="s">
        <v>1721</v>
      </c>
      <c r="M119" s="9">
        <v>5</v>
      </c>
      <c r="N119" s="6">
        <f>IFERROR(Table2[[#This Row],[Darbuotojų skaičius]]/M118-1,0)</f>
        <v>0</v>
      </c>
      <c r="O119" s="9">
        <v>2050</v>
      </c>
      <c r="P119" s="6">
        <v>0.03</v>
      </c>
      <c r="Q119" s="9">
        <f>Table2[[#This Row],[Atlyginimo vidurkis]]*Table2[[#This Row],[Darbuotojų skaičius]]*12</f>
        <v>123000</v>
      </c>
      <c r="R119" s="49">
        <f>IFERROR(Table2[[#This Row],[DU sąnaudos]]/Q118-1,0)</f>
        <v>2.5512756378189172E-2</v>
      </c>
      <c r="S119" s="9">
        <v>3344864</v>
      </c>
      <c r="T119" s="6">
        <v>-0.18</v>
      </c>
      <c r="U119" s="9">
        <f>IF(Table2[[#This Row],[DU sąnaudos]]=0,0,Table2[[#This Row],[Apyvarta]]-Table2[[#This Row],[DU sąnaudos]]-Table2[[#This Row],[Pelnas]])</f>
        <v>3176114</v>
      </c>
      <c r="V119" s="49">
        <f>IFERROR(Table2[[#This Row],[Ne-atlyginimų sąnaudos]]/U118-1,0)</f>
        <v>-0.1641644694753347</v>
      </c>
      <c r="W119" s="9">
        <v>45750</v>
      </c>
      <c r="X119" s="6">
        <v>-0.75</v>
      </c>
      <c r="Y119" s="8">
        <f>Table2[[#This Row],[DU sąnaudos]]*0.43</f>
        <v>52890</v>
      </c>
      <c r="Z119" s="8">
        <f>Table2[[#This Row],[Apyvarta]]-Table2[[#This Row],[Ne-atlyginimų sąnaudos]]+Table2[[#This Row],[Fiks ir pelno mokestis]]</f>
        <v>221640</v>
      </c>
    </row>
    <row r="120" spans="1:26" hidden="1" x14ac:dyDescent="0.2">
      <c r="A120" t="s">
        <v>1452</v>
      </c>
      <c r="B120" t="s">
        <v>1453</v>
      </c>
      <c r="C120">
        <v>2023</v>
      </c>
      <c r="D120" s="5" t="s">
        <v>1721</v>
      </c>
      <c r="E120" s="5" t="s">
        <v>1721</v>
      </c>
      <c r="F120" s="5" t="s">
        <v>1721</v>
      </c>
      <c r="G120" s="5" t="s">
        <v>1721</v>
      </c>
      <c r="H120" s="5" t="s">
        <v>1724</v>
      </c>
      <c r="I120" s="5" t="s">
        <v>1721</v>
      </c>
      <c r="J120" s="5" t="s">
        <v>1721</v>
      </c>
      <c r="K120" s="5" t="s">
        <v>1721</v>
      </c>
      <c r="L120" s="5" t="s">
        <v>1721</v>
      </c>
      <c r="M120" s="9">
        <v>5</v>
      </c>
      <c r="N120" s="6">
        <f>IFERROR(Table2[[#This Row],[Darbuotojų skaičius]]/M119-1,0)</f>
        <v>0</v>
      </c>
      <c r="O120" s="9">
        <v>2129</v>
      </c>
      <c r="P120" s="6">
        <v>0.04</v>
      </c>
      <c r="Q120" s="9">
        <f>Table2[[#This Row],[Atlyginimo vidurkis]]*Table2[[#This Row],[Darbuotojų skaičius]]*12</f>
        <v>127740</v>
      </c>
      <c r="R120" s="49">
        <f>IFERROR(Table2[[#This Row],[DU sąnaudos]]/Q119-1,0)</f>
        <v>3.8536585365853693E-2</v>
      </c>
      <c r="S120" s="9">
        <v>1037356</v>
      </c>
      <c r="T120" s="6">
        <v>-0.69</v>
      </c>
      <c r="U120" s="9">
        <f>IF(Table2[[#This Row],[DU sąnaudos]]=0,0,Table2[[#This Row],[Apyvarta]]-Table2[[#This Row],[DU sąnaudos]]-Table2[[#This Row],[Pelnas]])</f>
        <v>1077110</v>
      </c>
      <c r="V120" s="49">
        <f>IFERROR(Table2[[#This Row],[Ne-atlyginimų sąnaudos]]/U119-1,0)</f>
        <v>-0.66087174452806163</v>
      </c>
      <c r="W120" s="9">
        <v>-167494</v>
      </c>
      <c r="X120" s="6">
        <v>-4.66</v>
      </c>
      <c r="Y120" s="8">
        <f>Table2[[#This Row],[DU sąnaudos]]*0.43</f>
        <v>54928.2</v>
      </c>
      <c r="Z120" s="8">
        <f>Table2[[#This Row],[Apyvarta]]-Table2[[#This Row],[Ne-atlyginimų sąnaudos]]+Table2[[#This Row],[Fiks ir pelno mokestis]]</f>
        <v>15174.199999999997</v>
      </c>
    </row>
    <row r="121" spans="1:26" hidden="1" x14ac:dyDescent="0.2">
      <c r="A121" t="s">
        <v>1452</v>
      </c>
      <c r="B121" t="s">
        <v>1453</v>
      </c>
      <c r="C121">
        <v>2024</v>
      </c>
      <c r="D121" s="5" t="s">
        <v>1721</v>
      </c>
      <c r="E121" s="5" t="s">
        <v>1721</v>
      </c>
      <c r="F121" s="5" t="s">
        <v>1721</v>
      </c>
      <c r="G121" s="5" t="s">
        <v>1721</v>
      </c>
      <c r="H121" s="5" t="s">
        <v>1724</v>
      </c>
      <c r="I121" s="5" t="s">
        <v>1721</v>
      </c>
      <c r="J121" s="5" t="s">
        <v>1721</v>
      </c>
      <c r="K121" s="5" t="s">
        <v>1721</v>
      </c>
      <c r="L121" s="5" t="s">
        <v>1721</v>
      </c>
      <c r="M121" s="9">
        <v>5</v>
      </c>
      <c r="N121" s="6">
        <f>IFERROR(Table2[[#This Row],[Darbuotojų skaičius]]/M120-1,0)</f>
        <v>0</v>
      </c>
      <c r="O121" s="9">
        <v>2183</v>
      </c>
      <c r="P121" s="6">
        <v>0.03</v>
      </c>
      <c r="Q121" s="9">
        <f>Table2[[#This Row],[Atlyginimo vidurkis]]*Table2[[#This Row],[Darbuotojų skaičius]]*12</f>
        <v>130980</v>
      </c>
      <c r="R121" s="49">
        <f>IFERROR(Table2[[#This Row],[DU sąnaudos]]/Q120-1,0)</f>
        <v>2.5364020666979847E-2</v>
      </c>
      <c r="S121" s="9">
        <v>6566337</v>
      </c>
      <c r="T121" s="6">
        <v>5.33</v>
      </c>
      <c r="U121" s="9">
        <f>IF(Table2[[#This Row],[DU sąnaudos]]=0,0,Table2[[#This Row],[Apyvarta]]-Table2[[#This Row],[DU sąnaudos]]-Table2[[#This Row],[Pelnas]])</f>
        <v>6070503</v>
      </c>
      <c r="V121" s="49">
        <f>IFERROR(Table2[[#This Row],[Ne-atlyginimų sąnaudos]]/U120-1,0)</f>
        <v>4.6359174086212178</v>
      </c>
      <c r="W121" s="9">
        <v>364854</v>
      </c>
      <c r="X121" s="6">
        <v>3.18</v>
      </c>
      <c r="Y121" s="8">
        <f>Table2[[#This Row],[DU sąnaudos]]*0.43</f>
        <v>56321.4</v>
      </c>
      <c r="Z121" s="8">
        <f>Table2[[#This Row],[Apyvarta]]-Table2[[#This Row],[Ne-atlyginimų sąnaudos]]+Table2[[#This Row],[Fiks ir pelno mokestis]]</f>
        <v>552155.4</v>
      </c>
    </row>
    <row r="122" spans="1:26" hidden="1" x14ac:dyDescent="0.2">
      <c r="A122" s="5" t="s">
        <v>1233</v>
      </c>
      <c r="B122" t="s">
        <v>1454</v>
      </c>
      <c r="C122">
        <v>2019</v>
      </c>
      <c r="D122" s="5" t="s">
        <v>1721</v>
      </c>
      <c r="E122" s="5" t="s">
        <v>1721</v>
      </c>
      <c r="F122" s="5" t="s">
        <v>1721</v>
      </c>
      <c r="G122" s="5" t="s">
        <v>1721</v>
      </c>
      <c r="H122" s="5" t="s">
        <v>1721</v>
      </c>
      <c r="I122" t="s">
        <v>280</v>
      </c>
      <c r="J122" s="5" t="s">
        <v>1721</v>
      </c>
      <c r="K122" s="5" t="s">
        <v>1721</v>
      </c>
      <c r="L122" s="5" t="s">
        <v>1721</v>
      </c>
      <c r="M122" s="9">
        <v>8</v>
      </c>
      <c r="N122" s="6">
        <v>0</v>
      </c>
      <c r="O122" s="9">
        <v>1232</v>
      </c>
      <c r="P122" s="6">
        <v>0</v>
      </c>
      <c r="Q122" s="9">
        <f>Table2[[#This Row],[Atlyginimo vidurkis]]*Table2[[#This Row],[Darbuotojų skaičius]]*12</f>
        <v>118272</v>
      </c>
      <c r="R122" s="49">
        <v>0</v>
      </c>
      <c r="S122" s="9">
        <v>289074</v>
      </c>
      <c r="T122" s="6">
        <v>0</v>
      </c>
      <c r="U122" s="9">
        <f>IF(Table2[[#This Row],[DU sąnaudos]]=0,0,Table2[[#This Row],[Apyvarta]]-Table2[[#This Row],[DU sąnaudos]]-Table2[[#This Row],[Pelnas]])</f>
        <v>121930</v>
      </c>
      <c r="V122" s="49">
        <v>0</v>
      </c>
      <c r="W122" s="9">
        <v>48872</v>
      </c>
      <c r="X122" s="6">
        <v>0</v>
      </c>
      <c r="Y122" s="8">
        <f>Table2[[#This Row],[DU sąnaudos]]*0.43</f>
        <v>50856.959999999999</v>
      </c>
      <c r="Z122" s="8">
        <f>Table2[[#This Row],[Apyvarta]]-Table2[[#This Row],[Ne-atlyginimų sąnaudos]]+Table2[[#This Row],[Fiks ir pelno mokestis]]</f>
        <v>218000.96</v>
      </c>
    </row>
    <row r="123" spans="1:26" hidden="1" x14ac:dyDescent="0.2">
      <c r="A123" s="5" t="s">
        <v>1233</v>
      </c>
      <c r="B123" t="s">
        <v>1454</v>
      </c>
      <c r="C123">
        <v>2020</v>
      </c>
      <c r="D123" s="5" t="s">
        <v>1721</v>
      </c>
      <c r="E123" s="5" t="s">
        <v>1721</v>
      </c>
      <c r="F123" s="5" t="s">
        <v>1721</v>
      </c>
      <c r="G123" s="5" t="s">
        <v>1721</v>
      </c>
      <c r="H123" s="5" t="s">
        <v>1721</v>
      </c>
      <c r="I123" t="s">
        <v>280</v>
      </c>
      <c r="J123" s="5" t="s">
        <v>1721</v>
      </c>
      <c r="K123" s="5" t="s">
        <v>1721</v>
      </c>
      <c r="L123" s="5" t="s">
        <v>1721</v>
      </c>
      <c r="M123" s="9">
        <v>10</v>
      </c>
      <c r="N123" s="6">
        <f>IFERROR(Table2[[#This Row],[Darbuotojų skaičius]]/M122-1,0)</f>
        <v>0.25</v>
      </c>
      <c r="O123" s="9">
        <v>1483</v>
      </c>
      <c r="P123" s="6">
        <v>0.2</v>
      </c>
      <c r="Q123" s="9">
        <f>Table2[[#This Row],[Atlyginimo vidurkis]]*Table2[[#This Row],[Darbuotojų skaičius]]*12</f>
        <v>177960</v>
      </c>
      <c r="R123" s="49">
        <f>IFERROR(Table2[[#This Row],[DU sąnaudos]]/Q122-1,0)</f>
        <v>0.50466720779220786</v>
      </c>
      <c r="S123" s="9">
        <v>326922</v>
      </c>
      <c r="T123" s="6">
        <v>0.13</v>
      </c>
      <c r="U123" s="9">
        <f>IF(Table2[[#This Row],[DU sąnaudos]]=0,0,Table2[[#This Row],[Apyvarta]]-Table2[[#This Row],[DU sąnaudos]]-Table2[[#This Row],[Pelnas]])</f>
        <v>98706</v>
      </c>
      <c r="V123" s="49">
        <f>IFERROR(Table2[[#This Row],[Ne-atlyginimų sąnaudos]]/U122-1,0)</f>
        <v>-0.19046994176986798</v>
      </c>
      <c r="W123" s="9">
        <v>50256</v>
      </c>
      <c r="X123" s="6">
        <v>0.03</v>
      </c>
      <c r="Y123" s="8">
        <f>Table2[[#This Row],[DU sąnaudos]]*0.43</f>
        <v>76522.8</v>
      </c>
      <c r="Z123" s="8">
        <f>Table2[[#This Row],[Apyvarta]]-Table2[[#This Row],[Ne-atlyginimų sąnaudos]]+Table2[[#This Row],[Fiks ir pelno mokestis]]</f>
        <v>304738.8</v>
      </c>
    </row>
    <row r="124" spans="1:26" hidden="1" x14ac:dyDescent="0.2">
      <c r="A124" s="5" t="s">
        <v>1233</v>
      </c>
      <c r="B124" t="s">
        <v>1454</v>
      </c>
      <c r="C124">
        <v>2021</v>
      </c>
      <c r="D124" s="5" t="s">
        <v>1721</v>
      </c>
      <c r="E124" s="5" t="s">
        <v>1721</v>
      </c>
      <c r="F124" s="5" t="s">
        <v>1721</v>
      </c>
      <c r="G124" s="5" t="s">
        <v>1721</v>
      </c>
      <c r="H124" s="5" t="s">
        <v>1721</v>
      </c>
      <c r="I124" t="s">
        <v>280</v>
      </c>
      <c r="J124" s="5" t="s">
        <v>1721</v>
      </c>
      <c r="K124" s="5" t="s">
        <v>1721</v>
      </c>
      <c r="L124" s="5" t="s">
        <v>1721</v>
      </c>
      <c r="M124" s="9">
        <v>10</v>
      </c>
      <c r="N124" s="6">
        <f>IFERROR(Table2[[#This Row],[Darbuotojų skaičius]]/M123-1,0)</f>
        <v>0</v>
      </c>
      <c r="O124" s="9">
        <v>1725</v>
      </c>
      <c r="P124" s="6">
        <v>0.16</v>
      </c>
      <c r="Q124" s="9">
        <f>Table2[[#This Row],[Atlyginimo vidurkis]]*Table2[[#This Row],[Darbuotojų skaičius]]*12</f>
        <v>207000</v>
      </c>
      <c r="R124" s="49">
        <f>IFERROR(Table2[[#This Row],[DU sąnaudos]]/Q123-1,0)</f>
        <v>0.16318273769386371</v>
      </c>
      <c r="S124" s="9">
        <v>422449</v>
      </c>
      <c r="T124" s="6">
        <v>0.28999999999999998</v>
      </c>
      <c r="U124" s="9">
        <f>IF(Table2[[#This Row],[DU sąnaudos]]=0,0,Table2[[#This Row],[Apyvarta]]-Table2[[#This Row],[DU sąnaudos]]-Table2[[#This Row],[Pelnas]])</f>
        <v>149331</v>
      </c>
      <c r="V124" s="49">
        <f>IFERROR(Table2[[#This Row],[Ne-atlyginimų sąnaudos]]/U123-1,0)</f>
        <v>0.51288675460458322</v>
      </c>
      <c r="W124" s="9">
        <v>66118</v>
      </c>
      <c r="X124" s="6">
        <v>0.32</v>
      </c>
      <c r="Y124" s="8">
        <f>Table2[[#This Row],[DU sąnaudos]]*0.43</f>
        <v>89010</v>
      </c>
      <c r="Z124" s="8">
        <f>Table2[[#This Row],[Apyvarta]]-Table2[[#This Row],[Ne-atlyginimų sąnaudos]]+Table2[[#This Row],[Fiks ir pelno mokestis]]</f>
        <v>362128</v>
      </c>
    </row>
    <row r="125" spans="1:26" hidden="1" x14ac:dyDescent="0.2">
      <c r="A125" s="5" t="s">
        <v>1233</v>
      </c>
      <c r="B125" t="s">
        <v>1454</v>
      </c>
      <c r="C125">
        <v>2022</v>
      </c>
      <c r="D125" s="5" t="s">
        <v>1721</v>
      </c>
      <c r="E125" s="5" t="s">
        <v>1721</v>
      </c>
      <c r="F125" s="5" t="s">
        <v>1721</v>
      </c>
      <c r="G125" s="5" t="s">
        <v>1721</v>
      </c>
      <c r="H125" s="5" t="s">
        <v>1721</v>
      </c>
      <c r="I125" t="s">
        <v>280</v>
      </c>
      <c r="J125" s="5" t="s">
        <v>1721</v>
      </c>
      <c r="K125" s="5" t="s">
        <v>1721</v>
      </c>
      <c r="L125" s="5" t="s">
        <v>1721</v>
      </c>
      <c r="M125" s="9">
        <v>10</v>
      </c>
      <c r="N125" s="6">
        <f>IFERROR(Table2[[#This Row],[Darbuotojų skaičius]]/M124-1,0)</f>
        <v>0</v>
      </c>
      <c r="O125" s="9">
        <v>1968</v>
      </c>
      <c r="P125" s="6">
        <v>0.14000000000000001</v>
      </c>
      <c r="Q125" s="9">
        <f>Table2[[#This Row],[Atlyginimo vidurkis]]*Table2[[#This Row],[Darbuotojų skaičius]]*12</f>
        <v>236160</v>
      </c>
      <c r="R125" s="49">
        <f>IFERROR(Table2[[#This Row],[DU sąnaudos]]/Q124-1,0)</f>
        <v>0.14086956521739125</v>
      </c>
      <c r="S125" s="9">
        <v>569288</v>
      </c>
      <c r="T125" s="6">
        <v>0.35</v>
      </c>
      <c r="U125" s="9">
        <f>IF(Table2[[#This Row],[DU sąnaudos]]=0,0,Table2[[#This Row],[Apyvarta]]-Table2[[#This Row],[DU sąnaudos]]-Table2[[#This Row],[Pelnas]])</f>
        <v>329047</v>
      </c>
      <c r="V125" s="49">
        <f>IFERROR(Table2[[#This Row],[Ne-atlyginimų sąnaudos]]/U124-1,0)</f>
        <v>1.2034741614266293</v>
      </c>
      <c r="W125" s="9">
        <v>4081</v>
      </c>
      <c r="X125" s="6">
        <v>-0.94</v>
      </c>
      <c r="Y125" s="8">
        <f>Table2[[#This Row],[DU sąnaudos]]*0.43</f>
        <v>101548.8</v>
      </c>
      <c r="Z125" s="8">
        <f>Table2[[#This Row],[Apyvarta]]-Table2[[#This Row],[Ne-atlyginimų sąnaudos]]+Table2[[#This Row],[Fiks ir pelno mokestis]]</f>
        <v>341789.8</v>
      </c>
    </row>
    <row r="126" spans="1:26" hidden="1" x14ac:dyDescent="0.2">
      <c r="A126" s="5" t="s">
        <v>1233</v>
      </c>
      <c r="B126" t="s">
        <v>1454</v>
      </c>
      <c r="C126">
        <v>2023</v>
      </c>
      <c r="D126" s="5" t="s">
        <v>1721</v>
      </c>
      <c r="E126" s="5" t="s">
        <v>1721</v>
      </c>
      <c r="F126" s="5" t="s">
        <v>1721</v>
      </c>
      <c r="G126" s="5" t="s">
        <v>1721</v>
      </c>
      <c r="H126" s="5" t="s">
        <v>1721</v>
      </c>
      <c r="I126" t="s">
        <v>280</v>
      </c>
      <c r="J126" s="5" t="s">
        <v>1721</v>
      </c>
      <c r="K126" s="5" t="s">
        <v>1721</v>
      </c>
      <c r="L126" s="5" t="s">
        <v>1721</v>
      </c>
      <c r="M126" s="9">
        <v>9</v>
      </c>
      <c r="N126" s="6">
        <f>IFERROR(Table2[[#This Row],[Darbuotojų skaičius]]/M125-1,0)</f>
        <v>-9.9999999999999978E-2</v>
      </c>
      <c r="O126" s="9">
        <v>2187</v>
      </c>
      <c r="P126" s="6">
        <v>0.11</v>
      </c>
      <c r="Q126" s="9">
        <f>Table2[[#This Row],[Atlyginimo vidurkis]]*Table2[[#This Row],[Darbuotojų skaičius]]*12</f>
        <v>236196</v>
      </c>
      <c r="R126" s="49">
        <f>IFERROR(Table2[[#This Row],[DU sąnaudos]]/Q125-1,0)</f>
        <v>1.524390243903273E-4</v>
      </c>
      <c r="S126" s="9">
        <v>546169</v>
      </c>
      <c r="T126" s="6">
        <v>-0.04</v>
      </c>
      <c r="U126" s="9">
        <f>IF(Table2[[#This Row],[DU sąnaudos]]=0,0,Table2[[#This Row],[Apyvarta]]-Table2[[#This Row],[DU sąnaudos]]-Table2[[#This Row],[Pelnas]])</f>
        <v>279491</v>
      </c>
      <c r="V126" s="49">
        <f>IFERROR(Table2[[#This Row],[Ne-atlyginimų sąnaudos]]/U125-1,0)</f>
        <v>-0.15060462487121895</v>
      </c>
      <c r="W126" s="9">
        <v>30482</v>
      </c>
      <c r="X126" s="6">
        <v>6.47</v>
      </c>
      <c r="Y126" s="8">
        <f>Table2[[#This Row],[DU sąnaudos]]*0.43</f>
        <v>101564.28</v>
      </c>
      <c r="Z126" s="8">
        <f>Table2[[#This Row],[Apyvarta]]-Table2[[#This Row],[Ne-atlyginimų sąnaudos]]+Table2[[#This Row],[Fiks ir pelno mokestis]]</f>
        <v>368242.28</v>
      </c>
    </row>
    <row r="127" spans="1:26" hidden="1" x14ac:dyDescent="0.2">
      <c r="A127" s="5" t="s">
        <v>1233</v>
      </c>
      <c r="B127" t="s">
        <v>1454</v>
      </c>
      <c r="C127">
        <v>2024</v>
      </c>
      <c r="D127" s="5" t="s">
        <v>1721</v>
      </c>
      <c r="E127" s="5" t="s">
        <v>1721</v>
      </c>
      <c r="F127" s="5" t="s">
        <v>1721</v>
      </c>
      <c r="G127" s="5" t="s">
        <v>1721</v>
      </c>
      <c r="H127" s="5" t="s">
        <v>1721</v>
      </c>
      <c r="I127" t="s">
        <v>280</v>
      </c>
      <c r="J127" s="5" t="s">
        <v>1721</v>
      </c>
      <c r="K127" s="5" t="s">
        <v>1721</v>
      </c>
      <c r="L127" s="5" t="s">
        <v>1721</v>
      </c>
      <c r="M127" s="9">
        <v>9</v>
      </c>
      <c r="N127" s="6">
        <f>IFERROR(Table2[[#This Row],[Darbuotojų skaičius]]/M126-1,0)</f>
        <v>0</v>
      </c>
      <c r="O127" s="9">
        <v>2149</v>
      </c>
      <c r="P127" s="6">
        <v>-0.02</v>
      </c>
      <c r="Q127" s="9">
        <f>Table2[[#This Row],[Atlyginimo vidurkis]]*Table2[[#This Row],[Darbuotojų skaičius]]*12</f>
        <v>232092</v>
      </c>
      <c r="R127" s="49">
        <f>IFERROR(Table2[[#This Row],[DU sąnaudos]]/Q126-1,0)</f>
        <v>-1.7375400091449444E-2</v>
      </c>
      <c r="S127" s="9">
        <v>532524</v>
      </c>
      <c r="T127" s="6">
        <v>-0.02</v>
      </c>
      <c r="U127" s="9">
        <f>IF(Table2[[#This Row],[DU sąnaudos]]=0,0,Table2[[#This Row],[Apyvarta]]-Table2[[#This Row],[DU sąnaudos]]-Table2[[#This Row],[Pelnas]])</f>
        <v>280580</v>
      </c>
      <c r="V127" s="49">
        <f>IFERROR(Table2[[#This Row],[Ne-atlyginimų sąnaudos]]/U126-1,0)</f>
        <v>3.8963687560600313E-3</v>
      </c>
      <c r="W127" s="9">
        <v>19852</v>
      </c>
      <c r="X127" s="6">
        <v>-0.35</v>
      </c>
      <c r="Y127" s="8">
        <f>Table2[[#This Row],[DU sąnaudos]]*0.43</f>
        <v>99799.56</v>
      </c>
      <c r="Z127" s="8">
        <f>Table2[[#This Row],[Apyvarta]]-Table2[[#This Row],[Ne-atlyginimų sąnaudos]]+Table2[[#This Row],[Fiks ir pelno mokestis]]</f>
        <v>351743.56</v>
      </c>
    </row>
    <row r="128" spans="1:26" hidden="1" x14ac:dyDescent="0.2">
      <c r="A128" s="5" t="s">
        <v>71</v>
      </c>
      <c r="B128" s="5" t="s">
        <v>1455</v>
      </c>
      <c r="C128" s="5">
        <v>2019</v>
      </c>
      <c r="D128" s="5" t="s">
        <v>1721</v>
      </c>
      <c r="E128" s="5" t="s">
        <v>1721</v>
      </c>
      <c r="F128" s="5" t="s">
        <v>1721</v>
      </c>
      <c r="G128" s="5" t="s">
        <v>73</v>
      </c>
      <c r="H128" s="5" t="s">
        <v>1721</v>
      </c>
      <c r="I128" s="5" t="s">
        <v>1721</v>
      </c>
      <c r="J128" s="5" t="s">
        <v>1721</v>
      </c>
      <c r="K128" s="5" t="s">
        <v>1721</v>
      </c>
      <c r="L128" s="5" t="s">
        <v>1721</v>
      </c>
      <c r="M128" s="9">
        <v>18</v>
      </c>
      <c r="N128" s="6">
        <v>0</v>
      </c>
      <c r="O128" s="9">
        <v>3220</v>
      </c>
      <c r="P128" s="6">
        <v>0</v>
      </c>
      <c r="Q128" s="9">
        <f>Table2[[#This Row],[Atlyginimo vidurkis]]*Table2[[#This Row],[Darbuotojų skaičius]]*12</f>
        <v>695520</v>
      </c>
      <c r="R128" s="49">
        <v>0</v>
      </c>
      <c r="S128" s="9">
        <v>8897302</v>
      </c>
      <c r="T128" s="6">
        <v>0</v>
      </c>
      <c r="U128" s="9">
        <f>IF(Table2[[#This Row],[DU sąnaudos]]=0,0,Table2[[#This Row],[Apyvarta]]-Table2[[#This Row],[DU sąnaudos]]-Table2[[#This Row],[Pelnas]])</f>
        <v>8041136</v>
      </c>
      <c r="V128" s="49">
        <v>0</v>
      </c>
      <c r="W128" s="9">
        <v>160646</v>
      </c>
      <c r="X128" s="6">
        <v>0</v>
      </c>
      <c r="Y128" s="8">
        <f>Table2[[#This Row],[DU sąnaudos]]*0.43</f>
        <v>299073.59999999998</v>
      </c>
      <c r="Z128" s="8">
        <f>Table2[[#This Row],[Apyvarta]]-Table2[[#This Row],[Ne-atlyginimų sąnaudos]]+Table2[[#This Row],[Fiks ir pelno mokestis]]</f>
        <v>1155239.6000000001</v>
      </c>
    </row>
    <row r="129" spans="1:26" hidden="1" x14ac:dyDescent="0.2">
      <c r="A129" s="5" t="s">
        <v>71</v>
      </c>
      <c r="B129" s="5" t="s">
        <v>1455</v>
      </c>
      <c r="C129" s="5">
        <v>2020</v>
      </c>
      <c r="D129" s="5" t="s">
        <v>1721</v>
      </c>
      <c r="E129" s="5" t="s">
        <v>1721</v>
      </c>
      <c r="F129" s="5" t="s">
        <v>1721</v>
      </c>
      <c r="G129" s="5" t="s">
        <v>73</v>
      </c>
      <c r="H129" s="5" t="s">
        <v>1721</v>
      </c>
      <c r="I129" s="5" t="s">
        <v>1721</v>
      </c>
      <c r="J129" s="5" t="s">
        <v>1721</v>
      </c>
      <c r="K129" s="5" t="s">
        <v>1721</v>
      </c>
      <c r="L129" s="5" t="s">
        <v>1721</v>
      </c>
      <c r="M129" s="9">
        <v>18</v>
      </c>
      <c r="N129" s="6">
        <f>IFERROR(Table2[[#This Row],[Darbuotojų skaičius]]/M128-1,0)</f>
        <v>0</v>
      </c>
      <c r="O129" s="9">
        <v>3348</v>
      </c>
      <c r="P129" s="6">
        <v>3.9751552795030953E-2</v>
      </c>
      <c r="Q129" s="9">
        <f>Table2[[#This Row],[Atlyginimo vidurkis]]*Table2[[#This Row],[Darbuotojų skaičius]]*12</f>
        <v>723168</v>
      </c>
      <c r="R129" s="49">
        <f>IFERROR(Table2[[#This Row],[DU sąnaudos]]/Q128-1,0)</f>
        <v>3.9751552795030953E-2</v>
      </c>
      <c r="S129" s="9">
        <v>8847434</v>
      </c>
      <c r="T129" s="6">
        <v>-5.6048451541826916E-3</v>
      </c>
      <c r="U129" s="9">
        <f>IF(Table2[[#This Row],[DU sąnaudos]]=0,0,Table2[[#This Row],[Apyvarta]]-Table2[[#This Row],[DU sąnaudos]]-Table2[[#This Row],[Pelnas]])</f>
        <v>7877994</v>
      </c>
      <c r="V129" s="49">
        <f>IFERROR(Table2[[#This Row],[Ne-atlyginimų sąnaudos]]/U128-1,0)</f>
        <v>-2.0288426908834811E-2</v>
      </c>
      <c r="W129" s="9">
        <v>246272</v>
      </c>
      <c r="X129" s="6">
        <v>0.53301047022646064</v>
      </c>
      <c r="Y129" s="8">
        <f>Table2[[#This Row],[DU sąnaudos]]*0.43</f>
        <v>310962.24</v>
      </c>
      <c r="Z129" s="8">
        <f>Table2[[#This Row],[Apyvarta]]-Table2[[#This Row],[Ne-atlyginimų sąnaudos]]+Table2[[#This Row],[Fiks ir pelno mokestis]]</f>
        <v>1280402.24</v>
      </c>
    </row>
    <row r="130" spans="1:26" hidden="1" x14ac:dyDescent="0.2">
      <c r="A130" s="5" t="s">
        <v>71</v>
      </c>
      <c r="B130" s="5" t="s">
        <v>1455</v>
      </c>
      <c r="C130" s="5">
        <v>2021</v>
      </c>
      <c r="D130" s="5" t="s">
        <v>1721</v>
      </c>
      <c r="E130" s="5" t="s">
        <v>1721</v>
      </c>
      <c r="F130" s="5" t="s">
        <v>1721</v>
      </c>
      <c r="G130" s="5" t="s">
        <v>73</v>
      </c>
      <c r="H130" s="5" t="s">
        <v>1721</v>
      </c>
      <c r="I130" s="5" t="s">
        <v>1721</v>
      </c>
      <c r="J130" s="5" t="s">
        <v>1721</v>
      </c>
      <c r="K130" s="5" t="s">
        <v>1721</v>
      </c>
      <c r="L130" s="5" t="s">
        <v>1721</v>
      </c>
      <c r="M130" s="9">
        <v>19</v>
      </c>
      <c r="N130" s="6">
        <f>IFERROR(Table2[[#This Row],[Darbuotojų skaičius]]/M129-1,0)</f>
        <v>5.555555555555558E-2</v>
      </c>
      <c r="O130" s="9">
        <v>3357</v>
      </c>
      <c r="P130" s="6">
        <v>2.6881720430107499E-3</v>
      </c>
      <c r="Q130" s="9">
        <f>Table2[[#This Row],[Atlyginimo vidurkis]]*Table2[[#This Row],[Darbuotojų skaičius]]*12</f>
        <v>765396</v>
      </c>
      <c r="R130" s="49">
        <f>IFERROR(Table2[[#This Row],[DU sąnaudos]]/Q129-1,0)</f>
        <v>5.8393070489844767E-2</v>
      </c>
      <c r="S130" s="9">
        <v>8730690</v>
      </c>
      <c r="T130" s="6">
        <v>-1.319523830299274E-2</v>
      </c>
      <c r="U130" s="9">
        <f>IF(Table2[[#This Row],[DU sąnaudos]]=0,0,Table2[[#This Row],[Apyvarta]]-Table2[[#This Row],[DU sąnaudos]]-Table2[[#This Row],[Pelnas]])</f>
        <v>7853907</v>
      </c>
      <c r="V130" s="49">
        <f>IFERROR(Table2[[#This Row],[Ne-atlyginimų sąnaudos]]/U129-1,0)</f>
        <v>-3.0575042326764779E-3</v>
      </c>
      <c r="W130" s="9">
        <v>111387</v>
      </c>
      <c r="X130" s="6">
        <v>-0.54770741294178793</v>
      </c>
      <c r="Y130" s="8">
        <f>Table2[[#This Row],[DU sąnaudos]]*0.43</f>
        <v>329120.27999999997</v>
      </c>
      <c r="Z130" s="8">
        <f>Table2[[#This Row],[Apyvarta]]-Table2[[#This Row],[Ne-atlyginimų sąnaudos]]+Table2[[#This Row],[Fiks ir pelno mokestis]]</f>
        <v>1205903.28</v>
      </c>
    </row>
    <row r="131" spans="1:26" hidden="1" x14ac:dyDescent="0.2">
      <c r="A131" s="5" t="s">
        <v>71</v>
      </c>
      <c r="B131" s="5" t="s">
        <v>1455</v>
      </c>
      <c r="C131" s="5">
        <v>2022</v>
      </c>
      <c r="D131" s="5" t="s">
        <v>1721</v>
      </c>
      <c r="E131" s="5" t="s">
        <v>1721</v>
      </c>
      <c r="F131" s="5" t="s">
        <v>1721</v>
      </c>
      <c r="G131" s="5" t="s">
        <v>73</v>
      </c>
      <c r="H131" s="5" t="s">
        <v>1721</v>
      </c>
      <c r="I131" s="5" t="s">
        <v>1721</v>
      </c>
      <c r="J131" s="5" t="s">
        <v>1721</v>
      </c>
      <c r="K131" s="5" t="s">
        <v>1721</v>
      </c>
      <c r="L131" s="5" t="s">
        <v>1721</v>
      </c>
      <c r="M131" s="9">
        <v>63</v>
      </c>
      <c r="N131" s="6">
        <f>IFERROR(Table2[[#This Row],[Darbuotojų skaičius]]/M130-1,0)</f>
        <v>2.3157894736842106</v>
      </c>
      <c r="O131" s="9">
        <v>3112</v>
      </c>
      <c r="P131" s="6">
        <v>-7.2981829014000632E-2</v>
      </c>
      <c r="Q131" s="9">
        <f>Table2[[#This Row],[Atlyginimo vidurkis]]*Table2[[#This Row],[Darbuotojų skaičius]]*12</f>
        <v>2352672</v>
      </c>
      <c r="R131" s="49">
        <f>IFERROR(Table2[[#This Row],[DU sąnaudos]]/Q130-1,0)</f>
        <v>2.0737970932693663</v>
      </c>
      <c r="S131" s="9">
        <v>29179075</v>
      </c>
      <c r="T131" s="6">
        <v>2.3421270254699231</v>
      </c>
      <c r="U131" s="9">
        <f>IF(Table2[[#This Row],[DU sąnaudos]]=0,0,Table2[[#This Row],[Apyvarta]]-Table2[[#This Row],[DU sąnaudos]]-Table2[[#This Row],[Pelnas]])</f>
        <v>26430813</v>
      </c>
      <c r="V131" s="49">
        <f>IFERROR(Table2[[#This Row],[Ne-atlyginimų sąnaudos]]/U130-1,0)</f>
        <v>2.3653076105943196</v>
      </c>
      <c r="W131" s="9">
        <v>395590</v>
      </c>
      <c r="X131" s="6">
        <v>2.55149164624238</v>
      </c>
      <c r="Y131" s="8">
        <f>Table2[[#This Row],[DU sąnaudos]]*0.43</f>
        <v>1011648.96</v>
      </c>
      <c r="Z131" s="8">
        <f>Table2[[#This Row],[Apyvarta]]-Table2[[#This Row],[Ne-atlyginimų sąnaudos]]+Table2[[#This Row],[Fiks ir pelno mokestis]]</f>
        <v>3759910.96</v>
      </c>
    </row>
    <row r="132" spans="1:26" hidden="1" x14ac:dyDescent="0.2">
      <c r="A132" s="5" t="s">
        <v>71</v>
      </c>
      <c r="B132" s="5" t="s">
        <v>1455</v>
      </c>
      <c r="C132" s="5">
        <v>2023</v>
      </c>
      <c r="D132" s="5" t="s">
        <v>1721</v>
      </c>
      <c r="E132" s="5" t="s">
        <v>1721</v>
      </c>
      <c r="F132" s="5" t="s">
        <v>1721</v>
      </c>
      <c r="G132" s="5" t="s">
        <v>73</v>
      </c>
      <c r="H132" s="5" t="s">
        <v>1721</v>
      </c>
      <c r="I132" s="5" t="s">
        <v>1721</v>
      </c>
      <c r="J132" s="5" t="s">
        <v>1721</v>
      </c>
      <c r="K132" s="5" t="s">
        <v>1721</v>
      </c>
      <c r="L132" s="5" t="s">
        <v>1721</v>
      </c>
      <c r="M132" s="9">
        <v>68</v>
      </c>
      <c r="N132" s="6">
        <f>IFERROR(Table2[[#This Row],[Darbuotojų skaičius]]/M131-1,0)</f>
        <v>7.9365079365079305E-2</v>
      </c>
      <c r="O132" s="9">
        <v>3397</v>
      </c>
      <c r="P132" s="6">
        <v>9.1580976863753216E-2</v>
      </c>
      <c r="Q132" s="9">
        <f>Table2[[#This Row],[Atlyginimo vidurkis]]*Table2[[#This Row],[Darbuotojų skaičius]]*12</f>
        <v>2771952</v>
      </c>
      <c r="R132" s="49">
        <f>IFERROR(Table2[[#This Row],[DU sąnaudos]]/Q131-1,0)</f>
        <v>0.17821438772595588</v>
      </c>
      <c r="S132" s="9">
        <v>31485566</v>
      </c>
      <c r="T132" s="6">
        <v>7.9046062974923004E-2</v>
      </c>
      <c r="U132" s="9">
        <f>IF(Table2[[#This Row],[DU sąnaudos]]=0,0,Table2[[#This Row],[Apyvarta]]-Table2[[#This Row],[DU sąnaudos]]-Table2[[#This Row],[Pelnas]])</f>
        <v>28209333</v>
      </c>
      <c r="V132" s="49">
        <f>IFERROR(Table2[[#This Row],[Ne-atlyginimų sąnaudos]]/U131-1,0)</f>
        <v>6.7289644098348367E-2</v>
      </c>
      <c r="W132" s="9">
        <v>504281</v>
      </c>
      <c r="X132" s="6">
        <v>0.27475669253520052</v>
      </c>
      <c r="Y132" s="8">
        <f>Table2[[#This Row],[DU sąnaudos]]*0.43</f>
        <v>1191939.3599999999</v>
      </c>
      <c r="Z132" s="8">
        <f>Table2[[#This Row],[Apyvarta]]-Table2[[#This Row],[Ne-atlyginimų sąnaudos]]+Table2[[#This Row],[Fiks ir pelno mokestis]]</f>
        <v>4468172.3599999994</v>
      </c>
    </row>
    <row r="133" spans="1:26" hidden="1" x14ac:dyDescent="0.2">
      <c r="A133" s="5" t="s">
        <v>71</v>
      </c>
      <c r="B133" s="5" t="s">
        <v>1455</v>
      </c>
      <c r="C133" s="5">
        <v>2024</v>
      </c>
      <c r="D133" s="5" t="s">
        <v>1721</v>
      </c>
      <c r="E133" s="5" t="s">
        <v>1721</v>
      </c>
      <c r="F133" s="5" t="s">
        <v>1721</v>
      </c>
      <c r="G133" s="5" t="s">
        <v>73</v>
      </c>
      <c r="H133" s="5" t="s">
        <v>1721</v>
      </c>
      <c r="I133" s="5" t="s">
        <v>1721</v>
      </c>
      <c r="J133" s="5" t="s">
        <v>1721</v>
      </c>
      <c r="K133" s="5" t="s">
        <v>1721</v>
      </c>
      <c r="L133" s="5" t="s">
        <v>1721</v>
      </c>
      <c r="M133" s="9">
        <v>63</v>
      </c>
      <c r="N133" s="6">
        <f>IFERROR(Table2[[#This Row],[Darbuotojų skaičius]]/M132-1,0)</f>
        <v>-7.3529411764705843E-2</v>
      </c>
      <c r="O133" s="9">
        <v>3711</v>
      </c>
      <c r="P133" s="6">
        <v>9.2434501030320915E-2</v>
      </c>
      <c r="Q133" s="9">
        <f>Table2[[#This Row],[Atlyginimo vidurkis]]*Table2[[#This Row],[Darbuotojų skaičius]]*12</f>
        <v>2805516</v>
      </c>
      <c r="R133" s="49">
        <f>IFERROR(Table2[[#This Row],[DU sąnaudos]]/Q132-1,0)</f>
        <v>1.2108434778091315E-2</v>
      </c>
      <c r="S133" s="9">
        <v>36638811</v>
      </c>
      <c r="T133" s="6">
        <v>0.16367007663130459</v>
      </c>
      <c r="U133" s="9">
        <f>IF(Table2[[#This Row],[DU sąnaudos]]=0,0,Table2[[#This Row],[Apyvarta]]-Table2[[#This Row],[DU sąnaudos]]-Table2[[#This Row],[Pelnas]])</f>
        <v>31943676</v>
      </c>
      <c r="V133" s="49">
        <f>IFERROR(Table2[[#This Row],[Ne-atlyginimų sąnaudos]]/U132-1,0)</f>
        <v>0.13237969859124288</v>
      </c>
      <c r="W133" s="9">
        <v>1889619</v>
      </c>
      <c r="X133" s="6">
        <v>2.7471548600879272</v>
      </c>
      <c r="Y133" s="8">
        <f>Table2[[#This Row],[DU sąnaudos]]*0.43</f>
        <v>1206371.8799999999</v>
      </c>
      <c r="Z133" s="8">
        <f>Table2[[#This Row],[Apyvarta]]-Table2[[#This Row],[Ne-atlyginimų sąnaudos]]+Table2[[#This Row],[Fiks ir pelno mokestis]]</f>
        <v>5901506.8799999999</v>
      </c>
    </row>
    <row r="134" spans="1:26" hidden="1" x14ac:dyDescent="0.2">
      <c r="A134" s="5" t="s">
        <v>1457</v>
      </c>
      <c r="B134" t="s">
        <v>1458</v>
      </c>
      <c r="C134">
        <v>2019</v>
      </c>
      <c r="D134" s="5" t="s">
        <v>1721</v>
      </c>
      <c r="E134" s="5" t="s">
        <v>1721</v>
      </c>
      <c r="F134" s="5" t="s">
        <v>1721</v>
      </c>
      <c r="G134" s="5" t="s">
        <v>73</v>
      </c>
      <c r="H134" s="5" t="s">
        <v>1721</v>
      </c>
      <c r="I134" s="5" t="s">
        <v>1721</v>
      </c>
      <c r="J134" s="5" t="s">
        <v>1721</v>
      </c>
      <c r="K134" s="5" t="s">
        <v>193</v>
      </c>
      <c r="L134" s="5" t="s">
        <v>1721</v>
      </c>
      <c r="M134" s="9">
        <v>14</v>
      </c>
      <c r="N134" s="6">
        <v>0</v>
      </c>
      <c r="O134" s="9">
        <v>1748</v>
      </c>
      <c r="P134" s="6">
        <v>0</v>
      </c>
      <c r="Q134" s="9">
        <f>Table2[[#This Row],[Atlyginimo vidurkis]]*Table2[[#This Row],[Darbuotojų skaičius]]*12</f>
        <v>293664</v>
      </c>
      <c r="R134" s="49">
        <v>0</v>
      </c>
      <c r="S134" s="9">
        <v>4126272</v>
      </c>
      <c r="T134" s="6">
        <v>0</v>
      </c>
      <c r="U134" s="9">
        <f>IF(Table2[[#This Row],[DU sąnaudos]]=0,0,Table2[[#This Row],[Apyvarta]]-Table2[[#This Row],[DU sąnaudos]]-Table2[[#This Row],[Pelnas]])</f>
        <v>3605318</v>
      </c>
      <c r="V134" s="49">
        <v>0</v>
      </c>
      <c r="W134" s="9">
        <v>227290</v>
      </c>
      <c r="X134" s="6">
        <v>0</v>
      </c>
      <c r="Y134" s="8">
        <f>Table2[[#This Row],[DU sąnaudos]]*0.43</f>
        <v>126275.52</v>
      </c>
      <c r="Z134" s="8">
        <f>Table2[[#This Row],[Apyvarta]]-Table2[[#This Row],[Ne-atlyginimų sąnaudos]]+Table2[[#This Row],[Fiks ir pelno mokestis]]</f>
        <v>647229.52</v>
      </c>
    </row>
    <row r="135" spans="1:26" hidden="1" x14ac:dyDescent="0.2">
      <c r="A135" s="5" t="s">
        <v>1457</v>
      </c>
      <c r="B135" t="s">
        <v>1458</v>
      </c>
      <c r="C135">
        <v>2020</v>
      </c>
      <c r="D135" s="5" t="s">
        <v>1721</v>
      </c>
      <c r="E135" s="5" t="s">
        <v>1721</v>
      </c>
      <c r="F135" s="5" t="s">
        <v>1721</v>
      </c>
      <c r="G135" s="5" t="s">
        <v>73</v>
      </c>
      <c r="H135" s="5" t="s">
        <v>1721</v>
      </c>
      <c r="I135" s="5" t="s">
        <v>1721</v>
      </c>
      <c r="J135" s="5" t="s">
        <v>1721</v>
      </c>
      <c r="K135" s="5" t="s">
        <v>193</v>
      </c>
      <c r="L135" s="5" t="s">
        <v>1721</v>
      </c>
      <c r="M135" s="9">
        <v>14</v>
      </c>
      <c r="N135" s="6">
        <f>IFERROR(Table2[[#This Row],[Darbuotojų skaičius]]/M134-1,0)</f>
        <v>0</v>
      </c>
      <c r="O135" s="9">
        <v>2064</v>
      </c>
      <c r="P135" s="6">
        <v>0.18</v>
      </c>
      <c r="Q135" s="9">
        <f>Table2[[#This Row],[Atlyginimo vidurkis]]*Table2[[#This Row],[Darbuotojų skaičius]]*12</f>
        <v>346752</v>
      </c>
      <c r="R135" s="49">
        <f>IFERROR(Table2[[#This Row],[DU sąnaudos]]/Q134-1,0)</f>
        <v>0.18077803203661325</v>
      </c>
      <c r="S135" s="9">
        <v>4392485</v>
      </c>
      <c r="T135" s="6">
        <v>0.06</v>
      </c>
      <c r="U135" s="9">
        <f>IF(Table2[[#This Row],[DU sąnaudos]]=0,0,Table2[[#This Row],[Apyvarta]]-Table2[[#This Row],[DU sąnaudos]]-Table2[[#This Row],[Pelnas]])</f>
        <v>3906636</v>
      </c>
      <c r="V135" s="49">
        <f>IFERROR(Table2[[#This Row],[Ne-atlyginimų sąnaudos]]/U134-1,0)</f>
        <v>8.3575984143423598E-2</v>
      </c>
      <c r="W135" s="9">
        <v>139097</v>
      </c>
      <c r="X135" s="6">
        <v>-0.39</v>
      </c>
      <c r="Y135" s="8">
        <f>Table2[[#This Row],[DU sąnaudos]]*0.43</f>
        <v>149103.35999999999</v>
      </c>
      <c r="Z135" s="8">
        <f>Table2[[#This Row],[Apyvarta]]-Table2[[#This Row],[Ne-atlyginimų sąnaudos]]+Table2[[#This Row],[Fiks ir pelno mokestis]]</f>
        <v>634952.36</v>
      </c>
    </row>
    <row r="136" spans="1:26" hidden="1" x14ac:dyDescent="0.2">
      <c r="A136" s="5" t="s">
        <v>1457</v>
      </c>
      <c r="B136" t="s">
        <v>1458</v>
      </c>
      <c r="C136">
        <v>2021</v>
      </c>
      <c r="D136" s="5" t="s">
        <v>1721</v>
      </c>
      <c r="E136" s="5" t="s">
        <v>1721</v>
      </c>
      <c r="F136" s="5" t="s">
        <v>1721</v>
      </c>
      <c r="G136" s="5" t="s">
        <v>73</v>
      </c>
      <c r="H136" s="5" t="s">
        <v>1721</v>
      </c>
      <c r="I136" s="5" t="s">
        <v>1721</v>
      </c>
      <c r="J136" s="5" t="s">
        <v>1721</v>
      </c>
      <c r="K136" s="5" t="s">
        <v>193</v>
      </c>
      <c r="L136" s="5" t="s">
        <v>1721</v>
      </c>
      <c r="M136" s="9">
        <v>15</v>
      </c>
      <c r="N136" s="6">
        <f>IFERROR(Table2[[#This Row],[Darbuotojų skaičius]]/M135-1,0)</f>
        <v>7.1428571428571397E-2</v>
      </c>
      <c r="O136" s="9">
        <v>2302</v>
      </c>
      <c r="P136" s="6">
        <v>0.12</v>
      </c>
      <c r="Q136" s="9">
        <f>Table2[[#This Row],[Atlyginimo vidurkis]]*Table2[[#This Row],[Darbuotojų skaičius]]*12</f>
        <v>414360</v>
      </c>
      <c r="R136" s="49">
        <f>IFERROR(Table2[[#This Row],[DU sąnaudos]]/Q135-1,0)</f>
        <v>0.19497508305647848</v>
      </c>
      <c r="S136" s="9">
        <v>4915295</v>
      </c>
      <c r="T136" s="6">
        <v>0.12</v>
      </c>
      <c r="U136" s="9">
        <f>IF(Table2[[#This Row],[DU sąnaudos]]=0,0,Table2[[#This Row],[Apyvarta]]-Table2[[#This Row],[DU sąnaudos]]-Table2[[#This Row],[Pelnas]])</f>
        <v>4327839</v>
      </c>
      <c r="V136" s="49">
        <f>IFERROR(Table2[[#This Row],[Ne-atlyginimų sąnaudos]]/U135-1,0)</f>
        <v>0.10781731392430727</v>
      </c>
      <c r="W136" s="9">
        <v>173096</v>
      </c>
      <c r="X136" s="6">
        <v>0.24</v>
      </c>
      <c r="Y136" s="8">
        <f>Table2[[#This Row],[DU sąnaudos]]*0.43</f>
        <v>178174.8</v>
      </c>
      <c r="Z136" s="8">
        <f>Table2[[#This Row],[Apyvarta]]-Table2[[#This Row],[Ne-atlyginimų sąnaudos]]+Table2[[#This Row],[Fiks ir pelno mokestis]]</f>
        <v>765630.8</v>
      </c>
    </row>
    <row r="137" spans="1:26" hidden="1" x14ac:dyDescent="0.2">
      <c r="A137" s="5" t="s">
        <v>1457</v>
      </c>
      <c r="B137" t="s">
        <v>1458</v>
      </c>
      <c r="C137">
        <v>2022</v>
      </c>
      <c r="D137" s="5" t="s">
        <v>1721</v>
      </c>
      <c r="E137" s="5" t="s">
        <v>1721</v>
      </c>
      <c r="F137" s="5" t="s">
        <v>1721</v>
      </c>
      <c r="G137" s="5" t="s">
        <v>73</v>
      </c>
      <c r="H137" s="5" t="s">
        <v>1721</v>
      </c>
      <c r="I137" s="5" t="s">
        <v>1721</v>
      </c>
      <c r="J137" s="5" t="s">
        <v>1721</v>
      </c>
      <c r="K137" s="5" t="s">
        <v>193</v>
      </c>
      <c r="L137" s="5" t="s">
        <v>1721</v>
      </c>
      <c r="M137" s="9">
        <v>21</v>
      </c>
      <c r="N137" s="6">
        <f>IFERROR(Table2[[#This Row],[Darbuotojų skaičius]]/M136-1,0)</f>
        <v>0.39999999999999991</v>
      </c>
      <c r="O137" s="9">
        <v>2523</v>
      </c>
      <c r="P137" s="6">
        <v>0.1</v>
      </c>
      <c r="Q137" s="9">
        <f>Table2[[#This Row],[Atlyginimo vidurkis]]*Table2[[#This Row],[Darbuotojų skaičius]]*12</f>
        <v>635796</v>
      </c>
      <c r="R137" s="49">
        <f>IFERROR(Table2[[#This Row],[DU sąnaudos]]/Q136-1,0)</f>
        <v>0.53440486533449172</v>
      </c>
      <c r="S137" s="9">
        <v>7618331</v>
      </c>
      <c r="T137" s="6">
        <v>0.55000000000000004</v>
      </c>
      <c r="U137" s="9">
        <f>IF(Table2[[#This Row],[DU sąnaudos]]=0,0,Table2[[#This Row],[Apyvarta]]-Table2[[#This Row],[DU sąnaudos]]-Table2[[#This Row],[Pelnas]])</f>
        <v>6724591</v>
      </c>
      <c r="V137" s="49">
        <f>IFERROR(Table2[[#This Row],[Ne-atlyginimų sąnaudos]]/U136-1,0)</f>
        <v>0.55379878964998475</v>
      </c>
      <c r="W137" s="9">
        <v>257944</v>
      </c>
      <c r="X137" s="6">
        <v>0.49</v>
      </c>
      <c r="Y137" s="8">
        <f>Table2[[#This Row],[DU sąnaudos]]*0.43</f>
        <v>273392.27999999997</v>
      </c>
      <c r="Z137" s="8">
        <f>Table2[[#This Row],[Apyvarta]]-Table2[[#This Row],[Ne-atlyginimų sąnaudos]]+Table2[[#This Row],[Fiks ir pelno mokestis]]</f>
        <v>1167132.28</v>
      </c>
    </row>
    <row r="138" spans="1:26" hidden="1" x14ac:dyDescent="0.2">
      <c r="A138" s="5" t="s">
        <v>1457</v>
      </c>
      <c r="B138" t="s">
        <v>1458</v>
      </c>
      <c r="C138">
        <v>2023</v>
      </c>
      <c r="D138" s="5" t="s">
        <v>1721</v>
      </c>
      <c r="E138" s="5" t="s">
        <v>1721</v>
      </c>
      <c r="F138" s="5" t="s">
        <v>1721</v>
      </c>
      <c r="G138" s="5" t="s">
        <v>73</v>
      </c>
      <c r="H138" s="5" t="s">
        <v>1721</v>
      </c>
      <c r="I138" s="5" t="s">
        <v>1721</v>
      </c>
      <c r="J138" s="5" t="s">
        <v>1721</v>
      </c>
      <c r="K138" s="5" t="s">
        <v>193</v>
      </c>
      <c r="L138" s="5" t="s">
        <v>1721</v>
      </c>
      <c r="M138" s="9">
        <v>25</v>
      </c>
      <c r="N138" s="6">
        <f>IFERROR(Table2[[#This Row],[Darbuotojų skaičius]]/M137-1,0)</f>
        <v>0.19047619047619047</v>
      </c>
      <c r="O138" s="9">
        <v>2684</v>
      </c>
      <c r="P138" s="6">
        <v>0.06</v>
      </c>
      <c r="Q138" s="9">
        <f>Table2[[#This Row],[Atlyginimo vidurkis]]*Table2[[#This Row],[Darbuotojų skaičius]]*12</f>
        <v>805200</v>
      </c>
      <c r="R138" s="49">
        <f>IFERROR(Table2[[#This Row],[DU sąnaudos]]/Q137-1,0)</f>
        <v>0.26644395372100482</v>
      </c>
      <c r="S138" s="9">
        <v>5004244</v>
      </c>
      <c r="T138" s="6">
        <v>-0.34</v>
      </c>
      <c r="U138" s="9">
        <f>IF(Table2[[#This Row],[DU sąnaudos]]=0,0,Table2[[#This Row],[Apyvarta]]-Table2[[#This Row],[DU sąnaudos]]-Table2[[#This Row],[Pelnas]])</f>
        <v>4125374</v>
      </c>
      <c r="V138" s="49">
        <f>IFERROR(Table2[[#This Row],[Ne-atlyginimų sąnaudos]]/U137-1,0)</f>
        <v>-0.38652417671201122</v>
      </c>
      <c r="W138" s="9">
        <v>73670</v>
      </c>
      <c r="X138" s="6">
        <v>-0.71</v>
      </c>
      <c r="Y138" s="8">
        <f>Table2[[#This Row],[DU sąnaudos]]*0.43</f>
        <v>346236</v>
      </c>
      <c r="Z138" s="8">
        <f>Table2[[#This Row],[Apyvarta]]-Table2[[#This Row],[Ne-atlyginimų sąnaudos]]+Table2[[#This Row],[Fiks ir pelno mokestis]]</f>
        <v>1225106</v>
      </c>
    </row>
    <row r="139" spans="1:26" hidden="1" x14ac:dyDescent="0.2">
      <c r="A139" s="5" t="s">
        <v>1457</v>
      </c>
      <c r="B139" t="s">
        <v>1458</v>
      </c>
      <c r="C139">
        <v>2024</v>
      </c>
      <c r="D139" s="5" t="s">
        <v>1721</v>
      </c>
      <c r="E139" s="5" t="s">
        <v>1721</v>
      </c>
      <c r="F139" s="5" t="s">
        <v>1721</v>
      </c>
      <c r="G139" s="5" t="s">
        <v>73</v>
      </c>
      <c r="H139" s="5" t="s">
        <v>1721</v>
      </c>
      <c r="I139" s="5" t="s">
        <v>1721</v>
      </c>
      <c r="J139" s="5" t="s">
        <v>1721</v>
      </c>
      <c r="K139" s="5" t="s">
        <v>193</v>
      </c>
      <c r="L139" s="5" t="s">
        <v>1721</v>
      </c>
      <c r="M139" s="9">
        <v>23</v>
      </c>
      <c r="N139" s="6">
        <f>IFERROR(Table2[[#This Row],[Darbuotojų skaičius]]/M138-1,0)</f>
        <v>-7.999999999999996E-2</v>
      </c>
      <c r="O139" s="9">
        <v>3002</v>
      </c>
      <c r="P139" s="6">
        <v>0.12</v>
      </c>
      <c r="Q139" s="9">
        <f>Table2[[#This Row],[Atlyginimo vidurkis]]*Table2[[#This Row],[Darbuotojų skaičius]]*12</f>
        <v>828552</v>
      </c>
      <c r="R139" s="49">
        <f>IFERROR(Table2[[#This Row],[DU sąnaudos]]/Q138-1,0)</f>
        <v>2.9001490312965617E-2</v>
      </c>
      <c r="S139" s="9">
        <v>3893452</v>
      </c>
      <c r="T139" s="6">
        <v>-0.22</v>
      </c>
      <c r="U139" s="9">
        <f>IF(Table2[[#This Row],[DU sąnaudos]]=0,0,Table2[[#This Row],[Apyvarta]]-Table2[[#This Row],[DU sąnaudos]]-Table2[[#This Row],[Pelnas]])</f>
        <v>3280462</v>
      </c>
      <c r="V139" s="49">
        <f>IFERROR(Table2[[#This Row],[Ne-atlyginimų sąnaudos]]/U138-1,0)</f>
        <v>-0.20480858220369835</v>
      </c>
      <c r="W139" s="9">
        <v>-215562</v>
      </c>
      <c r="X139" s="6">
        <v>-3.93</v>
      </c>
      <c r="Y139" s="8">
        <f>Table2[[#This Row],[DU sąnaudos]]*0.43</f>
        <v>356277.36</v>
      </c>
      <c r="Z139" s="8">
        <f>Table2[[#This Row],[Apyvarta]]-Table2[[#This Row],[Ne-atlyginimų sąnaudos]]+Table2[[#This Row],[Fiks ir pelno mokestis]]</f>
        <v>969267.36</v>
      </c>
    </row>
    <row r="140" spans="1:26" hidden="1" x14ac:dyDescent="0.2">
      <c r="A140" s="5" t="s">
        <v>941</v>
      </c>
      <c r="B140" s="5" t="s">
        <v>1459</v>
      </c>
      <c r="C140" s="5">
        <v>2019</v>
      </c>
      <c r="D140" s="5" t="s">
        <v>1721</v>
      </c>
      <c r="E140" s="5" t="s">
        <v>1721</v>
      </c>
      <c r="F140" s="5" t="s">
        <v>1721</v>
      </c>
      <c r="G140" s="5" t="s">
        <v>1721</v>
      </c>
      <c r="H140" s="5" t="s">
        <v>1721</v>
      </c>
      <c r="I140" s="5" t="s">
        <v>1721</v>
      </c>
      <c r="J140" s="5" t="s">
        <v>1721</v>
      </c>
      <c r="K140" s="5" t="s">
        <v>193</v>
      </c>
      <c r="L140" s="5" t="s">
        <v>1721</v>
      </c>
      <c r="M140" s="9">
        <v>0</v>
      </c>
      <c r="N140" s="6">
        <v>0</v>
      </c>
      <c r="O140" s="9">
        <v>0</v>
      </c>
      <c r="P140" s="6">
        <v>0</v>
      </c>
      <c r="Q140" s="9">
        <f>Table2[[#This Row],[Atlyginimo vidurkis]]*Table2[[#This Row],[Darbuotojų skaičius]]*12</f>
        <v>0</v>
      </c>
      <c r="R140" s="49">
        <v>0</v>
      </c>
      <c r="S140" s="9">
        <v>0</v>
      </c>
      <c r="T140" s="6">
        <v>0</v>
      </c>
      <c r="U140" s="9">
        <f>IF(Table2[[#This Row],[DU sąnaudos]]=0,0,Table2[[#This Row],[Apyvarta]]-Table2[[#This Row],[DU sąnaudos]]-Table2[[#This Row],[Pelnas]])</f>
        <v>0</v>
      </c>
      <c r="V140" s="49">
        <v>0</v>
      </c>
      <c r="W140" s="9">
        <v>0</v>
      </c>
      <c r="X140" s="6">
        <v>0</v>
      </c>
      <c r="Y140" s="8">
        <f>Table2[[#This Row],[DU sąnaudos]]*0.43</f>
        <v>0</v>
      </c>
      <c r="Z140" s="8">
        <f>Table2[[#This Row],[Apyvarta]]-Table2[[#This Row],[Ne-atlyginimų sąnaudos]]+Table2[[#This Row],[Fiks ir pelno mokestis]]</f>
        <v>0</v>
      </c>
    </row>
    <row r="141" spans="1:26" hidden="1" x14ac:dyDescent="0.2">
      <c r="A141" s="5" t="s">
        <v>941</v>
      </c>
      <c r="B141" s="5" t="s">
        <v>1459</v>
      </c>
      <c r="C141" s="5">
        <v>2020</v>
      </c>
      <c r="D141" s="5" t="s">
        <v>1721</v>
      </c>
      <c r="E141" s="5" t="s">
        <v>1721</v>
      </c>
      <c r="F141" s="5" t="s">
        <v>1721</v>
      </c>
      <c r="G141" s="5" t="s">
        <v>1721</v>
      </c>
      <c r="H141" s="5" t="s">
        <v>1721</v>
      </c>
      <c r="I141" s="5" t="s">
        <v>1721</v>
      </c>
      <c r="J141" s="5" t="s">
        <v>1721</v>
      </c>
      <c r="K141" s="5" t="s">
        <v>193</v>
      </c>
      <c r="L141" s="5" t="s">
        <v>1721</v>
      </c>
      <c r="M141" s="9">
        <v>0</v>
      </c>
      <c r="N141" s="6">
        <f>IFERROR(Table2[[#This Row],[Darbuotojų skaičius]]/M140-1,0)</f>
        <v>0</v>
      </c>
      <c r="O141" s="9">
        <v>0</v>
      </c>
      <c r="P141" s="6">
        <v>0</v>
      </c>
      <c r="Q141" s="9">
        <f>Table2[[#This Row],[Atlyginimo vidurkis]]*Table2[[#This Row],[Darbuotojų skaičius]]*12</f>
        <v>0</v>
      </c>
      <c r="R141" s="49">
        <f>IFERROR(Table2[[#This Row],[DU sąnaudos]]/Q140-1,0)</f>
        <v>0</v>
      </c>
      <c r="S141" s="9">
        <v>0</v>
      </c>
      <c r="T141" s="6">
        <v>0</v>
      </c>
      <c r="U141" s="9">
        <f>IF(Table2[[#This Row],[DU sąnaudos]]=0,0,Table2[[#This Row],[Apyvarta]]-Table2[[#This Row],[DU sąnaudos]]-Table2[[#This Row],[Pelnas]])</f>
        <v>0</v>
      </c>
      <c r="V141" s="49">
        <f>IFERROR(Table2[[#This Row],[Ne-atlyginimų sąnaudos]]/U140-1,0)</f>
        <v>0</v>
      </c>
      <c r="W141" s="9">
        <v>0</v>
      </c>
      <c r="X141" s="6">
        <v>0</v>
      </c>
      <c r="Y141" s="8">
        <f>Table2[[#This Row],[DU sąnaudos]]*0.43</f>
        <v>0</v>
      </c>
      <c r="Z141" s="8">
        <f>Table2[[#This Row],[Apyvarta]]-Table2[[#This Row],[Ne-atlyginimų sąnaudos]]+Table2[[#This Row],[Fiks ir pelno mokestis]]</f>
        <v>0</v>
      </c>
    </row>
    <row r="142" spans="1:26" hidden="1" x14ac:dyDescent="0.2">
      <c r="A142" s="5" t="s">
        <v>941</v>
      </c>
      <c r="B142" s="5" t="s">
        <v>1459</v>
      </c>
      <c r="C142" s="5">
        <v>2021</v>
      </c>
      <c r="D142" s="5" t="s">
        <v>1721</v>
      </c>
      <c r="E142" s="5" t="s">
        <v>1721</v>
      </c>
      <c r="F142" s="5" t="s">
        <v>1721</v>
      </c>
      <c r="G142" s="5" t="s">
        <v>1721</v>
      </c>
      <c r="H142" s="5" t="s">
        <v>1721</v>
      </c>
      <c r="I142" s="5" t="s">
        <v>1721</v>
      </c>
      <c r="J142" s="5" t="s">
        <v>1721</v>
      </c>
      <c r="K142" s="5" t="s">
        <v>193</v>
      </c>
      <c r="L142" s="5" t="s">
        <v>1721</v>
      </c>
      <c r="M142" s="9">
        <v>0</v>
      </c>
      <c r="N142" s="6">
        <f>IFERROR(Table2[[#This Row],[Darbuotojų skaičius]]/M141-1,0)</f>
        <v>0</v>
      </c>
      <c r="O142" s="9">
        <v>0</v>
      </c>
      <c r="P142" s="6">
        <v>0</v>
      </c>
      <c r="Q142" s="9">
        <f>Table2[[#This Row],[Atlyginimo vidurkis]]*Table2[[#This Row],[Darbuotojų skaičius]]*12</f>
        <v>0</v>
      </c>
      <c r="R142" s="49">
        <f>IFERROR(Table2[[#This Row],[DU sąnaudos]]/Q141-1,0)</f>
        <v>0</v>
      </c>
      <c r="S142" s="9">
        <v>0</v>
      </c>
      <c r="T142" s="6">
        <v>0</v>
      </c>
      <c r="U142" s="9">
        <f>IF(Table2[[#This Row],[DU sąnaudos]]=0,0,Table2[[#This Row],[Apyvarta]]-Table2[[#This Row],[DU sąnaudos]]-Table2[[#This Row],[Pelnas]])</f>
        <v>0</v>
      </c>
      <c r="V142" s="49">
        <f>IFERROR(Table2[[#This Row],[Ne-atlyginimų sąnaudos]]/U141-1,0)</f>
        <v>0</v>
      </c>
      <c r="W142" s="9">
        <v>0</v>
      </c>
      <c r="X142" s="6">
        <v>0</v>
      </c>
      <c r="Y142" s="8">
        <f>Table2[[#This Row],[DU sąnaudos]]*0.43</f>
        <v>0</v>
      </c>
      <c r="Z142" s="8">
        <f>Table2[[#This Row],[Apyvarta]]-Table2[[#This Row],[Ne-atlyginimų sąnaudos]]+Table2[[#This Row],[Fiks ir pelno mokestis]]</f>
        <v>0</v>
      </c>
    </row>
    <row r="143" spans="1:26" hidden="1" x14ac:dyDescent="0.2">
      <c r="A143" s="5" t="s">
        <v>941</v>
      </c>
      <c r="B143" s="5" t="s">
        <v>1459</v>
      </c>
      <c r="C143" s="5">
        <v>2022</v>
      </c>
      <c r="D143" s="5" t="s">
        <v>1721</v>
      </c>
      <c r="E143" s="5" t="s">
        <v>1721</v>
      </c>
      <c r="F143" s="5" t="s">
        <v>1721</v>
      </c>
      <c r="G143" s="5" t="s">
        <v>1721</v>
      </c>
      <c r="H143" s="5" t="s">
        <v>1721</v>
      </c>
      <c r="I143" s="5" t="s">
        <v>1721</v>
      </c>
      <c r="J143" s="5" t="s">
        <v>1721</v>
      </c>
      <c r="K143" s="5" t="s">
        <v>193</v>
      </c>
      <c r="L143" s="5" t="s">
        <v>1721</v>
      </c>
      <c r="M143" s="9">
        <v>0</v>
      </c>
      <c r="N143" s="6">
        <f>IFERROR(Table2[[#This Row],[Darbuotojų skaičius]]/M142-1,0)</f>
        <v>0</v>
      </c>
      <c r="O143" s="9">
        <v>0</v>
      </c>
      <c r="P143" s="6">
        <v>0</v>
      </c>
      <c r="Q143" s="9">
        <f>Table2[[#This Row],[Atlyginimo vidurkis]]*Table2[[#This Row],[Darbuotojų skaičius]]*12</f>
        <v>0</v>
      </c>
      <c r="R143" s="49">
        <f>IFERROR(Table2[[#This Row],[DU sąnaudos]]/Q142-1,0)</f>
        <v>0</v>
      </c>
      <c r="S143" s="9">
        <v>0</v>
      </c>
      <c r="T143" s="6">
        <v>0</v>
      </c>
      <c r="U143" s="9">
        <f>IF(Table2[[#This Row],[DU sąnaudos]]=0,0,Table2[[#This Row],[Apyvarta]]-Table2[[#This Row],[DU sąnaudos]]-Table2[[#This Row],[Pelnas]])</f>
        <v>0</v>
      </c>
      <c r="V143" s="49">
        <f>IFERROR(Table2[[#This Row],[Ne-atlyginimų sąnaudos]]/U142-1,0)</f>
        <v>0</v>
      </c>
      <c r="W143" s="9">
        <v>0</v>
      </c>
      <c r="X143" s="6">
        <v>0</v>
      </c>
      <c r="Y143" s="8">
        <f>Table2[[#This Row],[DU sąnaudos]]*0.43</f>
        <v>0</v>
      </c>
      <c r="Z143" s="8">
        <f>Table2[[#This Row],[Apyvarta]]-Table2[[#This Row],[Ne-atlyginimų sąnaudos]]+Table2[[#This Row],[Fiks ir pelno mokestis]]</f>
        <v>0</v>
      </c>
    </row>
    <row r="144" spans="1:26" hidden="1" x14ac:dyDescent="0.2">
      <c r="A144" s="5" t="s">
        <v>941</v>
      </c>
      <c r="B144" s="5" t="s">
        <v>1459</v>
      </c>
      <c r="C144" s="5">
        <v>2023</v>
      </c>
      <c r="D144" s="5" t="s">
        <v>1721</v>
      </c>
      <c r="E144" s="5" t="s">
        <v>1721</v>
      </c>
      <c r="F144" s="5" t="s">
        <v>1721</v>
      </c>
      <c r="G144" s="5" t="s">
        <v>1721</v>
      </c>
      <c r="H144" s="5" t="s">
        <v>1721</v>
      </c>
      <c r="I144" s="5" t="s">
        <v>1721</v>
      </c>
      <c r="J144" s="5" t="s">
        <v>1721</v>
      </c>
      <c r="K144" s="5" t="s">
        <v>193</v>
      </c>
      <c r="L144" s="5" t="s">
        <v>1721</v>
      </c>
      <c r="M144" s="9">
        <v>0</v>
      </c>
      <c r="N144" s="6">
        <f>IFERROR(Table2[[#This Row],[Darbuotojų skaičius]]/M143-1,0)</f>
        <v>0</v>
      </c>
      <c r="O144" s="9">
        <v>0</v>
      </c>
      <c r="P144" s="6">
        <v>0</v>
      </c>
      <c r="Q144" s="9">
        <f>Table2[[#This Row],[Atlyginimo vidurkis]]*Table2[[#This Row],[Darbuotojų skaičius]]*12</f>
        <v>0</v>
      </c>
      <c r="R144" s="49">
        <f>IFERROR(Table2[[#This Row],[DU sąnaudos]]/Q143-1,0)</f>
        <v>0</v>
      </c>
      <c r="S144" s="9">
        <v>9309</v>
      </c>
      <c r="T144" s="6">
        <v>0</v>
      </c>
      <c r="U144" s="9">
        <f>IF(Table2[[#This Row],[DU sąnaudos]]=0,0,Table2[[#This Row],[Apyvarta]]-Table2[[#This Row],[DU sąnaudos]]-Table2[[#This Row],[Pelnas]])</f>
        <v>0</v>
      </c>
      <c r="V144" s="49">
        <f>IFERROR(Table2[[#This Row],[Ne-atlyginimų sąnaudos]]/U143-1,0)</f>
        <v>0</v>
      </c>
      <c r="W144" s="9">
        <v>2289</v>
      </c>
      <c r="X144" s="6">
        <v>0</v>
      </c>
      <c r="Y144" s="8">
        <f>Table2[[#This Row],[DU sąnaudos]]*0.43</f>
        <v>0</v>
      </c>
      <c r="Z144" s="8">
        <f>Table2[[#This Row],[Apyvarta]]-Table2[[#This Row],[Ne-atlyginimų sąnaudos]]+Table2[[#This Row],[Fiks ir pelno mokestis]]</f>
        <v>9309</v>
      </c>
    </row>
    <row r="145" spans="1:26" hidden="1" x14ac:dyDescent="0.2">
      <c r="A145" s="5" t="s">
        <v>941</v>
      </c>
      <c r="B145" s="5" t="s">
        <v>1459</v>
      </c>
      <c r="C145" s="5">
        <v>2024</v>
      </c>
      <c r="D145" s="5" t="s">
        <v>1721</v>
      </c>
      <c r="E145" s="5" t="s">
        <v>1721</v>
      </c>
      <c r="F145" s="5" t="s">
        <v>1721</v>
      </c>
      <c r="G145" s="5" t="s">
        <v>1721</v>
      </c>
      <c r="H145" s="5" t="s">
        <v>1721</v>
      </c>
      <c r="I145" s="5" t="s">
        <v>1721</v>
      </c>
      <c r="J145" s="5" t="s">
        <v>1721</v>
      </c>
      <c r="K145" s="5" t="s">
        <v>193</v>
      </c>
      <c r="L145" s="5" t="s">
        <v>1721</v>
      </c>
      <c r="M145" s="9">
        <v>0</v>
      </c>
      <c r="N145" s="6">
        <f>IFERROR(Table2[[#This Row],[Darbuotojų skaičius]]/M144-1,0)</f>
        <v>0</v>
      </c>
      <c r="O145" s="9">
        <v>0</v>
      </c>
      <c r="P145" s="6">
        <v>0</v>
      </c>
      <c r="Q145" s="9">
        <f>Table2[[#This Row],[Atlyginimo vidurkis]]*Table2[[#This Row],[Darbuotojų skaičius]]*12</f>
        <v>0</v>
      </c>
      <c r="R145" s="49">
        <f>IFERROR(Table2[[#This Row],[DU sąnaudos]]/Q144-1,0)</f>
        <v>0</v>
      </c>
      <c r="S145" s="9">
        <v>10169</v>
      </c>
      <c r="T145" s="6">
        <v>9.2383714684713736E-2</v>
      </c>
      <c r="U145" s="9">
        <f>IF(Table2[[#This Row],[DU sąnaudos]]=0,0,Table2[[#This Row],[Apyvarta]]-Table2[[#This Row],[DU sąnaudos]]-Table2[[#This Row],[Pelnas]])</f>
        <v>0</v>
      </c>
      <c r="V145" s="49">
        <f>IFERROR(Table2[[#This Row],[Ne-atlyginimų sąnaudos]]/U144-1,0)</f>
        <v>0</v>
      </c>
      <c r="W145" s="9">
        <v>-14089</v>
      </c>
      <c r="X145" s="6">
        <v>-7.1550895587592844</v>
      </c>
      <c r="Y145" s="8">
        <f>Table2[[#This Row],[DU sąnaudos]]*0.43</f>
        <v>0</v>
      </c>
      <c r="Z145" s="8">
        <f>Table2[[#This Row],[Apyvarta]]-Table2[[#This Row],[Ne-atlyginimų sąnaudos]]+Table2[[#This Row],[Fiks ir pelno mokestis]]</f>
        <v>10169</v>
      </c>
    </row>
    <row r="146" spans="1:26" hidden="1" x14ac:dyDescent="0.2">
      <c r="A146" s="5" t="s">
        <v>614</v>
      </c>
      <c r="B146" s="5" t="s">
        <v>1463</v>
      </c>
      <c r="C146" s="5">
        <v>2019</v>
      </c>
      <c r="D146" s="5" t="s">
        <v>1721</v>
      </c>
      <c r="E146" s="5" t="s">
        <v>1721</v>
      </c>
      <c r="F146" s="5" t="s">
        <v>1721</v>
      </c>
      <c r="G146" s="5" t="s">
        <v>1721</v>
      </c>
      <c r="H146" s="5" t="s">
        <v>1721</v>
      </c>
      <c r="I146" s="5" t="s">
        <v>280</v>
      </c>
      <c r="J146" s="5" t="s">
        <v>1721</v>
      </c>
      <c r="K146" s="5" t="s">
        <v>1721</v>
      </c>
      <c r="L146" s="5" t="s">
        <v>1721</v>
      </c>
      <c r="M146" s="9">
        <v>20</v>
      </c>
      <c r="N146" s="6">
        <v>0</v>
      </c>
      <c r="O146" s="9">
        <v>2654</v>
      </c>
      <c r="P146" s="6">
        <v>0</v>
      </c>
      <c r="Q146" s="9">
        <f>Table2[[#This Row],[Atlyginimo vidurkis]]*Table2[[#This Row],[Darbuotojų skaičius]]*12</f>
        <v>636960</v>
      </c>
      <c r="R146" s="49">
        <v>0</v>
      </c>
      <c r="S146" s="9">
        <v>1758089</v>
      </c>
      <c r="T146" s="6">
        <v>0</v>
      </c>
      <c r="U146" s="9">
        <f>IF(Table2[[#This Row],[DU sąnaudos]]=0,0,Table2[[#This Row],[Apyvarta]]-Table2[[#This Row],[DU sąnaudos]]-Table2[[#This Row],[Pelnas]])</f>
        <v>1118561</v>
      </c>
      <c r="V146" s="49">
        <v>0</v>
      </c>
      <c r="W146" s="9">
        <v>2568</v>
      </c>
      <c r="X146" s="6">
        <v>0</v>
      </c>
      <c r="Y146" s="8">
        <f>Table2[[#This Row],[DU sąnaudos]]*0.43</f>
        <v>273892.8</v>
      </c>
      <c r="Z146" s="8">
        <f>Table2[[#This Row],[Apyvarta]]-Table2[[#This Row],[Ne-atlyginimų sąnaudos]]+Table2[[#This Row],[Fiks ir pelno mokestis]]</f>
        <v>913420.80000000005</v>
      </c>
    </row>
    <row r="147" spans="1:26" hidden="1" x14ac:dyDescent="0.2">
      <c r="A147" s="5" t="s">
        <v>614</v>
      </c>
      <c r="B147" s="5" t="s">
        <v>1463</v>
      </c>
      <c r="C147" s="5">
        <v>2020</v>
      </c>
      <c r="D147" s="5" t="s">
        <v>1721</v>
      </c>
      <c r="E147" s="5" t="s">
        <v>1721</v>
      </c>
      <c r="F147" s="5" t="s">
        <v>1721</v>
      </c>
      <c r="G147" s="5" t="s">
        <v>1721</v>
      </c>
      <c r="H147" s="5" t="s">
        <v>1721</v>
      </c>
      <c r="I147" s="5" t="s">
        <v>280</v>
      </c>
      <c r="J147" s="5" t="s">
        <v>1721</v>
      </c>
      <c r="K147" s="5" t="s">
        <v>1721</v>
      </c>
      <c r="L147" s="5" t="s">
        <v>1721</v>
      </c>
      <c r="M147" s="9">
        <v>18</v>
      </c>
      <c r="N147" s="6">
        <f>IFERROR(Table2[[#This Row],[Darbuotojų skaičius]]/M146-1,0)</f>
        <v>-9.9999999999999978E-2</v>
      </c>
      <c r="O147" s="9">
        <v>2194</v>
      </c>
      <c r="P147" s="6">
        <v>-0.17332328560663149</v>
      </c>
      <c r="Q147" s="9">
        <f>Table2[[#This Row],[Atlyginimo vidurkis]]*Table2[[#This Row],[Darbuotojų skaičius]]*12</f>
        <v>473904</v>
      </c>
      <c r="R147" s="49">
        <f>IFERROR(Table2[[#This Row],[DU sąnaudos]]/Q146-1,0)</f>
        <v>-0.2559909570459683</v>
      </c>
      <c r="S147" s="9">
        <v>981515</v>
      </c>
      <c r="T147" s="6">
        <v>-0.44171483923737648</v>
      </c>
      <c r="U147" s="9">
        <f>IF(Table2[[#This Row],[DU sąnaudos]]=0,0,Table2[[#This Row],[Apyvarta]]-Table2[[#This Row],[DU sąnaudos]]-Table2[[#This Row],[Pelnas]])</f>
        <v>568325</v>
      </c>
      <c r="V147" s="49">
        <f>IFERROR(Table2[[#This Row],[Ne-atlyginimų sąnaudos]]/U146-1,0)</f>
        <v>-0.49191416471698901</v>
      </c>
      <c r="W147" s="9">
        <v>-60714</v>
      </c>
      <c r="X147" s="6">
        <v>-24.642523364485982</v>
      </c>
      <c r="Y147" s="8">
        <f>Table2[[#This Row],[DU sąnaudos]]*0.43</f>
        <v>203778.72</v>
      </c>
      <c r="Z147" s="8">
        <f>Table2[[#This Row],[Apyvarta]]-Table2[[#This Row],[Ne-atlyginimų sąnaudos]]+Table2[[#This Row],[Fiks ir pelno mokestis]]</f>
        <v>616968.72</v>
      </c>
    </row>
    <row r="148" spans="1:26" hidden="1" x14ac:dyDescent="0.2">
      <c r="A148" s="5" t="s">
        <v>614</v>
      </c>
      <c r="B148" s="5" t="s">
        <v>1463</v>
      </c>
      <c r="C148" s="5">
        <v>2021</v>
      </c>
      <c r="D148" s="5" t="s">
        <v>1721</v>
      </c>
      <c r="E148" s="5" t="s">
        <v>1721</v>
      </c>
      <c r="F148" s="5" t="s">
        <v>1721</v>
      </c>
      <c r="G148" s="5" t="s">
        <v>1721</v>
      </c>
      <c r="H148" s="5" t="s">
        <v>1721</v>
      </c>
      <c r="I148" s="5" t="s">
        <v>280</v>
      </c>
      <c r="J148" s="5" t="s">
        <v>1721</v>
      </c>
      <c r="K148" s="5" t="s">
        <v>1721</v>
      </c>
      <c r="L148" s="5" t="s">
        <v>1721</v>
      </c>
      <c r="M148" s="9">
        <v>19</v>
      </c>
      <c r="N148" s="6">
        <f>IFERROR(Table2[[#This Row],[Darbuotojų skaičius]]/M147-1,0)</f>
        <v>5.555555555555558E-2</v>
      </c>
      <c r="O148" s="9">
        <v>2888</v>
      </c>
      <c r="P148" s="6">
        <v>0.31631722880583402</v>
      </c>
      <c r="Q148" s="9">
        <f>Table2[[#This Row],[Atlyginimo vidurkis]]*Table2[[#This Row],[Darbuotojų skaičius]]*12</f>
        <v>658464</v>
      </c>
      <c r="R148" s="49">
        <f>IFERROR(Table2[[#This Row],[DU sąnaudos]]/Q147-1,0)</f>
        <v>0.38944596373949159</v>
      </c>
      <c r="S148" s="9">
        <v>1573797</v>
      </c>
      <c r="T148" s="6">
        <v>0.60343652414889237</v>
      </c>
      <c r="U148" s="9">
        <f>IF(Table2[[#This Row],[DU sąnaudos]]=0,0,Table2[[#This Row],[Apyvarta]]-Table2[[#This Row],[DU sąnaudos]]-Table2[[#This Row],[Pelnas]])</f>
        <v>826265</v>
      </c>
      <c r="V148" s="49">
        <f>IFERROR(Table2[[#This Row],[Ne-atlyginimų sąnaudos]]/U147-1,0)</f>
        <v>0.45386002727312724</v>
      </c>
      <c r="W148" s="9">
        <v>89068</v>
      </c>
      <c r="X148" s="6">
        <v>-2.467009256514149</v>
      </c>
      <c r="Y148" s="8">
        <f>Table2[[#This Row],[DU sąnaudos]]*0.43</f>
        <v>283139.52</v>
      </c>
      <c r="Z148" s="8">
        <f>Table2[[#This Row],[Apyvarta]]-Table2[[#This Row],[Ne-atlyginimų sąnaudos]]+Table2[[#This Row],[Fiks ir pelno mokestis]]</f>
        <v>1030671.52</v>
      </c>
    </row>
    <row r="149" spans="1:26" hidden="1" x14ac:dyDescent="0.2">
      <c r="A149" s="5" t="s">
        <v>614</v>
      </c>
      <c r="B149" s="5" t="s">
        <v>1463</v>
      </c>
      <c r="C149" s="5">
        <v>2022</v>
      </c>
      <c r="D149" s="5" t="s">
        <v>1721</v>
      </c>
      <c r="E149" s="5" t="s">
        <v>1721</v>
      </c>
      <c r="F149" s="5" t="s">
        <v>1721</v>
      </c>
      <c r="G149" s="5" t="s">
        <v>1721</v>
      </c>
      <c r="H149" s="5" t="s">
        <v>1721</v>
      </c>
      <c r="I149" s="5" t="s">
        <v>280</v>
      </c>
      <c r="J149" s="5" t="s">
        <v>1721</v>
      </c>
      <c r="K149" s="5" t="s">
        <v>1721</v>
      </c>
      <c r="L149" s="5" t="s">
        <v>1721</v>
      </c>
      <c r="M149" s="9">
        <v>22</v>
      </c>
      <c r="N149" s="6">
        <f>IFERROR(Table2[[#This Row],[Darbuotojų skaičius]]/M148-1,0)</f>
        <v>0.15789473684210531</v>
      </c>
      <c r="O149" s="9">
        <v>2866</v>
      </c>
      <c r="P149" s="6">
        <v>-7.6177285318559376E-3</v>
      </c>
      <c r="Q149" s="9">
        <f>Table2[[#This Row],[Atlyginimo vidurkis]]*Table2[[#This Row],[Darbuotojų skaičius]]*12</f>
        <v>756624</v>
      </c>
      <c r="R149" s="49">
        <f>IFERROR(Table2[[#This Row],[DU sąnaudos]]/Q148-1,0)</f>
        <v>0.14907420906837721</v>
      </c>
      <c r="S149" s="9">
        <v>1401240</v>
      </c>
      <c r="T149" s="6">
        <v>-0.1096437469381375</v>
      </c>
      <c r="U149" s="9">
        <f>IF(Table2[[#This Row],[DU sąnaudos]]=0,0,Table2[[#This Row],[Apyvarta]]-Table2[[#This Row],[DU sąnaudos]]-Table2[[#This Row],[Pelnas]])</f>
        <v>599781</v>
      </c>
      <c r="V149" s="49">
        <f>IFERROR(Table2[[#This Row],[Ne-atlyginimų sąnaudos]]/U148-1,0)</f>
        <v>-0.27410576509957463</v>
      </c>
      <c r="W149" s="9">
        <v>44835</v>
      </c>
      <c r="X149" s="6">
        <v>-0.49662055957246148</v>
      </c>
      <c r="Y149" s="8">
        <f>Table2[[#This Row],[DU sąnaudos]]*0.43</f>
        <v>325348.32</v>
      </c>
      <c r="Z149" s="8">
        <f>Table2[[#This Row],[Apyvarta]]-Table2[[#This Row],[Ne-atlyginimų sąnaudos]]+Table2[[#This Row],[Fiks ir pelno mokestis]]</f>
        <v>1126807.32</v>
      </c>
    </row>
    <row r="150" spans="1:26" hidden="1" x14ac:dyDescent="0.2">
      <c r="A150" s="5" t="s">
        <v>614</v>
      </c>
      <c r="B150" s="5" t="s">
        <v>1463</v>
      </c>
      <c r="C150" s="5">
        <v>2023</v>
      </c>
      <c r="D150" s="5" t="s">
        <v>1721</v>
      </c>
      <c r="E150" s="5" t="s">
        <v>1721</v>
      </c>
      <c r="F150" s="5" t="s">
        <v>1721</v>
      </c>
      <c r="G150" s="5" t="s">
        <v>1721</v>
      </c>
      <c r="H150" s="5" t="s">
        <v>1721</v>
      </c>
      <c r="I150" s="5" t="s">
        <v>280</v>
      </c>
      <c r="J150" s="5" t="s">
        <v>1721</v>
      </c>
      <c r="K150" s="5" t="s">
        <v>1721</v>
      </c>
      <c r="L150" s="5" t="s">
        <v>1721</v>
      </c>
      <c r="M150" s="9">
        <v>15</v>
      </c>
      <c r="N150" s="6">
        <f>IFERROR(Table2[[#This Row],[Darbuotojų skaičius]]/M149-1,0)</f>
        <v>-0.31818181818181823</v>
      </c>
      <c r="O150" s="9">
        <v>3251</v>
      </c>
      <c r="P150" s="6">
        <v>0.13433356594556869</v>
      </c>
      <c r="Q150" s="9">
        <f>Table2[[#This Row],[Atlyginimo vidurkis]]*Table2[[#This Row],[Darbuotojų skaičius]]*12</f>
        <v>585180</v>
      </c>
      <c r="R150" s="49">
        <f>IFERROR(Table2[[#This Row],[DU sąnaudos]]/Q149-1,0)</f>
        <v>-0.22659075049165767</v>
      </c>
      <c r="S150" s="9">
        <v>1023984</v>
      </c>
      <c r="T150" s="6">
        <v>-0.26923011047358059</v>
      </c>
      <c r="U150" s="9">
        <f>IF(Table2[[#This Row],[DU sąnaudos]]=0,0,Table2[[#This Row],[Apyvarta]]-Table2[[#This Row],[DU sąnaudos]]-Table2[[#This Row],[Pelnas]])</f>
        <v>676255</v>
      </c>
      <c r="V150" s="49">
        <f>IFERROR(Table2[[#This Row],[Ne-atlyginimų sąnaudos]]/U149-1,0)</f>
        <v>0.12750320533661452</v>
      </c>
      <c r="W150" s="9">
        <v>-237451</v>
      </c>
      <c r="X150" s="6">
        <v>-6.2961079513772722</v>
      </c>
      <c r="Y150" s="8">
        <f>Table2[[#This Row],[DU sąnaudos]]*0.43</f>
        <v>251627.4</v>
      </c>
      <c r="Z150" s="8">
        <f>Table2[[#This Row],[Apyvarta]]-Table2[[#This Row],[Ne-atlyginimų sąnaudos]]+Table2[[#This Row],[Fiks ir pelno mokestis]]</f>
        <v>599356.4</v>
      </c>
    </row>
    <row r="151" spans="1:26" hidden="1" x14ac:dyDescent="0.2">
      <c r="A151" s="5" t="s">
        <v>614</v>
      </c>
      <c r="B151" s="5" t="s">
        <v>1463</v>
      </c>
      <c r="C151" s="5">
        <v>2024</v>
      </c>
      <c r="D151" s="5" t="s">
        <v>1721</v>
      </c>
      <c r="E151" s="5" t="s">
        <v>1721</v>
      </c>
      <c r="F151" s="5" t="s">
        <v>1721</v>
      </c>
      <c r="G151" s="5" t="s">
        <v>1721</v>
      </c>
      <c r="H151" s="5" t="s">
        <v>1721</v>
      </c>
      <c r="I151" s="5" t="s">
        <v>280</v>
      </c>
      <c r="J151" s="5" t="s">
        <v>1721</v>
      </c>
      <c r="K151" s="5" t="s">
        <v>1721</v>
      </c>
      <c r="L151" s="5" t="s">
        <v>1721</v>
      </c>
      <c r="M151" s="9">
        <v>10</v>
      </c>
      <c r="N151" s="6">
        <f>IFERROR(Table2[[#This Row],[Darbuotojų skaičius]]/M150-1,0)</f>
        <v>-0.33333333333333337</v>
      </c>
      <c r="O151" s="9">
        <v>3475</v>
      </c>
      <c r="P151" s="6">
        <v>6.8901876345739854E-2</v>
      </c>
      <c r="Q151" s="9">
        <f>Table2[[#This Row],[Atlyginimo vidurkis]]*Table2[[#This Row],[Darbuotojų skaičius]]*12</f>
        <v>417000</v>
      </c>
      <c r="R151" s="49">
        <f>IFERROR(Table2[[#This Row],[DU sąnaudos]]/Q150-1,0)</f>
        <v>-0.28739874910284013</v>
      </c>
      <c r="S151" s="9">
        <v>970809</v>
      </c>
      <c r="T151" s="6">
        <v>-5.192952233628656E-2</v>
      </c>
      <c r="U151" s="9">
        <f>IF(Table2[[#This Row],[DU sąnaudos]]=0,0,Table2[[#This Row],[Apyvarta]]-Table2[[#This Row],[DU sąnaudos]]-Table2[[#This Row],[Pelnas]])</f>
        <v>508399</v>
      </c>
      <c r="V151" s="49">
        <f>IFERROR(Table2[[#This Row],[Ne-atlyginimų sąnaudos]]/U150-1,0)</f>
        <v>-0.24821406126387235</v>
      </c>
      <c r="W151" s="9">
        <v>45410</v>
      </c>
      <c r="X151" s="6">
        <v>-1.1912394557192849</v>
      </c>
      <c r="Y151" s="8">
        <f>Table2[[#This Row],[DU sąnaudos]]*0.43</f>
        <v>179310</v>
      </c>
      <c r="Z151" s="8">
        <f>Table2[[#This Row],[Apyvarta]]-Table2[[#This Row],[Ne-atlyginimų sąnaudos]]+Table2[[#This Row],[Fiks ir pelno mokestis]]</f>
        <v>641720</v>
      </c>
    </row>
    <row r="152" spans="1:26" x14ac:dyDescent="0.2">
      <c r="A152" s="5" t="s">
        <v>933</v>
      </c>
      <c r="B152" s="5" t="s">
        <v>1467</v>
      </c>
      <c r="C152" s="5">
        <v>2019</v>
      </c>
      <c r="D152" s="5" t="s">
        <v>1721</v>
      </c>
      <c r="E152" s="5" t="s">
        <v>1721</v>
      </c>
      <c r="F152" s="5" t="s">
        <v>1721</v>
      </c>
      <c r="G152" s="5" t="s">
        <v>1721</v>
      </c>
      <c r="H152" s="5" t="s">
        <v>1721</v>
      </c>
      <c r="I152" s="5" t="s">
        <v>1721</v>
      </c>
      <c r="J152" s="5" t="s">
        <v>300</v>
      </c>
      <c r="K152" s="5" t="s">
        <v>1721</v>
      </c>
      <c r="L152" s="5" t="s">
        <v>1721</v>
      </c>
      <c r="M152" s="9">
        <v>1</v>
      </c>
      <c r="N152" s="6">
        <v>0</v>
      </c>
      <c r="O152" s="9">
        <v>0</v>
      </c>
      <c r="P152" s="6">
        <v>0</v>
      </c>
      <c r="Q152" s="9">
        <f>Table2[[#This Row],[Atlyginimo vidurkis]]*Table2[[#This Row],[Darbuotojų skaičius]]*12</f>
        <v>0</v>
      </c>
      <c r="R152" s="49">
        <v>0</v>
      </c>
      <c r="S152" s="9">
        <v>64811</v>
      </c>
      <c r="T152" s="6">
        <v>0</v>
      </c>
      <c r="U152" s="9">
        <f>IF(Table2[[#This Row],[DU sąnaudos]]=0,0,Table2[[#This Row],[Apyvarta]]-Table2[[#This Row],[DU sąnaudos]]-Table2[[#This Row],[Pelnas]])</f>
        <v>0</v>
      </c>
      <c r="V152" s="49">
        <v>0</v>
      </c>
      <c r="W152" s="9">
        <v>5224</v>
      </c>
      <c r="X152" s="6">
        <v>0</v>
      </c>
      <c r="Y152" s="8">
        <f>Table2[[#This Row],[DU sąnaudos]]*0.43</f>
        <v>0</v>
      </c>
      <c r="Z152" s="8">
        <f>Table2[[#This Row],[Apyvarta]]-Table2[[#This Row],[Ne-atlyginimų sąnaudos]]+Table2[[#This Row],[Fiks ir pelno mokestis]]</f>
        <v>64811</v>
      </c>
    </row>
    <row r="153" spans="1:26" x14ac:dyDescent="0.2">
      <c r="A153" s="5" t="s">
        <v>933</v>
      </c>
      <c r="B153" s="5" t="s">
        <v>1467</v>
      </c>
      <c r="C153" s="5">
        <v>2020</v>
      </c>
      <c r="D153" s="5" t="s">
        <v>1721</v>
      </c>
      <c r="E153" s="5" t="s">
        <v>1721</v>
      </c>
      <c r="F153" s="5" t="s">
        <v>1721</v>
      </c>
      <c r="G153" s="5" t="s">
        <v>1721</v>
      </c>
      <c r="H153" s="5" t="s">
        <v>1721</v>
      </c>
      <c r="I153" s="5" t="s">
        <v>1721</v>
      </c>
      <c r="J153" s="5" t="s">
        <v>300</v>
      </c>
      <c r="K153" s="5" t="s">
        <v>1721</v>
      </c>
      <c r="L153" s="5" t="s">
        <v>1721</v>
      </c>
      <c r="M153" s="9">
        <v>2</v>
      </c>
      <c r="N153" s="6">
        <f>IFERROR(Table2[[#This Row],[Darbuotojų skaičius]]/M152-1,0)</f>
        <v>1</v>
      </c>
      <c r="O153" s="9">
        <v>0</v>
      </c>
      <c r="P153" s="6">
        <v>0</v>
      </c>
      <c r="Q153" s="9">
        <f>Table2[[#This Row],[Atlyginimo vidurkis]]*Table2[[#This Row],[Darbuotojų skaičius]]*12</f>
        <v>0</v>
      </c>
      <c r="R153" s="49">
        <f>IFERROR(Table2[[#This Row],[DU sąnaudos]]/Q152-1,0)</f>
        <v>0</v>
      </c>
      <c r="S153" s="9">
        <v>17787</v>
      </c>
      <c r="T153" s="6">
        <v>-0.72555584700128062</v>
      </c>
      <c r="U153" s="9">
        <f>IF(Table2[[#This Row],[DU sąnaudos]]=0,0,Table2[[#This Row],[Apyvarta]]-Table2[[#This Row],[DU sąnaudos]]-Table2[[#This Row],[Pelnas]])</f>
        <v>0</v>
      </c>
      <c r="V153" s="49">
        <f>IFERROR(Table2[[#This Row],[Ne-atlyginimų sąnaudos]]/U152-1,0)</f>
        <v>0</v>
      </c>
      <c r="W153" s="9">
        <v>-4123</v>
      </c>
      <c r="X153" s="6">
        <v>-1.789241960183767</v>
      </c>
      <c r="Y153" s="8">
        <f>Table2[[#This Row],[DU sąnaudos]]*0.43</f>
        <v>0</v>
      </c>
      <c r="Z153" s="8">
        <f>Table2[[#This Row],[Apyvarta]]-Table2[[#This Row],[Ne-atlyginimų sąnaudos]]+Table2[[#This Row],[Fiks ir pelno mokestis]]</f>
        <v>17787</v>
      </c>
    </row>
    <row r="154" spans="1:26" x14ac:dyDescent="0.2">
      <c r="A154" s="5" t="s">
        <v>933</v>
      </c>
      <c r="B154" s="5" t="s">
        <v>1467</v>
      </c>
      <c r="C154" s="5">
        <v>2021</v>
      </c>
      <c r="D154" s="5" t="s">
        <v>1721</v>
      </c>
      <c r="E154" s="5" t="s">
        <v>1721</v>
      </c>
      <c r="F154" s="5" t="s">
        <v>1721</v>
      </c>
      <c r="G154" s="5" t="s">
        <v>1721</v>
      </c>
      <c r="H154" s="5" t="s">
        <v>1721</v>
      </c>
      <c r="I154" s="5" t="s">
        <v>1721</v>
      </c>
      <c r="J154" s="5" t="s">
        <v>300</v>
      </c>
      <c r="K154" s="5" t="s">
        <v>1721</v>
      </c>
      <c r="L154" s="5" t="s">
        <v>1721</v>
      </c>
      <c r="M154" s="9">
        <v>1</v>
      </c>
      <c r="N154" s="6">
        <f>IFERROR(Table2[[#This Row],[Darbuotojų skaičius]]/M153-1,0)</f>
        <v>-0.5</v>
      </c>
      <c r="O154" s="9">
        <v>0</v>
      </c>
      <c r="P154" s="6">
        <v>0</v>
      </c>
      <c r="Q154" s="9">
        <f>Table2[[#This Row],[Atlyginimo vidurkis]]*Table2[[#This Row],[Darbuotojų skaičius]]*12</f>
        <v>0</v>
      </c>
      <c r="R154" s="49">
        <f>IFERROR(Table2[[#This Row],[DU sąnaudos]]/Q153-1,0)</f>
        <v>0</v>
      </c>
      <c r="S154" s="9">
        <v>31519</v>
      </c>
      <c r="T154" s="6">
        <v>0.77202451228425262</v>
      </c>
      <c r="U154" s="9">
        <f>IF(Table2[[#This Row],[DU sąnaudos]]=0,0,Table2[[#This Row],[Apyvarta]]-Table2[[#This Row],[DU sąnaudos]]-Table2[[#This Row],[Pelnas]])</f>
        <v>0</v>
      </c>
      <c r="V154" s="49">
        <f>IFERROR(Table2[[#This Row],[Ne-atlyginimų sąnaudos]]/U153-1,0)</f>
        <v>0</v>
      </c>
      <c r="W154" s="9">
        <v>11349</v>
      </c>
      <c r="X154" s="6">
        <v>-3.7526073247635221</v>
      </c>
      <c r="Y154" s="8">
        <f>Table2[[#This Row],[DU sąnaudos]]*0.43</f>
        <v>0</v>
      </c>
      <c r="Z154" s="8">
        <f>Table2[[#This Row],[Apyvarta]]-Table2[[#This Row],[Ne-atlyginimų sąnaudos]]+Table2[[#This Row],[Fiks ir pelno mokestis]]</f>
        <v>31519</v>
      </c>
    </row>
    <row r="155" spans="1:26" x14ac:dyDescent="0.2">
      <c r="A155" s="5" t="s">
        <v>933</v>
      </c>
      <c r="B155" s="5" t="s">
        <v>1467</v>
      </c>
      <c r="C155" s="5">
        <v>2022</v>
      </c>
      <c r="D155" s="5" t="s">
        <v>1721</v>
      </c>
      <c r="E155" s="5" t="s">
        <v>1721</v>
      </c>
      <c r="F155" s="5" t="s">
        <v>1721</v>
      </c>
      <c r="G155" s="5" t="s">
        <v>1721</v>
      </c>
      <c r="H155" s="5" t="s">
        <v>1721</v>
      </c>
      <c r="I155" s="5" t="s">
        <v>1721</v>
      </c>
      <c r="J155" s="5" t="s">
        <v>300</v>
      </c>
      <c r="K155" s="5" t="s">
        <v>1721</v>
      </c>
      <c r="L155" s="5" t="s">
        <v>1721</v>
      </c>
      <c r="M155" s="9">
        <v>1</v>
      </c>
      <c r="N155" s="6">
        <f>IFERROR(Table2[[#This Row],[Darbuotojų skaičius]]/M154-1,0)</f>
        <v>0</v>
      </c>
      <c r="O155" s="9">
        <v>0</v>
      </c>
      <c r="P155" s="6">
        <v>0</v>
      </c>
      <c r="Q155" s="9">
        <f>Table2[[#This Row],[Atlyginimo vidurkis]]*Table2[[#This Row],[Darbuotojų skaičius]]*12</f>
        <v>0</v>
      </c>
      <c r="R155" s="49">
        <f>IFERROR(Table2[[#This Row],[DU sąnaudos]]/Q154-1,0)</f>
        <v>0</v>
      </c>
      <c r="S155" s="9">
        <v>36262</v>
      </c>
      <c r="T155" s="6">
        <v>0.1504806624575652</v>
      </c>
      <c r="U155" s="9">
        <f>IF(Table2[[#This Row],[DU sąnaudos]]=0,0,Table2[[#This Row],[Apyvarta]]-Table2[[#This Row],[DU sąnaudos]]-Table2[[#This Row],[Pelnas]])</f>
        <v>0</v>
      </c>
      <c r="V155" s="49">
        <f>IFERROR(Table2[[#This Row],[Ne-atlyginimų sąnaudos]]/U154-1,0)</f>
        <v>0</v>
      </c>
      <c r="W155" s="9">
        <v>-1098</v>
      </c>
      <c r="X155" s="6">
        <v>-1.0967486122125301</v>
      </c>
      <c r="Y155" s="8">
        <f>Table2[[#This Row],[DU sąnaudos]]*0.43</f>
        <v>0</v>
      </c>
      <c r="Z155" s="8">
        <f>Table2[[#This Row],[Apyvarta]]-Table2[[#This Row],[Ne-atlyginimų sąnaudos]]+Table2[[#This Row],[Fiks ir pelno mokestis]]</f>
        <v>36262</v>
      </c>
    </row>
    <row r="156" spans="1:26" x14ac:dyDescent="0.2">
      <c r="A156" s="5" t="s">
        <v>933</v>
      </c>
      <c r="B156" s="5" t="s">
        <v>1467</v>
      </c>
      <c r="C156" s="5">
        <v>2023</v>
      </c>
      <c r="D156" s="5" t="s">
        <v>1721</v>
      </c>
      <c r="E156" s="5" t="s">
        <v>1721</v>
      </c>
      <c r="F156" s="5" t="s">
        <v>1721</v>
      </c>
      <c r="G156" s="5" t="s">
        <v>1721</v>
      </c>
      <c r="H156" s="5" t="s">
        <v>1721</v>
      </c>
      <c r="I156" s="5" t="s">
        <v>1721</v>
      </c>
      <c r="J156" s="5" t="s">
        <v>300</v>
      </c>
      <c r="K156" s="5" t="s">
        <v>1721</v>
      </c>
      <c r="L156" s="5" t="s">
        <v>1721</v>
      </c>
      <c r="M156" s="9">
        <v>1</v>
      </c>
      <c r="N156" s="6">
        <f>IFERROR(Table2[[#This Row],[Darbuotojų skaičius]]/M155-1,0)</f>
        <v>0</v>
      </c>
      <c r="O156" s="9">
        <v>0</v>
      </c>
      <c r="P156" s="6">
        <v>0</v>
      </c>
      <c r="Q156" s="9">
        <f>Table2[[#This Row],[Atlyginimo vidurkis]]*Table2[[#This Row],[Darbuotojų skaičius]]*12</f>
        <v>0</v>
      </c>
      <c r="R156" s="49">
        <f>IFERROR(Table2[[#This Row],[DU sąnaudos]]/Q155-1,0)</f>
        <v>0</v>
      </c>
      <c r="S156" s="9">
        <v>25807</v>
      </c>
      <c r="T156" s="6">
        <v>-0.28831834978765652</v>
      </c>
      <c r="U156" s="9">
        <f>IF(Table2[[#This Row],[DU sąnaudos]]=0,0,Table2[[#This Row],[Apyvarta]]-Table2[[#This Row],[DU sąnaudos]]-Table2[[#This Row],[Pelnas]])</f>
        <v>0</v>
      </c>
      <c r="V156" s="49">
        <f>IFERROR(Table2[[#This Row],[Ne-atlyginimų sąnaudos]]/U155-1,0)</f>
        <v>0</v>
      </c>
      <c r="W156" s="9">
        <v>1644</v>
      </c>
      <c r="X156" s="6">
        <v>-2.4972677595628419</v>
      </c>
      <c r="Y156" s="8">
        <f>Table2[[#This Row],[DU sąnaudos]]*0.43</f>
        <v>0</v>
      </c>
      <c r="Z156" s="8">
        <f>Table2[[#This Row],[Apyvarta]]-Table2[[#This Row],[Ne-atlyginimų sąnaudos]]+Table2[[#This Row],[Fiks ir pelno mokestis]]</f>
        <v>25807</v>
      </c>
    </row>
    <row r="157" spans="1:26" x14ac:dyDescent="0.2">
      <c r="A157" s="5" t="s">
        <v>933</v>
      </c>
      <c r="B157" s="5" t="s">
        <v>1467</v>
      </c>
      <c r="C157" s="5">
        <v>2024</v>
      </c>
      <c r="D157" s="5" t="s">
        <v>1721</v>
      </c>
      <c r="E157" s="5" t="s">
        <v>1721</v>
      </c>
      <c r="F157" s="5" t="s">
        <v>1721</v>
      </c>
      <c r="G157" s="5" t="s">
        <v>1721</v>
      </c>
      <c r="H157" s="5" t="s">
        <v>1721</v>
      </c>
      <c r="I157" s="5" t="s">
        <v>1721</v>
      </c>
      <c r="J157" s="5" t="s">
        <v>300</v>
      </c>
      <c r="K157" s="5" t="s">
        <v>1721</v>
      </c>
      <c r="L157" s="5" t="s">
        <v>1721</v>
      </c>
      <c r="M157" s="9">
        <v>1</v>
      </c>
      <c r="N157" s="6">
        <f>IFERROR(Table2[[#This Row],[Darbuotojų skaičius]]/M156-1,0)</f>
        <v>0</v>
      </c>
      <c r="O157" s="9">
        <v>0</v>
      </c>
      <c r="P157" s="6">
        <v>0</v>
      </c>
      <c r="Q157" s="9">
        <f>Table2[[#This Row],[Atlyginimo vidurkis]]*Table2[[#This Row],[Darbuotojų skaičius]]*12</f>
        <v>0</v>
      </c>
      <c r="R157" s="49">
        <f>IFERROR(Table2[[#This Row],[DU sąnaudos]]/Q156-1,0)</f>
        <v>0</v>
      </c>
      <c r="S157" s="9">
        <v>16127</v>
      </c>
      <c r="T157" s="6">
        <v>-0.37509202929437752</v>
      </c>
      <c r="U157" s="9">
        <f>IF(Table2[[#This Row],[DU sąnaudos]]=0,0,Table2[[#This Row],[Apyvarta]]-Table2[[#This Row],[DU sąnaudos]]-Table2[[#This Row],[Pelnas]])</f>
        <v>0</v>
      </c>
      <c r="V157" s="49">
        <f>IFERROR(Table2[[#This Row],[Ne-atlyginimų sąnaudos]]/U156-1,0)</f>
        <v>0</v>
      </c>
      <c r="W157" s="9">
        <v>-1197</v>
      </c>
      <c r="X157" s="6">
        <v>-1.728102189781022</v>
      </c>
      <c r="Y157" s="8">
        <f>Table2[[#This Row],[DU sąnaudos]]*0.43</f>
        <v>0</v>
      </c>
      <c r="Z157" s="8">
        <f>Table2[[#This Row],[Apyvarta]]-Table2[[#This Row],[Ne-atlyginimų sąnaudos]]+Table2[[#This Row],[Fiks ir pelno mokestis]]</f>
        <v>16127</v>
      </c>
    </row>
    <row r="158" spans="1:26" hidden="1" x14ac:dyDescent="0.2">
      <c r="A158" s="5" t="s">
        <v>912</v>
      </c>
      <c r="B158" s="5" t="s">
        <v>1471</v>
      </c>
      <c r="C158" s="5">
        <v>2019</v>
      </c>
      <c r="D158" s="5" t="s">
        <v>1721</v>
      </c>
      <c r="E158" s="5" t="s">
        <v>1721</v>
      </c>
      <c r="F158" s="5" t="s">
        <v>1721</v>
      </c>
      <c r="G158" s="5" t="s">
        <v>1721</v>
      </c>
      <c r="H158" s="5" t="s">
        <v>1721</v>
      </c>
      <c r="I158" s="5" t="s">
        <v>1721</v>
      </c>
      <c r="J158" s="5" t="s">
        <v>1721</v>
      </c>
      <c r="K158" s="5" t="s">
        <v>193</v>
      </c>
      <c r="L158" s="5" t="s">
        <v>1721</v>
      </c>
      <c r="M158" s="9">
        <v>5</v>
      </c>
      <c r="N158" s="6">
        <v>0</v>
      </c>
      <c r="O158" s="9">
        <v>1415</v>
      </c>
      <c r="P158" s="6">
        <v>0</v>
      </c>
      <c r="Q158" s="9">
        <f>Table2[[#This Row],[Atlyginimo vidurkis]]*Table2[[#This Row],[Darbuotojų skaičius]]*12</f>
        <v>84900</v>
      </c>
      <c r="R158" s="49">
        <v>0</v>
      </c>
      <c r="S158" s="9">
        <v>196226</v>
      </c>
      <c r="T158" s="6">
        <v>0</v>
      </c>
      <c r="U158" s="9">
        <f>IF(Table2[[#This Row],[DU sąnaudos]]=0,0,Table2[[#This Row],[Apyvarta]]-Table2[[#This Row],[DU sąnaudos]]-Table2[[#This Row],[Pelnas]])</f>
        <v>110790</v>
      </c>
      <c r="V158" s="49">
        <v>0</v>
      </c>
      <c r="W158" s="9">
        <v>536</v>
      </c>
      <c r="X158" s="6">
        <v>0</v>
      </c>
      <c r="Y158" s="8">
        <f>Table2[[#This Row],[DU sąnaudos]]*0.43</f>
        <v>36507</v>
      </c>
      <c r="Z158" s="8">
        <f>Table2[[#This Row],[Apyvarta]]-Table2[[#This Row],[Ne-atlyginimų sąnaudos]]+Table2[[#This Row],[Fiks ir pelno mokestis]]</f>
        <v>121943</v>
      </c>
    </row>
    <row r="159" spans="1:26" hidden="1" x14ac:dyDescent="0.2">
      <c r="A159" s="5" t="s">
        <v>912</v>
      </c>
      <c r="B159" s="5" t="s">
        <v>1471</v>
      </c>
      <c r="C159" s="5">
        <v>2020</v>
      </c>
      <c r="D159" s="5" t="s">
        <v>1721</v>
      </c>
      <c r="E159" s="5" t="s">
        <v>1721</v>
      </c>
      <c r="F159" s="5" t="s">
        <v>1721</v>
      </c>
      <c r="G159" s="5" t="s">
        <v>1721</v>
      </c>
      <c r="H159" s="5" t="s">
        <v>1721</v>
      </c>
      <c r="I159" s="5" t="s">
        <v>1721</v>
      </c>
      <c r="J159" s="5" t="s">
        <v>1721</v>
      </c>
      <c r="K159" s="5" t="s">
        <v>193</v>
      </c>
      <c r="L159" s="5" t="s">
        <v>1721</v>
      </c>
      <c r="M159" s="9">
        <v>5</v>
      </c>
      <c r="N159" s="6">
        <f>IFERROR(Table2[[#This Row],[Darbuotojų skaičius]]/M158-1,0)</f>
        <v>0</v>
      </c>
      <c r="O159" s="9">
        <v>1096</v>
      </c>
      <c r="P159" s="6">
        <v>-0.22544169611307421</v>
      </c>
      <c r="Q159" s="9">
        <f>Table2[[#This Row],[Atlyginimo vidurkis]]*Table2[[#This Row],[Darbuotojų skaičius]]*12</f>
        <v>65760</v>
      </c>
      <c r="R159" s="49">
        <f>IFERROR(Table2[[#This Row],[DU sąnaudos]]/Q158-1,0)</f>
        <v>-0.22544169611307419</v>
      </c>
      <c r="S159" s="9">
        <v>99713</v>
      </c>
      <c r="T159" s="6">
        <v>-0.49184613659759668</v>
      </c>
      <c r="U159" s="9">
        <f>IF(Table2[[#This Row],[DU sąnaudos]]=0,0,Table2[[#This Row],[Apyvarta]]-Table2[[#This Row],[DU sąnaudos]]-Table2[[#This Row],[Pelnas]])</f>
        <v>55120</v>
      </c>
      <c r="V159" s="49">
        <f>IFERROR(Table2[[#This Row],[Ne-atlyginimų sąnaudos]]/U158-1,0)</f>
        <v>-0.50248217348136115</v>
      </c>
      <c r="W159" s="9">
        <v>-21167</v>
      </c>
      <c r="X159" s="6">
        <v>-40.490671641791053</v>
      </c>
      <c r="Y159" s="8">
        <f>Table2[[#This Row],[DU sąnaudos]]*0.43</f>
        <v>28276.799999999999</v>
      </c>
      <c r="Z159" s="8">
        <f>Table2[[#This Row],[Apyvarta]]-Table2[[#This Row],[Ne-atlyginimų sąnaudos]]+Table2[[#This Row],[Fiks ir pelno mokestis]]</f>
        <v>72869.8</v>
      </c>
    </row>
    <row r="160" spans="1:26" hidden="1" x14ac:dyDescent="0.2">
      <c r="A160" s="5" t="s">
        <v>912</v>
      </c>
      <c r="B160" s="5" t="s">
        <v>1471</v>
      </c>
      <c r="C160" s="5">
        <v>2021</v>
      </c>
      <c r="D160" s="5" t="s">
        <v>1721</v>
      </c>
      <c r="E160" s="5" t="s">
        <v>1721</v>
      </c>
      <c r="F160" s="5" t="s">
        <v>1721</v>
      </c>
      <c r="G160" s="5" t="s">
        <v>1721</v>
      </c>
      <c r="H160" s="5" t="s">
        <v>1721</v>
      </c>
      <c r="I160" s="5" t="s">
        <v>1721</v>
      </c>
      <c r="J160" s="5" t="s">
        <v>1721</v>
      </c>
      <c r="K160" s="5" t="s">
        <v>193</v>
      </c>
      <c r="L160" s="5" t="s">
        <v>1721</v>
      </c>
      <c r="M160" s="9">
        <v>7</v>
      </c>
      <c r="N160" s="6">
        <f>IFERROR(Table2[[#This Row],[Darbuotojų skaičius]]/M159-1,0)</f>
        <v>0.39999999999999991</v>
      </c>
      <c r="O160" s="9">
        <v>1333</v>
      </c>
      <c r="P160" s="6">
        <v>0.21624087591240879</v>
      </c>
      <c r="Q160" s="9">
        <f>Table2[[#This Row],[Atlyginimo vidurkis]]*Table2[[#This Row],[Darbuotojų skaičius]]*12</f>
        <v>111972</v>
      </c>
      <c r="R160" s="49">
        <f>IFERROR(Table2[[#This Row],[DU sąnaudos]]/Q159-1,0)</f>
        <v>0.70273722627737234</v>
      </c>
      <c r="S160" s="9">
        <v>416339</v>
      </c>
      <c r="T160" s="6">
        <v>3.1753733214325108</v>
      </c>
      <c r="U160" s="9">
        <f>IF(Table2[[#This Row],[DU sąnaudos]]=0,0,Table2[[#This Row],[Apyvarta]]-Table2[[#This Row],[DU sąnaudos]]-Table2[[#This Row],[Pelnas]])</f>
        <v>296029</v>
      </c>
      <c r="V160" s="49">
        <f>IFERROR(Table2[[#This Row],[Ne-atlyginimų sąnaudos]]/U159-1,0)</f>
        <v>4.3706277213352687</v>
      </c>
      <c r="W160" s="9">
        <v>8338</v>
      </c>
      <c r="X160" s="6">
        <v>-1.393915056455804</v>
      </c>
      <c r="Y160" s="8">
        <f>Table2[[#This Row],[DU sąnaudos]]*0.43</f>
        <v>48147.96</v>
      </c>
      <c r="Z160" s="8">
        <f>Table2[[#This Row],[Apyvarta]]-Table2[[#This Row],[Ne-atlyginimų sąnaudos]]+Table2[[#This Row],[Fiks ir pelno mokestis]]</f>
        <v>168457.96</v>
      </c>
    </row>
    <row r="161" spans="1:26" hidden="1" x14ac:dyDescent="0.2">
      <c r="A161" s="5" t="s">
        <v>912</v>
      </c>
      <c r="B161" s="5" t="s">
        <v>1471</v>
      </c>
      <c r="C161" s="5">
        <v>2022</v>
      </c>
      <c r="D161" s="5" t="s">
        <v>1721</v>
      </c>
      <c r="E161" s="5" t="s">
        <v>1721</v>
      </c>
      <c r="F161" s="5" t="s">
        <v>1721</v>
      </c>
      <c r="G161" s="5" t="s">
        <v>1721</v>
      </c>
      <c r="H161" s="5" t="s">
        <v>1721</v>
      </c>
      <c r="I161" s="5" t="s">
        <v>1721</v>
      </c>
      <c r="J161" s="5" t="s">
        <v>1721</v>
      </c>
      <c r="K161" s="5" t="s">
        <v>193</v>
      </c>
      <c r="L161" s="5" t="s">
        <v>1721</v>
      </c>
      <c r="M161" s="9">
        <v>6</v>
      </c>
      <c r="N161" s="6">
        <f>IFERROR(Table2[[#This Row],[Darbuotojų skaičius]]/M160-1,0)</f>
        <v>-0.1428571428571429</v>
      </c>
      <c r="O161" s="9">
        <v>1535</v>
      </c>
      <c r="P161" s="6">
        <v>0.15153788447111771</v>
      </c>
      <c r="Q161" s="9">
        <f>Table2[[#This Row],[Atlyginimo vidurkis]]*Table2[[#This Row],[Darbuotojų skaičius]]*12</f>
        <v>110520</v>
      </c>
      <c r="R161" s="49">
        <f>IFERROR(Table2[[#This Row],[DU sąnaudos]]/Q160-1,0)</f>
        <v>-1.2967527596184802E-2</v>
      </c>
      <c r="S161" s="9">
        <v>265483</v>
      </c>
      <c r="T161" s="6">
        <v>-0.3623393436598541</v>
      </c>
      <c r="U161" s="9">
        <f>IF(Table2[[#This Row],[DU sąnaudos]]=0,0,Table2[[#This Row],[Apyvarta]]-Table2[[#This Row],[DU sąnaudos]]-Table2[[#This Row],[Pelnas]])</f>
        <v>153489</v>
      </c>
      <c r="V161" s="49">
        <f>IFERROR(Table2[[#This Row],[Ne-atlyginimų sąnaudos]]/U160-1,0)</f>
        <v>-0.48150687939357295</v>
      </c>
      <c r="W161" s="9">
        <v>1474</v>
      </c>
      <c r="X161" s="6">
        <v>-0.82321899736147763</v>
      </c>
      <c r="Y161" s="8">
        <f>Table2[[#This Row],[DU sąnaudos]]*0.43</f>
        <v>47523.6</v>
      </c>
      <c r="Z161" s="8">
        <f>Table2[[#This Row],[Apyvarta]]-Table2[[#This Row],[Ne-atlyginimų sąnaudos]]+Table2[[#This Row],[Fiks ir pelno mokestis]]</f>
        <v>159517.6</v>
      </c>
    </row>
    <row r="162" spans="1:26" hidden="1" x14ac:dyDescent="0.2">
      <c r="A162" s="5" t="s">
        <v>912</v>
      </c>
      <c r="B162" s="5" t="s">
        <v>1471</v>
      </c>
      <c r="C162" s="5">
        <v>2023</v>
      </c>
      <c r="D162" s="5" t="s">
        <v>1721</v>
      </c>
      <c r="E162" s="5" t="s">
        <v>1721</v>
      </c>
      <c r="F162" s="5" t="s">
        <v>1721</v>
      </c>
      <c r="G162" s="5" t="s">
        <v>1721</v>
      </c>
      <c r="H162" s="5" t="s">
        <v>1721</v>
      </c>
      <c r="I162" s="5" t="s">
        <v>1721</v>
      </c>
      <c r="J162" s="5" t="s">
        <v>1721</v>
      </c>
      <c r="K162" s="5" t="s">
        <v>193</v>
      </c>
      <c r="L162" s="5" t="s">
        <v>1721</v>
      </c>
      <c r="M162" s="9">
        <v>4</v>
      </c>
      <c r="N162" s="6">
        <f>IFERROR(Table2[[#This Row],[Darbuotojų skaičius]]/M161-1,0)</f>
        <v>-0.33333333333333337</v>
      </c>
      <c r="O162" s="9">
        <v>1735</v>
      </c>
      <c r="P162" s="6">
        <v>0.13029315960912061</v>
      </c>
      <c r="Q162" s="9">
        <f>Table2[[#This Row],[Atlyginimo vidurkis]]*Table2[[#This Row],[Darbuotojų skaičius]]*12</f>
        <v>83280</v>
      </c>
      <c r="R162" s="49">
        <f>IFERROR(Table2[[#This Row],[DU sąnaudos]]/Q161-1,0)</f>
        <v>-0.24647122692725298</v>
      </c>
      <c r="S162" s="9">
        <v>197038</v>
      </c>
      <c r="T162" s="6">
        <v>-0.25781311797742218</v>
      </c>
      <c r="U162" s="9">
        <f>IF(Table2[[#This Row],[DU sąnaudos]]=0,0,Table2[[#This Row],[Apyvarta]]-Table2[[#This Row],[DU sąnaudos]]-Table2[[#This Row],[Pelnas]])</f>
        <v>112280</v>
      </c>
      <c r="V162" s="49">
        <f>IFERROR(Table2[[#This Row],[Ne-atlyginimų sąnaudos]]/U161-1,0)</f>
        <v>-0.26848178045332238</v>
      </c>
      <c r="W162" s="9">
        <v>1478</v>
      </c>
      <c r="X162" s="6">
        <v>2.7137042062415069E-3</v>
      </c>
      <c r="Y162" s="8">
        <f>Table2[[#This Row],[DU sąnaudos]]*0.43</f>
        <v>35810.400000000001</v>
      </c>
      <c r="Z162" s="8">
        <f>Table2[[#This Row],[Apyvarta]]-Table2[[#This Row],[Ne-atlyginimų sąnaudos]]+Table2[[#This Row],[Fiks ir pelno mokestis]]</f>
        <v>120568.4</v>
      </c>
    </row>
    <row r="163" spans="1:26" hidden="1" x14ac:dyDescent="0.2">
      <c r="A163" s="5" t="s">
        <v>912</v>
      </c>
      <c r="B163" s="5" t="s">
        <v>1471</v>
      </c>
      <c r="C163" s="5">
        <v>2024</v>
      </c>
      <c r="D163" s="5" t="s">
        <v>1721</v>
      </c>
      <c r="E163" s="5" t="s">
        <v>1721</v>
      </c>
      <c r="F163" s="5" t="s">
        <v>1721</v>
      </c>
      <c r="G163" s="5" t="s">
        <v>1721</v>
      </c>
      <c r="H163" s="5" t="s">
        <v>1721</v>
      </c>
      <c r="I163" s="5" t="s">
        <v>1721</v>
      </c>
      <c r="J163" s="5" t="s">
        <v>1721</v>
      </c>
      <c r="K163" s="5" t="s">
        <v>193</v>
      </c>
      <c r="L163" s="5" t="s">
        <v>1721</v>
      </c>
      <c r="M163" s="9">
        <v>2</v>
      </c>
      <c r="N163" s="6">
        <f>IFERROR(Table2[[#This Row],[Darbuotojų skaičius]]/M162-1,0)</f>
        <v>-0.5</v>
      </c>
      <c r="O163" s="9">
        <v>0</v>
      </c>
      <c r="P163" s="6">
        <v>0</v>
      </c>
      <c r="Q163" s="9">
        <f>Table2[[#This Row],[Atlyginimo vidurkis]]*Table2[[#This Row],[Darbuotojų skaičius]]*12</f>
        <v>0</v>
      </c>
      <c r="R163" s="49">
        <f>IFERROR(Table2[[#This Row],[DU sąnaudos]]/Q162-1,0)</f>
        <v>-1</v>
      </c>
      <c r="S163" s="9">
        <v>46405</v>
      </c>
      <c r="T163" s="6">
        <v>-0.76448705325876221</v>
      </c>
      <c r="U163" s="9">
        <f>IF(Table2[[#This Row],[DU sąnaudos]]=0,0,Table2[[#This Row],[Apyvarta]]-Table2[[#This Row],[DU sąnaudos]]-Table2[[#This Row],[Pelnas]])</f>
        <v>0</v>
      </c>
      <c r="V163" s="49">
        <f>IFERROR(Table2[[#This Row],[Ne-atlyginimų sąnaudos]]/U162-1,0)</f>
        <v>-1</v>
      </c>
      <c r="W163" s="9">
        <v>-48434</v>
      </c>
      <c r="X163" s="6">
        <v>-33.769959404600812</v>
      </c>
      <c r="Y163" s="8">
        <f>Table2[[#This Row],[DU sąnaudos]]*0.43</f>
        <v>0</v>
      </c>
      <c r="Z163" s="8">
        <f>Table2[[#This Row],[Apyvarta]]-Table2[[#This Row],[Ne-atlyginimų sąnaudos]]+Table2[[#This Row],[Fiks ir pelno mokestis]]</f>
        <v>46405</v>
      </c>
    </row>
    <row r="164" spans="1:26" hidden="1" x14ac:dyDescent="0.2">
      <c r="A164" s="5" t="s">
        <v>1474</v>
      </c>
      <c r="B164" t="s">
        <v>1475</v>
      </c>
      <c r="C164">
        <v>2019</v>
      </c>
      <c r="D164" s="5" t="s">
        <v>1721</v>
      </c>
      <c r="E164" s="5" t="s">
        <v>1721</v>
      </c>
      <c r="F164" s="5" t="s">
        <v>1721</v>
      </c>
      <c r="G164" s="5" t="s">
        <v>1721</v>
      </c>
      <c r="H164" s="5" t="s">
        <v>1721</v>
      </c>
      <c r="I164" s="5" t="s">
        <v>1721</v>
      </c>
      <c r="J164" s="5" t="s">
        <v>1721</v>
      </c>
      <c r="K164" s="5" t="s">
        <v>193</v>
      </c>
      <c r="L164" s="5" t="s">
        <v>1721</v>
      </c>
      <c r="M164" s="9">
        <v>16</v>
      </c>
      <c r="N164" s="6">
        <v>0</v>
      </c>
      <c r="O164" s="9">
        <v>2280</v>
      </c>
      <c r="P164" s="6">
        <v>0</v>
      </c>
      <c r="Q164" s="9">
        <f>Table2[[#This Row],[Atlyginimo vidurkis]]*Table2[[#This Row],[Darbuotojų skaičius]]*12</f>
        <v>437760</v>
      </c>
      <c r="R164" s="49">
        <v>0</v>
      </c>
      <c r="S164" s="9">
        <v>531305</v>
      </c>
      <c r="T164" s="6">
        <v>0</v>
      </c>
      <c r="U164" s="9">
        <f>IF(Table2[[#This Row],[DU sąnaudos]]=0,0,Table2[[#This Row],[Apyvarta]]-Table2[[#This Row],[DU sąnaudos]]-Table2[[#This Row],[Pelnas]])</f>
        <v>69662</v>
      </c>
      <c r="V164" s="49">
        <v>0</v>
      </c>
      <c r="W164" s="9">
        <v>23883</v>
      </c>
      <c r="X164" s="6">
        <v>0</v>
      </c>
      <c r="Y164" s="8">
        <f>Table2[[#This Row],[DU sąnaudos]]*0.43</f>
        <v>188236.79999999999</v>
      </c>
      <c r="Z164" s="8">
        <f>Table2[[#This Row],[Apyvarta]]-Table2[[#This Row],[Ne-atlyginimų sąnaudos]]+Table2[[#This Row],[Fiks ir pelno mokestis]]</f>
        <v>649879.80000000005</v>
      </c>
    </row>
    <row r="165" spans="1:26" hidden="1" x14ac:dyDescent="0.2">
      <c r="A165" s="5" t="s">
        <v>1474</v>
      </c>
      <c r="B165" t="s">
        <v>1475</v>
      </c>
      <c r="C165">
        <v>2020</v>
      </c>
      <c r="D165" s="5" t="s">
        <v>1721</v>
      </c>
      <c r="E165" s="5" t="s">
        <v>1721</v>
      </c>
      <c r="F165" s="5" t="s">
        <v>1721</v>
      </c>
      <c r="G165" s="5" t="s">
        <v>1721</v>
      </c>
      <c r="H165" s="5" t="s">
        <v>1721</v>
      </c>
      <c r="I165" s="5" t="s">
        <v>1721</v>
      </c>
      <c r="J165" s="5" t="s">
        <v>1721</v>
      </c>
      <c r="K165" s="5" t="s">
        <v>193</v>
      </c>
      <c r="L165" s="5" t="s">
        <v>1721</v>
      </c>
      <c r="M165" s="9">
        <v>18</v>
      </c>
      <c r="N165" s="6">
        <f>IFERROR(Table2[[#This Row],[Darbuotojų skaičius]]/M164-1,0)</f>
        <v>0.125</v>
      </c>
      <c r="O165" s="9">
        <v>2496</v>
      </c>
      <c r="P165" s="6">
        <v>0.09</v>
      </c>
      <c r="Q165" s="9">
        <f>Table2[[#This Row],[Atlyginimo vidurkis]]*Table2[[#This Row],[Darbuotojų skaičius]]*12</f>
        <v>539136</v>
      </c>
      <c r="R165" s="49">
        <f>IFERROR(Table2[[#This Row],[DU sąnaudos]]/Q164-1,0)</f>
        <v>0.23157894736842111</v>
      </c>
      <c r="S165" s="9">
        <v>647894</v>
      </c>
      <c r="T165" s="6">
        <v>0.22</v>
      </c>
      <c r="U165" s="9">
        <f>IF(Table2[[#This Row],[DU sąnaudos]]=0,0,Table2[[#This Row],[Apyvarta]]-Table2[[#This Row],[DU sąnaudos]]-Table2[[#This Row],[Pelnas]])</f>
        <v>98366</v>
      </c>
      <c r="V165" s="49">
        <f>IFERROR(Table2[[#This Row],[Ne-atlyginimų sąnaudos]]/U164-1,0)</f>
        <v>0.41204673997301255</v>
      </c>
      <c r="W165" s="9">
        <v>10392</v>
      </c>
      <c r="X165" s="6">
        <v>-0.56000000000000005</v>
      </c>
      <c r="Y165" s="8">
        <f>Table2[[#This Row],[DU sąnaudos]]*0.43</f>
        <v>231828.48000000001</v>
      </c>
      <c r="Z165" s="8">
        <f>Table2[[#This Row],[Apyvarta]]-Table2[[#This Row],[Ne-atlyginimų sąnaudos]]+Table2[[#This Row],[Fiks ir pelno mokestis]]</f>
        <v>781356.48</v>
      </c>
    </row>
    <row r="166" spans="1:26" hidden="1" x14ac:dyDescent="0.2">
      <c r="A166" s="5" t="s">
        <v>1474</v>
      </c>
      <c r="B166" t="s">
        <v>1475</v>
      </c>
      <c r="C166">
        <v>2021</v>
      </c>
      <c r="D166" s="5" t="s">
        <v>1721</v>
      </c>
      <c r="E166" s="5" t="s">
        <v>1721</v>
      </c>
      <c r="F166" s="5" t="s">
        <v>1721</v>
      </c>
      <c r="G166" s="5" t="s">
        <v>1721</v>
      </c>
      <c r="H166" s="5" t="s">
        <v>1721</v>
      </c>
      <c r="I166" s="5" t="s">
        <v>1721</v>
      </c>
      <c r="J166" s="5" t="s">
        <v>1721</v>
      </c>
      <c r="K166" s="5" t="s">
        <v>193</v>
      </c>
      <c r="L166" s="5" t="s">
        <v>1721</v>
      </c>
      <c r="M166" s="9">
        <v>20</v>
      </c>
      <c r="N166" s="6">
        <f>IFERROR(Table2[[#This Row],[Darbuotojų skaičius]]/M165-1,0)</f>
        <v>0.11111111111111116</v>
      </c>
      <c r="O166" s="9">
        <v>2709</v>
      </c>
      <c r="P166" s="6">
        <v>0.09</v>
      </c>
      <c r="Q166" s="9">
        <f>Table2[[#This Row],[Atlyginimo vidurkis]]*Table2[[#This Row],[Darbuotojų skaičius]]*12</f>
        <v>650160</v>
      </c>
      <c r="R166" s="49">
        <f>IFERROR(Table2[[#This Row],[DU sąnaudos]]/Q165-1,0)</f>
        <v>0.20592948717948723</v>
      </c>
      <c r="S166" s="9">
        <v>784600</v>
      </c>
      <c r="T166" s="6">
        <v>0.21</v>
      </c>
      <c r="U166" s="9">
        <f>IF(Table2[[#This Row],[DU sąnaudos]]=0,0,Table2[[#This Row],[Apyvarta]]-Table2[[#This Row],[DU sąnaudos]]-Table2[[#This Row],[Pelnas]])</f>
        <v>125040</v>
      </c>
      <c r="V166" s="49">
        <f>IFERROR(Table2[[#This Row],[Ne-atlyginimų sąnaudos]]/U165-1,0)</f>
        <v>0.27117093304597106</v>
      </c>
      <c r="W166" s="9">
        <v>9400</v>
      </c>
      <c r="X166" s="6">
        <v>-0.1</v>
      </c>
      <c r="Y166" s="8">
        <f>Table2[[#This Row],[DU sąnaudos]]*0.43</f>
        <v>279568.8</v>
      </c>
      <c r="Z166" s="8">
        <f>Table2[[#This Row],[Apyvarta]]-Table2[[#This Row],[Ne-atlyginimų sąnaudos]]+Table2[[#This Row],[Fiks ir pelno mokestis]]</f>
        <v>939128.8</v>
      </c>
    </row>
    <row r="167" spans="1:26" hidden="1" x14ac:dyDescent="0.2">
      <c r="A167" s="5" t="s">
        <v>1474</v>
      </c>
      <c r="B167" t="s">
        <v>1475</v>
      </c>
      <c r="C167">
        <v>2022</v>
      </c>
      <c r="D167" s="5" t="s">
        <v>1721</v>
      </c>
      <c r="E167" s="5" t="s">
        <v>1721</v>
      </c>
      <c r="F167" s="5" t="s">
        <v>1721</v>
      </c>
      <c r="G167" s="5" t="s">
        <v>1721</v>
      </c>
      <c r="H167" s="5" t="s">
        <v>1721</v>
      </c>
      <c r="I167" s="5" t="s">
        <v>1721</v>
      </c>
      <c r="J167" s="5" t="s">
        <v>1721</v>
      </c>
      <c r="K167" s="5" t="s">
        <v>193</v>
      </c>
      <c r="L167" s="5" t="s">
        <v>1721</v>
      </c>
      <c r="M167" s="9">
        <v>19</v>
      </c>
      <c r="N167" s="6">
        <f>IFERROR(Table2[[#This Row],[Darbuotojų skaičius]]/M166-1,0)</f>
        <v>-5.0000000000000044E-2</v>
      </c>
      <c r="O167" s="9">
        <v>2958</v>
      </c>
      <c r="P167" s="6">
        <v>0.09</v>
      </c>
      <c r="Q167" s="9">
        <f>Table2[[#This Row],[Atlyginimo vidurkis]]*Table2[[#This Row],[Darbuotojų skaičius]]*12</f>
        <v>674424</v>
      </c>
      <c r="R167" s="49">
        <f>IFERROR(Table2[[#This Row],[DU sąnaudos]]/Q166-1,0)</f>
        <v>3.7320044296788479E-2</v>
      </c>
      <c r="S167" s="9">
        <v>831603</v>
      </c>
      <c r="T167" s="6">
        <v>0.06</v>
      </c>
      <c r="U167" s="9">
        <f>IF(Table2[[#This Row],[DU sąnaudos]]=0,0,Table2[[#This Row],[Apyvarta]]-Table2[[#This Row],[DU sąnaudos]]-Table2[[#This Row],[Pelnas]])</f>
        <v>152127</v>
      </c>
      <c r="V167" s="49">
        <f>IFERROR(Table2[[#This Row],[Ne-atlyginimų sąnaudos]]/U166-1,0)</f>
        <v>0.21662667946257197</v>
      </c>
      <c r="W167" s="9">
        <v>5052</v>
      </c>
      <c r="X167" s="6">
        <v>-0.46</v>
      </c>
      <c r="Y167" s="8">
        <f>Table2[[#This Row],[DU sąnaudos]]*0.43</f>
        <v>290002.32</v>
      </c>
      <c r="Z167" s="8">
        <f>Table2[[#This Row],[Apyvarta]]-Table2[[#This Row],[Ne-atlyginimų sąnaudos]]+Table2[[#This Row],[Fiks ir pelno mokestis]]</f>
        <v>969478.32000000007</v>
      </c>
    </row>
    <row r="168" spans="1:26" hidden="1" x14ac:dyDescent="0.2">
      <c r="A168" s="5" t="s">
        <v>1474</v>
      </c>
      <c r="B168" t="s">
        <v>1475</v>
      </c>
      <c r="C168">
        <v>2023</v>
      </c>
      <c r="D168" s="5" t="s">
        <v>1721</v>
      </c>
      <c r="E168" s="5" t="s">
        <v>1721</v>
      </c>
      <c r="F168" s="5" t="s">
        <v>1721</v>
      </c>
      <c r="G168" s="5" t="s">
        <v>1721</v>
      </c>
      <c r="H168" s="5" t="s">
        <v>1721</v>
      </c>
      <c r="I168" s="5" t="s">
        <v>1721</v>
      </c>
      <c r="J168" s="5" t="s">
        <v>1721</v>
      </c>
      <c r="K168" s="5" t="s">
        <v>193</v>
      </c>
      <c r="L168" s="5" t="s">
        <v>1721</v>
      </c>
      <c r="M168" s="9">
        <v>20</v>
      </c>
      <c r="N168" s="6">
        <f>IFERROR(Table2[[#This Row],[Darbuotojų skaičius]]/M167-1,0)</f>
        <v>5.2631578947368363E-2</v>
      </c>
      <c r="O168" s="9">
        <v>3278</v>
      </c>
      <c r="P168" s="6">
        <v>0.11</v>
      </c>
      <c r="Q168" s="9">
        <f>Table2[[#This Row],[Atlyginimo vidurkis]]*Table2[[#This Row],[Darbuotojų skaičius]]*12</f>
        <v>786720</v>
      </c>
      <c r="R168" s="49">
        <f>IFERROR(Table2[[#This Row],[DU sąnaudos]]/Q167-1,0)</f>
        <v>0.16650653001672544</v>
      </c>
      <c r="S168" s="9">
        <v>971641</v>
      </c>
      <c r="T168" s="6">
        <v>0.17</v>
      </c>
      <c r="U168" s="9">
        <f>IF(Table2[[#This Row],[DU sąnaudos]]=0,0,Table2[[#This Row],[Apyvarta]]-Table2[[#This Row],[DU sąnaudos]]-Table2[[#This Row],[Pelnas]])</f>
        <v>177911</v>
      </c>
      <c r="V168" s="49">
        <f>IFERROR(Table2[[#This Row],[Ne-atlyginimų sąnaudos]]/U167-1,0)</f>
        <v>0.16948996562082996</v>
      </c>
      <c r="W168" s="9">
        <v>7010</v>
      </c>
      <c r="X168" s="6">
        <v>0.39</v>
      </c>
      <c r="Y168" s="8">
        <f>Table2[[#This Row],[DU sąnaudos]]*0.43</f>
        <v>338289.6</v>
      </c>
      <c r="Z168" s="8">
        <f>Table2[[#This Row],[Apyvarta]]-Table2[[#This Row],[Ne-atlyginimų sąnaudos]]+Table2[[#This Row],[Fiks ir pelno mokestis]]</f>
        <v>1132019.6000000001</v>
      </c>
    </row>
    <row r="169" spans="1:26" hidden="1" x14ac:dyDescent="0.2">
      <c r="A169" s="5" t="s">
        <v>1474</v>
      </c>
      <c r="B169" t="s">
        <v>1475</v>
      </c>
      <c r="C169">
        <v>2024</v>
      </c>
      <c r="D169" s="5" t="s">
        <v>1721</v>
      </c>
      <c r="E169" s="5" t="s">
        <v>1721</v>
      </c>
      <c r="F169" s="5" t="s">
        <v>1721</v>
      </c>
      <c r="G169" s="5" t="s">
        <v>1721</v>
      </c>
      <c r="H169" s="5" t="s">
        <v>1721</v>
      </c>
      <c r="I169" s="5" t="s">
        <v>1721</v>
      </c>
      <c r="J169" s="5" t="s">
        <v>1721</v>
      </c>
      <c r="K169" s="5" t="s">
        <v>193</v>
      </c>
      <c r="L169" s="5" t="s">
        <v>1721</v>
      </c>
      <c r="M169" s="9">
        <v>20</v>
      </c>
      <c r="N169" s="6">
        <f>IFERROR(Table2[[#This Row],[Darbuotojų skaičius]]/M168-1,0)</f>
        <v>0</v>
      </c>
      <c r="O169" s="9">
        <v>3596</v>
      </c>
      <c r="P169" s="6">
        <v>0.1</v>
      </c>
      <c r="Q169" s="9">
        <f>Table2[[#This Row],[Atlyginimo vidurkis]]*Table2[[#This Row],[Darbuotojų skaičius]]*12</f>
        <v>863040</v>
      </c>
      <c r="R169" s="49">
        <f>IFERROR(Table2[[#This Row],[DU sąnaudos]]/Q168-1,0)</f>
        <v>9.7010372178157445E-2</v>
      </c>
      <c r="S169" s="9">
        <v>1100235</v>
      </c>
      <c r="T169" s="6">
        <v>0.13</v>
      </c>
      <c r="U169" s="9">
        <f>IF(Table2[[#This Row],[DU sąnaudos]]=0,0,Table2[[#This Row],[Apyvarta]]-Table2[[#This Row],[DU sąnaudos]]-Table2[[#This Row],[Pelnas]])</f>
        <v>230102</v>
      </c>
      <c r="V169" s="49">
        <f>IFERROR(Table2[[#This Row],[Ne-atlyginimų sąnaudos]]/U168-1,0)</f>
        <v>0.29335454243975922</v>
      </c>
      <c r="W169" s="9">
        <v>7093</v>
      </c>
      <c r="X169" s="6">
        <v>0.01</v>
      </c>
      <c r="Y169" s="8">
        <f>Table2[[#This Row],[DU sąnaudos]]*0.43</f>
        <v>371107.2</v>
      </c>
      <c r="Z169" s="8">
        <f>Table2[[#This Row],[Apyvarta]]-Table2[[#This Row],[Ne-atlyginimų sąnaudos]]+Table2[[#This Row],[Fiks ir pelno mokestis]]</f>
        <v>1241240.2</v>
      </c>
    </row>
    <row r="170" spans="1:26" hidden="1" x14ac:dyDescent="0.2">
      <c r="A170" s="5" t="s">
        <v>1476</v>
      </c>
      <c r="B170" s="5" t="s">
        <v>1477</v>
      </c>
      <c r="C170" s="5">
        <v>2019</v>
      </c>
      <c r="D170" s="5" t="s">
        <v>1721</v>
      </c>
      <c r="E170" s="5" t="s">
        <v>1721</v>
      </c>
      <c r="F170" s="5" t="s">
        <v>1721</v>
      </c>
      <c r="G170" s="5" t="s">
        <v>1721</v>
      </c>
      <c r="H170" s="5" t="s">
        <v>1721</v>
      </c>
      <c r="I170" s="5" t="s">
        <v>1721</v>
      </c>
      <c r="J170" s="5" t="s">
        <v>1721</v>
      </c>
      <c r="K170" s="5" t="s">
        <v>193</v>
      </c>
      <c r="L170" s="5" t="s">
        <v>1721</v>
      </c>
      <c r="M170" s="9">
        <v>6</v>
      </c>
      <c r="N170" s="6">
        <v>0</v>
      </c>
      <c r="O170" s="9">
        <v>1432</v>
      </c>
      <c r="P170" s="6">
        <v>0</v>
      </c>
      <c r="Q170" s="9">
        <f>Table2[[#This Row],[Atlyginimo vidurkis]]*Table2[[#This Row],[Darbuotojų skaičius]]*12</f>
        <v>103104</v>
      </c>
      <c r="R170" s="49">
        <v>0</v>
      </c>
      <c r="S170" s="9">
        <v>235559</v>
      </c>
      <c r="T170" s="6">
        <v>0</v>
      </c>
      <c r="U170" s="9">
        <f>IF(Table2[[#This Row],[DU sąnaudos]]=0,0,Table2[[#This Row],[Apyvarta]]-Table2[[#This Row],[DU sąnaudos]]-Table2[[#This Row],[Pelnas]])</f>
        <v>131724</v>
      </c>
      <c r="V170" s="49">
        <v>0</v>
      </c>
      <c r="W170" s="9">
        <v>731</v>
      </c>
      <c r="X170" s="6">
        <v>0</v>
      </c>
      <c r="Y170" s="8">
        <f>Table2[[#This Row],[DU sąnaudos]]*0.43</f>
        <v>44334.720000000001</v>
      </c>
      <c r="Z170" s="8">
        <f>Table2[[#This Row],[Apyvarta]]-Table2[[#This Row],[Ne-atlyginimų sąnaudos]]+Table2[[#This Row],[Fiks ir pelno mokestis]]</f>
        <v>148169.72</v>
      </c>
    </row>
    <row r="171" spans="1:26" hidden="1" x14ac:dyDescent="0.2">
      <c r="A171" s="5" t="s">
        <v>1476</v>
      </c>
      <c r="B171" s="5" t="s">
        <v>1477</v>
      </c>
      <c r="C171" s="5">
        <v>2020</v>
      </c>
      <c r="D171" s="5" t="s">
        <v>1721</v>
      </c>
      <c r="E171" s="5" t="s">
        <v>1721</v>
      </c>
      <c r="F171" s="5" t="s">
        <v>1721</v>
      </c>
      <c r="G171" s="5" t="s">
        <v>1721</v>
      </c>
      <c r="H171" s="5" t="s">
        <v>1721</v>
      </c>
      <c r="I171" s="5" t="s">
        <v>1721</v>
      </c>
      <c r="J171" s="5" t="s">
        <v>1721</v>
      </c>
      <c r="K171" s="5" t="s">
        <v>193</v>
      </c>
      <c r="L171" s="5" t="s">
        <v>1721</v>
      </c>
      <c r="M171" s="9">
        <v>6</v>
      </c>
      <c r="N171" s="6">
        <f>IFERROR(Table2[[#This Row],[Darbuotojų skaičius]]/M170-1,0)</f>
        <v>0</v>
      </c>
      <c r="O171" s="9">
        <v>1559</v>
      </c>
      <c r="P171" s="6">
        <v>0.09</v>
      </c>
      <c r="Q171" s="9">
        <f>Table2[[#This Row],[Atlyginimo vidurkis]]*Table2[[#This Row],[Darbuotojų skaičius]]*12</f>
        <v>112248</v>
      </c>
      <c r="R171" s="49">
        <f>IFERROR(Table2[[#This Row],[DU sąnaudos]]/Q170-1,0)</f>
        <v>8.8687150837988726E-2</v>
      </c>
      <c r="S171" s="9">
        <v>338165</v>
      </c>
      <c r="T171" s="6">
        <v>0.44</v>
      </c>
      <c r="U171" s="9">
        <f>IF(Table2[[#This Row],[DU sąnaudos]]=0,0,Table2[[#This Row],[Apyvarta]]-Table2[[#This Row],[DU sąnaudos]]-Table2[[#This Row],[Pelnas]])</f>
        <v>182452</v>
      </c>
      <c r="V171" s="49">
        <f>IFERROR(Table2[[#This Row],[Ne-atlyginimų sąnaudos]]/U170-1,0)</f>
        <v>0.3851082566578603</v>
      </c>
      <c r="W171" s="9">
        <v>43465</v>
      </c>
      <c r="X171" s="6">
        <v>58.46</v>
      </c>
      <c r="Y171" s="8">
        <f>Table2[[#This Row],[DU sąnaudos]]*0.43</f>
        <v>48266.64</v>
      </c>
      <c r="Z171" s="8">
        <f>Table2[[#This Row],[Apyvarta]]-Table2[[#This Row],[Ne-atlyginimų sąnaudos]]+Table2[[#This Row],[Fiks ir pelno mokestis]]</f>
        <v>203979.64</v>
      </c>
    </row>
    <row r="172" spans="1:26" hidden="1" x14ac:dyDescent="0.2">
      <c r="A172" s="5" t="s">
        <v>1476</v>
      </c>
      <c r="B172" s="5" t="s">
        <v>1477</v>
      </c>
      <c r="C172" s="5">
        <v>2021</v>
      </c>
      <c r="D172" s="5" t="s">
        <v>1721</v>
      </c>
      <c r="E172" s="5" t="s">
        <v>1721</v>
      </c>
      <c r="F172" s="5" t="s">
        <v>1721</v>
      </c>
      <c r="G172" s="5" t="s">
        <v>1721</v>
      </c>
      <c r="H172" s="5" t="s">
        <v>1721</v>
      </c>
      <c r="I172" s="5" t="s">
        <v>1721</v>
      </c>
      <c r="J172" s="5" t="s">
        <v>1721</v>
      </c>
      <c r="K172" s="5" t="s">
        <v>193</v>
      </c>
      <c r="L172" s="5" t="s">
        <v>1721</v>
      </c>
      <c r="M172" s="9">
        <v>8</v>
      </c>
      <c r="N172" s="6">
        <f>IFERROR(Table2[[#This Row],[Darbuotojų skaičius]]/M171-1,0)</f>
        <v>0.33333333333333326</v>
      </c>
      <c r="O172" s="9">
        <v>1534</v>
      </c>
      <c r="P172" s="6">
        <v>-0.02</v>
      </c>
      <c r="Q172" s="9">
        <f>Table2[[#This Row],[Atlyginimo vidurkis]]*Table2[[#This Row],[Darbuotojų skaičius]]*12</f>
        <v>147264</v>
      </c>
      <c r="R172" s="49">
        <f>IFERROR(Table2[[#This Row],[DU sąnaudos]]/Q171-1,0)</f>
        <v>0.31195210605088741</v>
      </c>
      <c r="S172" s="9">
        <v>382359</v>
      </c>
      <c r="T172" s="6">
        <v>0.13</v>
      </c>
      <c r="U172" s="9">
        <f>IF(Table2[[#This Row],[DU sąnaudos]]=0,0,Table2[[#This Row],[Apyvarta]]-Table2[[#This Row],[DU sąnaudos]]-Table2[[#This Row],[Pelnas]])</f>
        <v>205116</v>
      </c>
      <c r="V172" s="49">
        <f>IFERROR(Table2[[#This Row],[Ne-atlyginimų sąnaudos]]/U171-1,0)</f>
        <v>0.12421897266130277</v>
      </c>
      <c r="W172" s="9">
        <v>29979</v>
      </c>
      <c r="X172" s="6">
        <v>-0.31</v>
      </c>
      <c r="Y172" s="8">
        <f>Table2[[#This Row],[DU sąnaudos]]*0.43</f>
        <v>63323.519999999997</v>
      </c>
      <c r="Z172" s="8">
        <f>Table2[[#This Row],[Apyvarta]]-Table2[[#This Row],[Ne-atlyginimų sąnaudos]]+Table2[[#This Row],[Fiks ir pelno mokestis]]</f>
        <v>240566.52</v>
      </c>
    </row>
    <row r="173" spans="1:26" hidden="1" x14ac:dyDescent="0.2">
      <c r="A173" s="5" t="s">
        <v>1476</v>
      </c>
      <c r="B173" s="5" t="s">
        <v>1477</v>
      </c>
      <c r="C173" s="5">
        <v>2022</v>
      </c>
      <c r="D173" s="5" t="s">
        <v>1721</v>
      </c>
      <c r="E173" s="5" t="s">
        <v>1721</v>
      </c>
      <c r="F173" s="5" t="s">
        <v>1721</v>
      </c>
      <c r="G173" s="5" t="s">
        <v>1721</v>
      </c>
      <c r="H173" s="5" t="s">
        <v>1721</v>
      </c>
      <c r="I173" s="5" t="s">
        <v>1721</v>
      </c>
      <c r="J173" s="5" t="s">
        <v>1721</v>
      </c>
      <c r="K173" s="5" t="s">
        <v>193</v>
      </c>
      <c r="L173" s="5" t="s">
        <v>1721</v>
      </c>
      <c r="M173" s="9">
        <v>9</v>
      </c>
      <c r="N173" s="6">
        <f>IFERROR(Table2[[#This Row],[Darbuotojų skaičius]]/M172-1,0)</f>
        <v>0.125</v>
      </c>
      <c r="O173" s="9">
        <v>1663</v>
      </c>
      <c r="P173" s="6">
        <v>0.08</v>
      </c>
      <c r="Q173" s="9">
        <f>Table2[[#This Row],[Atlyginimo vidurkis]]*Table2[[#This Row],[Darbuotojų skaičius]]*12</f>
        <v>179604</v>
      </c>
      <c r="R173" s="49">
        <f>IFERROR(Table2[[#This Row],[DU sąnaudos]]/Q172-1,0)</f>
        <v>0.21960560625814862</v>
      </c>
      <c r="S173" s="9">
        <v>342212</v>
      </c>
      <c r="T173" s="6">
        <v>-0.1</v>
      </c>
      <c r="U173" s="9">
        <f>IF(Table2[[#This Row],[DU sąnaudos]]=0,0,Table2[[#This Row],[Apyvarta]]-Table2[[#This Row],[DU sąnaudos]]-Table2[[#This Row],[Pelnas]])</f>
        <v>161831</v>
      </c>
      <c r="V173" s="49">
        <f>IFERROR(Table2[[#This Row],[Ne-atlyginimų sąnaudos]]/U172-1,0)</f>
        <v>-0.21102693110240056</v>
      </c>
      <c r="W173" s="9">
        <v>777</v>
      </c>
      <c r="X173" s="6">
        <v>-0.97</v>
      </c>
      <c r="Y173" s="8">
        <f>Table2[[#This Row],[DU sąnaudos]]*0.43</f>
        <v>77229.72</v>
      </c>
      <c r="Z173" s="8">
        <f>Table2[[#This Row],[Apyvarta]]-Table2[[#This Row],[Ne-atlyginimų sąnaudos]]+Table2[[#This Row],[Fiks ir pelno mokestis]]</f>
        <v>257610.72</v>
      </c>
    </row>
    <row r="174" spans="1:26" hidden="1" x14ac:dyDescent="0.2">
      <c r="A174" s="5" t="s">
        <v>1476</v>
      </c>
      <c r="B174" s="5" t="s">
        <v>1477</v>
      </c>
      <c r="C174" s="5">
        <v>2023</v>
      </c>
      <c r="D174" s="5" t="s">
        <v>1721</v>
      </c>
      <c r="E174" s="5" t="s">
        <v>1721</v>
      </c>
      <c r="F174" s="5" t="s">
        <v>1721</v>
      </c>
      <c r="G174" s="5" t="s">
        <v>1721</v>
      </c>
      <c r="H174" s="5" t="s">
        <v>1721</v>
      </c>
      <c r="I174" s="5" t="s">
        <v>1721</v>
      </c>
      <c r="J174" s="5" t="s">
        <v>1721</v>
      </c>
      <c r="K174" s="5" t="s">
        <v>193</v>
      </c>
      <c r="L174" s="5" t="s">
        <v>1721</v>
      </c>
      <c r="M174" s="9">
        <v>10</v>
      </c>
      <c r="N174" s="6">
        <f>IFERROR(Table2[[#This Row],[Darbuotojų skaičius]]/M173-1,0)</f>
        <v>0.11111111111111116</v>
      </c>
      <c r="O174" s="9">
        <v>2037</v>
      </c>
      <c r="P174" s="6">
        <v>0.22</v>
      </c>
      <c r="Q174" s="9">
        <f>Table2[[#This Row],[Atlyginimo vidurkis]]*Table2[[#This Row],[Darbuotojų skaičius]]*12</f>
        <v>244440</v>
      </c>
      <c r="R174" s="49">
        <f>IFERROR(Table2[[#This Row],[DU sąnaudos]]/Q173-1,0)</f>
        <v>0.36099418721186605</v>
      </c>
      <c r="S174" s="9">
        <v>634289</v>
      </c>
      <c r="T174" s="6">
        <v>0.85</v>
      </c>
      <c r="U174" s="9">
        <f>IF(Table2[[#This Row],[DU sąnaudos]]=0,0,Table2[[#This Row],[Apyvarta]]-Table2[[#This Row],[DU sąnaudos]]-Table2[[#This Row],[Pelnas]])</f>
        <v>336967</v>
      </c>
      <c r="V174" s="49">
        <f>IFERROR(Table2[[#This Row],[Ne-atlyginimų sąnaudos]]/U173-1,0)</f>
        <v>1.0822153975443518</v>
      </c>
      <c r="W174" s="9">
        <v>52882</v>
      </c>
      <c r="X174" s="6">
        <v>67.06</v>
      </c>
      <c r="Y174" s="8">
        <f>Table2[[#This Row],[DU sąnaudos]]*0.43</f>
        <v>105109.2</v>
      </c>
      <c r="Z174" s="8">
        <f>Table2[[#This Row],[Apyvarta]]-Table2[[#This Row],[Ne-atlyginimų sąnaudos]]+Table2[[#This Row],[Fiks ir pelno mokestis]]</f>
        <v>402431.2</v>
      </c>
    </row>
    <row r="175" spans="1:26" hidden="1" x14ac:dyDescent="0.2">
      <c r="A175" s="5" t="s">
        <v>1476</v>
      </c>
      <c r="B175" s="5" t="s">
        <v>1477</v>
      </c>
      <c r="C175" s="5">
        <v>2024</v>
      </c>
      <c r="D175" s="5" t="s">
        <v>1721</v>
      </c>
      <c r="E175" s="5" t="s">
        <v>1721</v>
      </c>
      <c r="F175" s="5" t="s">
        <v>1721</v>
      </c>
      <c r="G175" s="5" t="s">
        <v>1721</v>
      </c>
      <c r="H175" s="5" t="s">
        <v>1721</v>
      </c>
      <c r="I175" s="5" t="s">
        <v>1721</v>
      </c>
      <c r="J175" s="5" t="s">
        <v>1721</v>
      </c>
      <c r="K175" s="5" t="s">
        <v>193</v>
      </c>
      <c r="L175" s="5" t="s">
        <v>1721</v>
      </c>
      <c r="M175" s="9">
        <v>11</v>
      </c>
      <c r="N175" s="6">
        <f>IFERROR(Table2[[#This Row],[Darbuotojų skaičius]]/M174-1,0)</f>
        <v>0.10000000000000009</v>
      </c>
      <c r="O175" s="9">
        <v>2380</v>
      </c>
      <c r="P175" s="6">
        <v>0.17</v>
      </c>
      <c r="Q175" s="9">
        <f>Table2[[#This Row],[Atlyginimo vidurkis]]*Table2[[#This Row],[Darbuotojų skaičius]]*12</f>
        <v>314160</v>
      </c>
      <c r="R175" s="49">
        <f>IFERROR(Table2[[#This Row],[DU sąnaudos]]/Q174-1,0)</f>
        <v>0.2852233676975946</v>
      </c>
      <c r="S175" s="9">
        <v>712632</v>
      </c>
      <c r="T175" s="6">
        <v>0.12</v>
      </c>
      <c r="U175" s="9">
        <f>IF(Table2[[#This Row],[DU sąnaudos]]=0,0,Table2[[#This Row],[Apyvarta]]-Table2[[#This Row],[DU sąnaudos]]-Table2[[#This Row],[Pelnas]])</f>
        <v>258953</v>
      </c>
      <c r="V175" s="49">
        <f>IFERROR(Table2[[#This Row],[Ne-atlyginimų sąnaudos]]/U174-1,0)</f>
        <v>-0.23151821988503329</v>
      </c>
      <c r="W175" s="9">
        <v>139519</v>
      </c>
      <c r="X175" s="6">
        <v>1.64</v>
      </c>
      <c r="Y175" s="8">
        <f>Table2[[#This Row],[DU sąnaudos]]*0.43</f>
        <v>135088.79999999999</v>
      </c>
      <c r="Z175" s="8">
        <f>Table2[[#This Row],[Apyvarta]]-Table2[[#This Row],[Ne-atlyginimų sąnaudos]]+Table2[[#This Row],[Fiks ir pelno mokestis]]</f>
        <v>588767.80000000005</v>
      </c>
    </row>
    <row r="176" spans="1:26" hidden="1" x14ac:dyDescent="0.2">
      <c r="A176" s="5" t="s">
        <v>1059</v>
      </c>
      <c r="B176" s="5" t="s">
        <v>1478</v>
      </c>
      <c r="C176" s="5">
        <v>2019</v>
      </c>
      <c r="D176" s="5" t="s">
        <v>1721</v>
      </c>
      <c r="E176" s="5" t="s">
        <v>1721</v>
      </c>
      <c r="F176" s="5" t="s">
        <v>1721</v>
      </c>
      <c r="G176" s="5" t="s">
        <v>1721</v>
      </c>
      <c r="H176" s="5" t="s">
        <v>1721</v>
      </c>
      <c r="I176" s="5" t="s">
        <v>1721</v>
      </c>
      <c r="J176" s="5" t="s">
        <v>1721</v>
      </c>
      <c r="K176" s="5" t="s">
        <v>193</v>
      </c>
      <c r="L176" s="5" t="s">
        <v>1721</v>
      </c>
      <c r="M176" s="9">
        <v>29</v>
      </c>
      <c r="N176" s="6">
        <v>0</v>
      </c>
      <c r="O176" s="9">
        <v>1831</v>
      </c>
      <c r="P176" s="6">
        <v>0</v>
      </c>
      <c r="Q176" s="9">
        <f>Table2[[#This Row],[Atlyginimo vidurkis]]*Table2[[#This Row],[Darbuotojų skaičius]]*12</f>
        <v>637188</v>
      </c>
      <c r="R176" s="49">
        <v>0</v>
      </c>
      <c r="S176" s="9">
        <v>1273621</v>
      </c>
      <c r="T176" s="6">
        <v>0</v>
      </c>
      <c r="U176" s="9">
        <f>IF(Table2[[#This Row],[DU sąnaudos]]=0,0,Table2[[#This Row],[Apyvarta]]-Table2[[#This Row],[DU sąnaudos]]-Table2[[#This Row],[Pelnas]])</f>
        <v>622432</v>
      </c>
      <c r="V176" s="49">
        <v>0</v>
      </c>
      <c r="W176" s="9">
        <v>14001</v>
      </c>
      <c r="X176" s="6">
        <v>0</v>
      </c>
      <c r="Y176" s="8">
        <f>Table2[[#This Row],[DU sąnaudos]]*0.43</f>
        <v>273990.83999999997</v>
      </c>
      <c r="Z176" s="8">
        <f>Table2[[#This Row],[Apyvarta]]-Table2[[#This Row],[Ne-atlyginimų sąnaudos]]+Table2[[#This Row],[Fiks ir pelno mokestis]]</f>
        <v>925179.84</v>
      </c>
    </row>
    <row r="177" spans="1:26" hidden="1" x14ac:dyDescent="0.2">
      <c r="A177" s="5" t="s">
        <v>1059</v>
      </c>
      <c r="B177" s="5" t="s">
        <v>1478</v>
      </c>
      <c r="C177" s="5">
        <v>2020</v>
      </c>
      <c r="D177" s="5" t="s">
        <v>1721</v>
      </c>
      <c r="E177" s="5" t="s">
        <v>1721</v>
      </c>
      <c r="F177" s="5" t="s">
        <v>1721</v>
      </c>
      <c r="G177" s="5" t="s">
        <v>1721</v>
      </c>
      <c r="H177" s="5" t="s">
        <v>1721</v>
      </c>
      <c r="I177" s="5" t="s">
        <v>1721</v>
      </c>
      <c r="J177" s="5" t="s">
        <v>1721</v>
      </c>
      <c r="K177" s="5" t="s">
        <v>193</v>
      </c>
      <c r="L177" s="5" t="s">
        <v>1721</v>
      </c>
      <c r="M177" s="9">
        <v>25</v>
      </c>
      <c r="N177" s="6">
        <f>IFERROR(Table2[[#This Row],[Darbuotojų skaičius]]/M176-1,0)</f>
        <v>-0.13793103448275867</v>
      </c>
      <c r="O177" s="9">
        <v>2014</v>
      </c>
      <c r="P177" s="6">
        <v>9.9945385035499656E-2</v>
      </c>
      <c r="Q177" s="9">
        <f>Table2[[#This Row],[Atlyginimo vidurkis]]*Table2[[#This Row],[Darbuotojų skaičius]]*12</f>
        <v>604200</v>
      </c>
      <c r="R177" s="49">
        <f>IFERROR(Table2[[#This Row],[DU sąnaudos]]/Q176-1,0)</f>
        <v>-5.1771219796982959E-2</v>
      </c>
      <c r="S177" s="9">
        <v>1227723</v>
      </c>
      <c r="T177" s="6">
        <v>-3.6037408302783902E-2</v>
      </c>
      <c r="U177" s="9">
        <f>IF(Table2[[#This Row],[DU sąnaudos]]=0,0,Table2[[#This Row],[Apyvarta]]-Table2[[#This Row],[DU sąnaudos]]-Table2[[#This Row],[Pelnas]])</f>
        <v>505753</v>
      </c>
      <c r="V177" s="49">
        <f>IFERROR(Table2[[#This Row],[Ne-atlyginimų sąnaudos]]/U176-1,0)</f>
        <v>-0.18745662176751843</v>
      </c>
      <c r="W177" s="9">
        <v>117770</v>
      </c>
      <c r="X177" s="6">
        <v>7.4115420327119486</v>
      </c>
      <c r="Y177" s="8">
        <f>Table2[[#This Row],[DU sąnaudos]]*0.43</f>
        <v>259806</v>
      </c>
      <c r="Z177" s="8">
        <f>Table2[[#This Row],[Apyvarta]]-Table2[[#This Row],[Ne-atlyginimų sąnaudos]]+Table2[[#This Row],[Fiks ir pelno mokestis]]</f>
        <v>981776</v>
      </c>
    </row>
    <row r="178" spans="1:26" hidden="1" x14ac:dyDescent="0.2">
      <c r="A178" s="5" t="s">
        <v>1059</v>
      </c>
      <c r="B178" s="5" t="s">
        <v>1478</v>
      </c>
      <c r="C178" s="5">
        <v>2021</v>
      </c>
      <c r="D178" s="5" t="s">
        <v>1721</v>
      </c>
      <c r="E178" s="5" t="s">
        <v>1721</v>
      </c>
      <c r="F178" s="5" t="s">
        <v>1721</v>
      </c>
      <c r="G178" s="5" t="s">
        <v>1721</v>
      </c>
      <c r="H178" s="5" t="s">
        <v>1721</v>
      </c>
      <c r="I178" s="5" t="s">
        <v>1721</v>
      </c>
      <c r="J178" s="5" t="s">
        <v>1721</v>
      </c>
      <c r="K178" s="5" t="s">
        <v>193</v>
      </c>
      <c r="L178" s="5" t="s">
        <v>1721</v>
      </c>
      <c r="M178" s="9">
        <v>25</v>
      </c>
      <c r="N178" s="6">
        <f>IFERROR(Table2[[#This Row],[Darbuotojų skaičius]]/M177-1,0)</f>
        <v>0</v>
      </c>
      <c r="O178" s="9">
        <v>2475</v>
      </c>
      <c r="P178" s="6">
        <v>0.22889771598808339</v>
      </c>
      <c r="Q178" s="9">
        <f>Table2[[#This Row],[Atlyginimo vidurkis]]*Table2[[#This Row],[Darbuotojų skaičius]]*12</f>
        <v>742500</v>
      </c>
      <c r="R178" s="49">
        <f>IFERROR(Table2[[#This Row],[DU sąnaudos]]/Q177-1,0)</f>
        <v>0.22889771598808339</v>
      </c>
      <c r="S178" s="9">
        <v>1618267</v>
      </c>
      <c r="T178" s="6">
        <v>0.31810432809355199</v>
      </c>
      <c r="U178" s="9">
        <f>IF(Table2[[#This Row],[DU sąnaudos]]=0,0,Table2[[#This Row],[Apyvarta]]-Table2[[#This Row],[DU sąnaudos]]-Table2[[#This Row],[Pelnas]])</f>
        <v>842121</v>
      </c>
      <c r="V178" s="49">
        <f>IFERROR(Table2[[#This Row],[Ne-atlyginimų sąnaudos]]/U177-1,0)</f>
        <v>0.66508354868878672</v>
      </c>
      <c r="W178" s="9">
        <v>33646</v>
      </c>
      <c r="X178" s="6">
        <v>-0.71430754861170076</v>
      </c>
      <c r="Y178" s="8">
        <f>Table2[[#This Row],[DU sąnaudos]]*0.43</f>
        <v>319275</v>
      </c>
      <c r="Z178" s="8">
        <f>Table2[[#This Row],[Apyvarta]]-Table2[[#This Row],[Ne-atlyginimų sąnaudos]]+Table2[[#This Row],[Fiks ir pelno mokestis]]</f>
        <v>1095421</v>
      </c>
    </row>
    <row r="179" spans="1:26" hidden="1" x14ac:dyDescent="0.2">
      <c r="A179" s="5" t="s">
        <v>1059</v>
      </c>
      <c r="B179" s="5" t="s">
        <v>1478</v>
      </c>
      <c r="C179" s="5">
        <v>2022</v>
      </c>
      <c r="D179" s="5" t="s">
        <v>1721</v>
      </c>
      <c r="E179" s="5" t="s">
        <v>1721</v>
      </c>
      <c r="F179" s="5" t="s">
        <v>1721</v>
      </c>
      <c r="G179" s="5" t="s">
        <v>1721</v>
      </c>
      <c r="H179" s="5" t="s">
        <v>1721</v>
      </c>
      <c r="I179" s="5" t="s">
        <v>1721</v>
      </c>
      <c r="J179" s="5" t="s">
        <v>1721</v>
      </c>
      <c r="K179" s="5" t="s">
        <v>193</v>
      </c>
      <c r="L179" s="5" t="s">
        <v>1721</v>
      </c>
      <c r="M179" s="9">
        <v>24</v>
      </c>
      <c r="N179" s="6">
        <f>IFERROR(Table2[[#This Row],[Darbuotojų skaičius]]/M178-1,0)</f>
        <v>-4.0000000000000036E-2</v>
      </c>
      <c r="O179" s="9">
        <v>2602</v>
      </c>
      <c r="P179" s="6">
        <v>5.1313131313131422E-2</v>
      </c>
      <c r="Q179" s="9">
        <f>Table2[[#This Row],[Atlyginimo vidurkis]]*Table2[[#This Row],[Darbuotojų skaičius]]*12</f>
        <v>749376</v>
      </c>
      <c r="R179" s="49">
        <f>IFERROR(Table2[[#This Row],[DU sąnaudos]]/Q178-1,0)</f>
        <v>9.2606060606059692E-3</v>
      </c>
      <c r="S179" s="9">
        <v>1266138</v>
      </c>
      <c r="T179" s="6">
        <v>-0.21759635461886079</v>
      </c>
      <c r="U179" s="9">
        <f>IF(Table2[[#This Row],[DU sąnaudos]]=0,0,Table2[[#This Row],[Apyvarta]]-Table2[[#This Row],[DU sąnaudos]]-Table2[[#This Row],[Pelnas]])</f>
        <v>506457</v>
      </c>
      <c r="V179" s="49">
        <f>IFERROR(Table2[[#This Row],[Ne-atlyginimų sąnaudos]]/U178-1,0)</f>
        <v>-0.39859355128301044</v>
      </c>
      <c r="W179" s="9">
        <v>10305</v>
      </c>
      <c r="X179" s="6">
        <v>-0.6937228793913095</v>
      </c>
      <c r="Y179" s="8">
        <f>Table2[[#This Row],[DU sąnaudos]]*0.43</f>
        <v>322231.67999999999</v>
      </c>
      <c r="Z179" s="8">
        <f>Table2[[#This Row],[Apyvarta]]-Table2[[#This Row],[Ne-atlyginimų sąnaudos]]+Table2[[#This Row],[Fiks ir pelno mokestis]]</f>
        <v>1081912.68</v>
      </c>
    </row>
    <row r="180" spans="1:26" hidden="1" x14ac:dyDescent="0.2">
      <c r="A180" s="5" t="s">
        <v>1059</v>
      </c>
      <c r="B180" s="5" t="s">
        <v>1478</v>
      </c>
      <c r="C180" s="5">
        <v>2023</v>
      </c>
      <c r="D180" s="5" t="s">
        <v>1721</v>
      </c>
      <c r="E180" s="5" t="s">
        <v>1721</v>
      </c>
      <c r="F180" s="5" t="s">
        <v>1721</v>
      </c>
      <c r="G180" s="5" t="s">
        <v>1721</v>
      </c>
      <c r="H180" s="5" t="s">
        <v>1721</v>
      </c>
      <c r="I180" s="5" t="s">
        <v>1721</v>
      </c>
      <c r="J180" s="5" t="s">
        <v>1721</v>
      </c>
      <c r="K180" s="5" t="s">
        <v>193</v>
      </c>
      <c r="L180" s="5" t="s">
        <v>1721</v>
      </c>
      <c r="M180" s="9">
        <v>19</v>
      </c>
      <c r="N180" s="6">
        <f>IFERROR(Table2[[#This Row],[Darbuotojų skaičius]]/M179-1,0)</f>
        <v>-0.20833333333333337</v>
      </c>
      <c r="O180" s="9">
        <v>2781</v>
      </c>
      <c r="P180" s="6">
        <v>6.8793235972328892E-2</v>
      </c>
      <c r="Q180" s="9">
        <f>Table2[[#This Row],[Atlyginimo vidurkis]]*Table2[[#This Row],[Darbuotojų skaičius]]*12</f>
        <v>634068</v>
      </c>
      <c r="R180" s="49">
        <f>IFERROR(Table2[[#This Row],[DU sąnaudos]]/Q179-1,0)</f>
        <v>-0.15387202152190627</v>
      </c>
      <c r="S180" s="9">
        <v>988791</v>
      </c>
      <c r="T180" s="6">
        <v>-0.2190495822730224</v>
      </c>
      <c r="U180" s="9">
        <f>IF(Table2[[#This Row],[DU sąnaudos]]=0,0,Table2[[#This Row],[Apyvarta]]-Table2[[#This Row],[DU sąnaudos]]-Table2[[#This Row],[Pelnas]])</f>
        <v>279801</v>
      </c>
      <c r="V180" s="49">
        <f>IFERROR(Table2[[#This Row],[Ne-atlyginimų sąnaudos]]/U179-1,0)</f>
        <v>-0.44753256446253087</v>
      </c>
      <c r="W180" s="9">
        <v>74922</v>
      </c>
      <c r="X180" s="6">
        <v>6.2704512372634644</v>
      </c>
      <c r="Y180" s="8">
        <f>Table2[[#This Row],[DU sąnaudos]]*0.43</f>
        <v>272649.24</v>
      </c>
      <c r="Z180" s="8">
        <f>Table2[[#This Row],[Apyvarta]]-Table2[[#This Row],[Ne-atlyginimų sąnaudos]]+Table2[[#This Row],[Fiks ir pelno mokestis]]</f>
        <v>981639.24</v>
      </c>
    </row>
    <row r="181" spans="1:26" hidden="1" x14ac:dyDescent="0.2">
      <c r="A181" s="5" t="s">
        <v>1059</v>
      </c>
      <c r="B181" s="5" t="s">
        <v>1478</v>
      </c>
      <c r="C181" s="5">
        <v>2024</v>
      </c>
      <c r="D181" s="5" t="s">
        <v>1721</v>
      </c>
      <c r="E181" s="5" t="s">
        <v>1721</v>
      </c>
      <c r="F181" s="5" t="s">
        <v>1721</v>
      </c>
      <c r="G181" s="5" t="s">
        <v>1721</v>
      </c>
      <c r="H181" s="5" t="s">
        <v>1721</v>
      </c>
      <c r="I181" s="5" t="s">
        <v>1721</v>
      </c>
      <c r="J181" s="5" t="s">
        <v>1721</v>
      </c>
      <c r="K181" s="5" t="s">
        <v>193</v>
      </c>
      <c r="L181" s="5" t="s">
        <v>1721</v>
      </c>
      <c r="M181" s="9">
        <v>19</v>
      </c>
      <c r="N181" s="6">
        <f>IFERROR(Table2[[#This Row],[Darbuotojų skaičius]]/M180-1,0)</f>
        <v>0</v>
      </c>
      <c r="O181" s="9">
        <v>3393</v>
      </c>
      <c r="P181" s="6">
        <v>0.2200647249190939</v>
      </c>
      <c r="Q181" s="9">
        <f>Table2[[#This Row],[Atlyginimo vidurkis]]*Table2[[#This Row],[Darbuotojų skaičius]]*12</f>
        <v>773604</v>
      </c>
      <c r="R181" s="49">
        <f>IFERROR(Table2[[#This Row],[DU sąnaudos]]/Q180-1,0)</f>
        <v>0.2200647249190939</v>
      </c>
      <c r="S181" s="20">
        <v>1029834</v>
      </c>
      <c r="T181" s="6">
        <v>4.1508266155335205E-2</v>
      </c>
      <c r="U181" s="9">
        <f>IF(Table2[[#This Row],[DU sąnaudos]]=0,0,Table2[[#This Row],[Apyvarta]]-Table2[[#This Row],[DU sąnaudos]]-Table2[[#This Row],[Pelnas]])</f>
        <v>229291</v>
      </c>
      <c r="V181" s="49">
        <f>IFERROR(Table2[[#This Row],[Ne-atlyginimų sąnaudos]]/U180-1,0)</f>
        <v>-0.18052115610737629</v>
      </c>
      <c r="W181" s="9">
        <v>26939</v>
      </c>
      <c r="X181" s="6">
        <v>-0.64043939029924457</v>
      </c>
      <c r="Y181" s="8">
        <f>Table2[[#This Row],[DU sąnaudos]]*0.43</f>
        <v>332649.71999999997</v>
      </c>
      <c r="Z181" s="8">
        <f>Table2[[#This Row],[Apyvarta]]-Table2[[#This Row],[Ne-atlyginimų sąnaudos]]+Table2[[#This Row],[Fiks ir pelno mokestis]]</f>
        <v>1133192.72</v>
      </c>
    </row>
    <row r="182" spans="1:26" hidden="1" x14ac:dyDescent="0.2">
      <c r="A182" s="5" t="s">
        <v>527</v>
      </c>
      <c r="B182" s="5" t="s">
        <v>1479</v>
      </c>
      <c r="C182" s="5">
        <v>2019</v>
      </c>
      <c r="D182" s="5" t="s">
        <v>1721</v>
      </c>
      <c r="E182" s="5" t="s">
        <v>1721</v>
      </c>
      <c r="F182" s="5" t="s">
        <v>1721</v>
      </c>
      <c r="G182" s="5" t="s">
        <v>1721</v>
      </c>
      <c r="H182" s="5" t="s">
        <v>1721</v>
      </c>
      <c r="I182" s="5" t="s">
        <v>1721</v>
      </c>
      <c r="J182" s="5" t="s">
        <v>1721</v>
      </c>
      <c r="K182" s="5" t="s">
        <v>193</v>
      </c>
      <c r="L182" s="5" t="s">
        <v>1721</v>
      </c>
      <c r="M182" s="9">
        <v>5</v>
      </c>
      <c r="N182" s="6">
        <v>0</v>
      </c>
      <c r="O182" s="9">
        <v>831</v>
      </c>
      <c r="P182" s="6">
        <v>0</v>
      </c>
      <c r="Q182" s="9">
        <f>Table2[[#This Row],[Atlyginimo vidurkis]]*Table2[[#This Row],[Darbuotojų skaičius]]*12</f>
        <v>49860</v>
      </c>
      <c r="R182" s="49">
        <v>0</v>
      </c>
      <c r="S182" s="9">
        <v>429578</v>
      </c>
      <c r="T182" s="6">
        <v>0</v>
      </c>
      <c r="U182" s="9">
        <f>IF(Table2[[#This Row],[DU sąnaudos]]=0,0,Table2[[#This Row],[Apyvarta]]-Table2[[#This Row],[DU sąnaudos]]-Table2[[#This Row],[Pelnas]])</f>
        <v>203228</v>
      </c>
      <c r="V182" s="49">
        <v>0</v>
      </c>
      <c r="W182" s="9">
        <v>176490</v>
      </c>
      <c r="X182" s="6">
        <v>0</v>
      </c>
      <c r="Y182" s="8">
        <f>Table2[[#This Row],[DU sąnaudos]]*0.43</f>
        <v>21439.8</v>
      </c>
      <c r="Z182" s="8">
        <f>Table2[[#This Row],[Apyvarta]]-Table2[[#This Row],[Ne-atlyginimų sąnaudos]]+Table2[[#This Row],[Fiks ir pelno mokestis]]</f>
        <v>247789.8</v>
      </c>
    </row>
    <row r="183" spans="1:26" hidden="1" x14ac:dyDescent="0.2">
      <c r="A183" s="5" t="s">
        <v>527</v>
      </c>
      <c r="B183" s="5" t="s">
        <v>1479</v>
      </c>
      <c r="C183" s="5">
        <v>2020</v>
      </c>
      <c r="D183" s="5" t="s">
        <v>1721</v>
      </c>
      <c r="E183" s="5" t="s">
        <v>1721</v>
      </c>
      <c r="F183" s="5" t="s">
        <v>1721</v>
      </c>
      <c r="G183" s="5" t="s">
        <v>1721</v>
      </c>
      <c r="H183" s="5" t="s">
        <v>1721</v>
      </c>
      <c r="I183" s="5" t="s">
        <v>1721</v>
      </c>
      <c r="J183" s="5" t="s">
        <v>1721</v>
      </c>
      <c r="K183" s="5" t="s">
        <v>193</v>
      </c>
      <c r="L183" s="5" t="s">
        <v>1721</v>
      </c>
      <c r="M183" s="9">
        <v>9</v>
      </c>
      <c r="N183" s="6">
        <f>IFERROR(Table2[[#This Row],[Darbuotojų skaičius]]/M182-1,0)</f>
        <v>0.8</v>
      </c>
      <c r="O183" s="9">
        <v>1019</v>
      </c>
      <c r="P183" s="6">
        <v>0.22623345367027681</v>
      </c>
      <c r="Q183" s="9">
        <f>Table2[[#This Row],[Atlyginimo vidurkis]]*Table2[[#This Row],[Darbuotojų skaičius]]*12</f>
        <v>110052</v>
      </c>
      <c r="R183" s="49">
        <f>IFERROR(Table2[[#This Row],[DU sąnaudos]]/Q182-1,0)</f>
        <v>1.207220216606498</v>
      </c>
      <c r="S183" s="9">
        <v>433516</v>
      </c>
      <c r="T183" s="6">
        <v>9.167136119633712E-3</v>
      </c>
      <c r="U183" s="9">
        <f>IF(Table2[[#This Row],[DU sąnaudos]]=0,0,Table2[[#This Row],[Apyvarta]]-Table2[[#This Row],[DU sąnaudos]]-Table2[[#This Row],[Pelnas]])</f>
        <v>180751</v>
      </c>
      <c r="V183" s="49">
        <f>IFERROR(Table2[[#This Row],[Ne-atlyginimų sąnaudos]]/U182-1,0)</f>
        <v>-0.11059991733422558</v>
      </c>
      <c r="W183" s="9">
        <v>142713</v>
      </c>
      <c r="X183" s="6">
        <v>-0.19138194798572161</v>
      </c>
      <c r="Y183" s="8">
        <f>Table2[[#This Row],[DU sąnaudos]]*0.43</f>
        <v>47322.36</v>
      </c>
      <c r="Z183" s="8">
        <f>Table2[[#This Row],[Apyvarta]]-Table2[[#This Row],[Ne-atlyginimų sąnaudos]]+Table2[[#This Row],[Fiks ir pelno mokestis]]</f>
        <v>300087.36</v>
      </c>
    </row>
    <row r="184" spans="1:26" hidden="1" x14ac:dyDescent="0.2">
      <c r="A184" s="5" t="s">
        <v>527</v>
      </c>
      <c r="B184" s="5" t="s">
        <v>1479</v>
      </c>
      <c r="C184" s="5">
        <v>2021</v>
      </c>
      <c r="D184" s="5" t="s">
        <v>1721</v>
      </c>
      <c r="E184" s="5" t="s">
        <v>1721</v>
      </c>
      <c r="F184" s="5" t="s">
        <v>1721</v>
      </c>
      <c r="G184" s="5" t="s">
        <v>1721</v>
      </c>
      <c r="H184" s="5" t="s">
        <v>1721</v>
      </c>
      <c r="I184" s="5" t="s">
        <v>1721</v>
      </c>
      <c r="J184" s="5" t="s">
        <v>1721</v>
      </c>
      <c r="K184" s="5" t="s">
        <v>193</v>
      </c>
      <c r="L184" s="5" t="s">
        <v>1721</v>
      </c>
      <c r="M184" s="9">
        <v>11</v>
      </c>
      <c r="N184" s="6">
        <f>IFERROR(Table2[[#This Row],[Darbuotojų skaičius]]/M183-1,0)</f>
        <v>0.22222222222222232</v>
      </c>
      <c r="O184" s="9">
        <v>1264</v>
      </c>
      <c r="P184" s="6">
        <v>0.24043179587831201</v>
      </c>
      <c r="Q184" s="9">
        <f>Table2[[#This Row],[Atlyginimo vidurkis]]*Table2[[#This Row],[Darbuotojų skaičius]]*12</f>
        <v>166848</v>
      </c>
      <c r="R184" s="49">
        <f>IFERROR(Table2[[#This Row],[DU sąnaudos]]/Q183-1,0)</f>
        <v>0.51608330607349262</v>
      </c>
      <c r="S184" s="9">
        <v>727671</v>
      </c>
      <c r="T184" s="6">
        <v>0.67853320292676633</v>
      </c>
      <c r="U184" s="9">
        <f>IF(Table2[[#This Row],[DU sąnaudos]]=0,0,Table2[[#This Row],[Apyvarta]]-Table2[[#This Row],[DU sąnaudos]]-Table2[[#This Row],[Pelnas]])</f>
        <v>297709</v>
      </c>
      <c r="V184" s="49">
        <f>IFERROR(Table2[[#This Row],[Ne-atlyginimų sąnaudos]]/U183-1,0)</f>
        <v>0.64706695951889626</v>
      </c>
      <c r="W184" s="9">
        <v>263114</v>
      </c>
      <c r="X184" s="6">
        <v>0.84365825117543602</v>
      </c>
      <c r="Y184" s="8">
        <f>Table2[[#This Row],[DU sąnaudos]]*0.43</f>
        <v>71744.639999999999</v>
      </c>
      <c r="Z184" s="8">
        <f>Table2[[#This Row],[Apyvarta]]-Table2[[#This Row],[Ne-atlyginimų sąnaudos]]+Table2[[#This Row],[Fiks ir pelno mokestis]]</f>
        <v>501706.64</v>
      </c>
    </row>
    <row r="185" spans="1:26" hidden="1" x14ac:dyDescent="0.2">
      <c r="A185" s="5" t="s">
        <v>527</v>
      </c>
      <c r="B185" s="5" t="s">
        <v>1479</v>
      </c>
      <c r="C185" s="5">
        <v>2022</v>
      </c>
      <c r="D185" s="5" t="s">
        <v>1721</v>
      </c>
      <c r="E185" s="5" t="s">
        <v>1721</v>
      </c>
      <c r="F185" s="5" t="s">
        <v>1721</v>
      </c>
      <c r="G185" s="5" t="s">
        <v>1721</v>
      </c>
      <c r="H185" s="5" t="s">
        <v>1721</v>
      </c>
      <c r="I185" s="5" t="s">
        <v>1721</v>
      </c>
      <c r="J185" s="5" t="s">
        <v>1721</v>
      </c>
      <c r="K185" s="5" t="s">
        <v>193</v>
      </c>
      <c r="L185" s="5" t="s">
        <v>1721</v>
      </c>
      <c r="M185" s="9">
        <v>13</v>
      </c>
      <c r="N185" s="6">
        <f>IFERROR(Table2[[#This Row],[Darbuotojų skaičius]]/M184-1,0)</f>
        <v>0.18181818181818188</v>
      </c>
      <c r="O185" s="9">
        <v>1660</v>
      </c>
      <c r="P185" s="6">
        <v>0.31329113924050622</v>
      </c>
      <c r="Q185" s="9">
        <f>Table2[[#This Row],[Atlyginimo vidurkis]]*Table2[[#This Row],[Darbuotojų skaičius]]*12</f>
        <v>258960</v>
      </c>
      <c r="R185" s="49">
        <f>IFERROR(Table2[[#This Row],[DU sąnaudos]]/Q184-1,0)</f>
        <v>0.55207134637514388</v>
      </c>
      <c r="S185" s="9">
        <v>1065013</v>
      </c>
      <c r="T185" s="6">
        <v>0.46359137577284248</v>
      </c>
      <c r="U185" s="9">
        <f>IF(Table2[[#This Row],[DU sąnaudos]]=0,0,Table2[[#This Row],[Apyvarta]]-Table2[[#This Row],[DU sąnaudos]]-Table2[[#This Row],[Pelnas]])</f>
        <v>535225</v>
      </c>
      <c r="V185" s="49">
        <f>IFERROR(Table2[[#This Row],[Ne-atlyginimų sąnaudos]]/U184-1,0)</f>
        <v>0.7978126291109775</v>
      </c>
      <c r="W185" s="9">
        <v>270828</v>
      </c>
      <c r="X185" s="6">
        <v>2.9318090257455021E-2</v>
      </c>
      <c r="Y185" s="8">
        <f>Table2[[#This Row],[DU sąnaudos]]*0.43</f>
        <v>111352.8</v>
      </c>
      <c r="Z185" s="8">
        <f>Table2[[#This Row],[Apyvarta]]-Table2[[#This Row],[Ne-atlyginimų sąnaudos]]+Table2[[#This Row],[Fiks ir pelno mokestis]]</f>
        <v>641140.80000000005</v>
      </c>
    </row>
    <row r="186" spans="1:26" hidden="1" x14ac:dyDescent="0.2">
      <c r="A186" s="5" t="s">
        <v>527</v>
      </c>
      <c r="B186" s="5" t="s">
        <v>1479</v>
      </c>
      <c r="C186" s="5">
        <v>2023</v>
      </c>
      <c r="D186" s="5" t="s">
        <v>1721</v>
      </c>
      <c r="E186" s="5" t="s">
        <v>1721</v>
      </c>
      <c r="F186" s="5" t="s">
        <v>1721</v>
      </c>
      <c r="G186" s="5" t="s">
        <v>1721</v>
      </c>
      <c r="H186" s="5" t="s">
        <v>1721</v>
      </c>
      <c r="I186" s="5" t="s">
        <v>1721</v>
      </c>
      <c r="J186" s="5" t="s">
        <v>1721</v>
      </c>
      <c r="K186" s="5" t="s">
        <v>193</v>
      </c>
      <c r="L186" s="5" t="s">
        <v>1721</v>
      </c>
      <c r="M186" s="9">
        <v>15</v>
      </c>
      <c r="N186" s="6">
        <f>IFERROR(Table2[[#This Row],[Darbuotojų skaičius]]/M185-1,0)</f>
        <v>0.15384615384615374</v>
      </c>
      <c r="O186" s="9">
        <v>1792</v>
      </c>
      <c r="P186" s="6">
        <v>7.9518072289156638E-2</v>
      </c>
      <c r="Q186" s="9">
        <f>Table2[[#This Row],[Atlyginimo vidurkis]]*Table2[[#This Row],[Darbuotojų skaičius]]*12</f>
        <v>322560</v>
      </c>
      <c r="R186" s="49">
        <f>IFERROR(Table2[[#This Row],[DU sąnaudos]]/Q185-1,0)</f>
        <v>0.24559777571825769</v>
      </c>
      <c r="S186" s="9">
        <v>1326126</v>
      </c>
      <c r="T186" s="6">
        <v>0.24517353309302339</v>
      </c>
      <c r="U186" s="9">
        <f>IF(Table2[[#This Row],[DU sąnaudos]]=0,0,Table2[[#This Row],[Apyvarta]]-Table2[[#This Row],[DU sąnaudos]]-Table2[[#This Row],[Pelnas]])</f>
        <v>739547</v>
      </c>
      <c r="V186" s="49">
        <f>IFERROR(Table2[[#This Row],[Ne-atlyginimų sąnaudos]]/U185-1,0)</f>
        <v>0.38174973142136492</v>
      </c>
      <c r="W186" s="9">
        <v>264019</v>
      </c>
      <c r="X186" s="6">
        <v>-2.5141418169465472E-2</v>
      </c>
      <c r="Y186" s="8">
        <f>Table2[[#This Row],[DU sąnaudos]]*0.43</f>
        <v>138700.79999999999</v>
      </c>
      <c r="Z186" s="8">
        <f>Table2[[#This Row],[Apyvarta]]-Table2[[#This Row],[Ne-atlyginimų sąnaudos]]+Table2[[#This Row],[Fiks ir pelno mokestis]]</f>
        <v>725279.8</v>
      </c>
    </row>
    <row r="187" spans="1:26" hidden="1" x14ac:dyDescent="0.2">
      <c r="A187" s="5" t="s">
        <v>527</v>
      </c>
      <c r="B187" s="5" t="s">
        <v>1479</v>
      </c>
      <c r="C187" s="5">
        <v>2024</v>
      </c>
      <c r="D187" s="5" t="s">
        <v>1721</v>
      </c>
      <c r="E187" s="5" t="s">
        <v>1721</v>
      </c>
      <c r="F187" s="5" t="s">
        <v>1721</v>
      </c>
      <c r="G187" s="5" t="s">
        <v>1721</v>
      </c>
      <c r="H187" s="5" t="s">
        <v>1721</v>
      </c>
      <c r="I187" s="5" t="s">
        <v>1721</v>
      </c>
      <c r="J187" s="5" t="s">
        <v>1721</v>
      </c>
      <c r="K187" s="5" t="s">
        <v>193</v>
      </c>
      <c r="L187" s="5" t="s">
        <v>1721</v>
      </c>
      <c r="M187" s="9">
        <v>20</v>
      </c>
      <c r="N187" s="6">
        <f>IFERROR(Table2[[#This Row],[Darbuotojų skaičius]]/M186-1,0)</f>
        <v>0.33333333333333326</v>
      </c>
      <c r="O187" s="9">
        <v>2026</v>
      </c>
      <c r="P187" s="6">
        <v>0.13058035714285721</v>
      </c>
      <c r="Q187" s="9">
        <f>Table2[[#This Row],[Atlyginimo vidurkis]]*Table2[[#This Row],[Darbuotojų skaičius]]*12</f>
        <v>486240</v>
      </c>
      <c r="R187" s="49">
        <f>IFERROR(Table2[[#This Row],[DU sąnaudos]]/Q186-1,0)</f>
        <v>0.50744047619047628</v>
      </c>
      <c r="S187" s="9">
        <v>1806257</v>
      </c>
      <c r="T187" s="6">
        <v>0.36205534014113278</v>
      </c>
      <c r="U187" s="9">
        <f>IF(Table2[[#This Row],[DU sąnaudos]]=0,0,Table2[[#This Row],[Apyvarta]]-Table2[[#This Row],[DU sąnaudos]]-Table2[[#This Row],[Pelnas]])</f>
        <v>965978</v>
      </c>
      <c r="V187" s="49">
        <f>IFERROR(Table2[[#This Row],[Ne-atlyginimų sąnaudos]]/U186-1,0)</f>
        <v>0.30617526675113282</v>
      </c>
      <c r="W187" s="9">
        <v>354039</v>
      </c>
      <c r="X187" s="6">
        <v>0.34096030967468249</v>
      </c>
      <c r="Y187" s="8">
        <f>Table2[[#This Row],[DU sąnaudos]]*0.43</f>
        <v>209083.19999999998</v>
      </c>
      <c r="Z187" s="8">
        <f>Table2[[#This Row],[Apyvarta]]-Table2[[#This Row],[Ne-atlyginimų sąnaudos]]+Table2[[#This Row],[Fiks ir pelno mokestis]]</f>
        <v>1049362.2</v>
      </c>
    </row>
    <row r="188" spans="1:26" x14ac:dyDescent="0.2">
      <c r="A188" s="5" t="s">
        <v>298</v>
      </c>
      <c r="B188" s="5" t="s">
        <v>1481</v>
      </c>
      <c r="C188" s="5">
        <v>2019</v>
      </c>
      <c r="D188" s="5" t="s">
        <v>1721</v>
      </c>
      <c r="E188" s="5" t="s">
        <v>1721</v>
      </c>
      <c r="F188" s="5" t="s">
        <v>1721</v>
      </c>
      <c r="G188" s="5" t="s">
        <v>1721</v>
      </c>
      <c r="H188" s="5" t="s">
        <v>1721</v>
      </c>
      <c r="I188" s="5" t="s">
        <v>280</v>
      </c>
      <c r="J188" s="5" t="s">
        <v>300</v>
      </c>
      <c r="K188" s="5" t="s">
        <v>193</v>
      </c>
      <c r="L188" s="5" t="s">
        <v>301</v>
      </c>
      <c r="M188" s="9">
        <v>37</v>
      </c>
      <c r="N188" s="6">
        <v>0</v>
      </c>
      <c r="O188" s="9">
        <v>2524</v>
      </c>
      <c r="P188" s="6">
        <v>0</v>
      </c>
      <c r="Q188" s="9">
        <f>Table2[[#This Row],[Atlyginimo vidurkis]]*Table2[[#This Row],[Darbuotojų skaičius]]*12</f>
        <v>1120656</v>
      </c>
      <c r="R188" s="49">
        <v>0</v>
      </c>
      <c r="S188" s="9">
        <v>2788993</v>
      </c>
      <c r="T188" s="6">
        <v>0</v>
      </c>
      <c r="U188" s="9">
        <f>IF(Table2[[#This Row],[DU sąnaudos]]=0,0,Table2[[#This Row],[Apyvarta]]-Table2[[#This Row],[DU sąnaudos]]-Table2[[#This Row],[Pelnas]])</f>
        <v>1474621</v>
      </c>
      <c r="V188" s="49">
        <v>0</v>
      </c>
      <c r="W188" s="9">
        <v>193716</v>
      </c>
      <c r="X188" s="6">
        <v>0</v>
      </c>
      <c r="Y188" s="8">
        <f>Table2[[#This Row],[DU sąnaudos]]*0.43</f>
        <v>481882.08</v>
      </c>
      <c r="Z188" s="8">
        <f>Table2[[#This Row],[Apyvarta]]-Table2[[#This Row],[Ne-atlyginimų sąnaudos]]+Table2[[#This Row],[Fiks ir pelno mokestis]]</f>
        <v>1796254.08</v>
      </c>
    </row>
    <row r="189" spans="1:26" x14ac:dyDescent="0.2">
      <c r="A189" s="5" t="s">
        <v>298</v>
      </c>
      <c r="B189" s="5" t="s">
        <v>1481</v>
      </c>
      <c r="C189" s="5">
        <v>2020</v>
      </c>
      <c r="D189" s="5" t="s">
        <v>1721</v>
      </c>
      <c r="E189" s="5" t="s">
        <v>1721</v>
      </c>
      <c r="F189" s="5" t="s">
        <v>1721</v>
      </c>
      <c r="G189" s="5" t="s">
        <v>1721</v>
      </c>
      <c r="H189" s="5" t="s">
        <v>1721</v>
      </c>
      <c r="I189" s="5" t="s">
        <v>280</v>
      </c>
      <c r="J189" s="5" t="s">
        <v>300</v>
      </c>
      <c r="K189" s="5" t="s">
        <v>193</v>
      </c>
      <c r="L189" s="5" t="s">
        <v>301</v>
      </c>
      <c r="M189" s="9">
        <v>34</v>
      </c>
      <c r="N189" s="6">
        <f>IFERROR(Table2[[#This Row],[Darbuotojų skaičius]]/M188-1,0)</f>
        <v>-8.108108108108103E-2</v>
      </c>
      <c r="O189" s="9">
        <v>2480</v>
      </c>
      <c r="P189" s="6">
        <v>-1.7432646592709929E-2</v>
      </c>
      <c r="Q189" s="9">
        <f>Table2[[#This Row],[Atlyginimo vidurkis]]*Table2[[#This Row],[Darbuotojų skaičius]]*12</f>
        <v>1011840</v>
      </c>
      <c r="R189" s="49">
        <f>IFERROR(Table2[[#This Row],[DU sąnaudos]]/Q188-1,0)</f>
        <v>-9.7100269841949749E-2</v>
      </c>
      <c r="S189" s="9">
        <v>2555815</v>
      </c>
      <c r="T189" s="6">
        <v>-8.3606520346232505E-2</v>
      </c>
      <c r="U189" s="9">
        <f>IF(Table2[[#This Row],[DU sąnaudos]]=0,0,Table2[[#This Row],[Apyvarta]]-Table2[[#This Row],[DU sąnaudos]]-Table2[[#This Row],[Pelnas]])</f>
        <v>1297344</v>
      </c>
      <c r="V189" s="49">
        <f>IFERROR(Table2[[#This Row],[Ne-atlyginimų sąnaudos]]/U188-1,0)</f>
        <v>-0.12021868669983682</v>
      </c>
      <c r="W189" s="9">
        <v>246631</v>
      </c>
      <c r="X189" s="6">
        <v>0.27315761217452361</v>
      </c>
      <c r="Y189" s="8">
        <f>Table2[[#This Row],[DU sąnaudos]]*0.43</f>
        <v>435091.20000000001</v>
      </c>
      <c r="Z189" s="8">
        <f>Table2[[#This Row],[Apyvarta]]-Table2[[#This Row],[Ne-atlyginimų sąnaudos]]+Table2[[#This Row],[Fiks ir pelno mokestis]]</f>
        <v>1693562.2</v>
      </c>
    </row>
    <row r="190" spans="1:26" x14ac:dyDescent="0.2">
      <c r="A190" s="5" t="s">
        <v>298</v>
      </c>
      <c r="B190" s="5" t="s">
        <v>1481</v>
      </c>
      <c r="C190" s="5">
        <v>2021</v>
      </c>
      <c r="D190" s="5" t="s">
        <v>1721</v>
      </c>
      <c r="E190" s="5" t="s">
        <v>1721</v>
      </c>
      <c r="F190" s="5" t="s">
        <v>1721</v>
      </c>
      <c r="G190" s="5" t="s">
        <v>1721</v>
      </c>
      <c r="H190" s="5" t="s">
        <v>1721</v>
      </c>
      <c r="I190" s="5" t="s">
        <v>280</v>
      </c>
      <c r="J190" s="5" t="s">
        <v>300</v>
      </c>
      <c r="K190" s="5" t="s">
        <v>193</v>
      </c>
      <c r="L190" s="5" t="s">
        <v>301</v>
      </c>
      <c r="M190" s="9">
        <v>40</v>
      </c>
      <c r="N190" s="6">
        <f>IFERROR(Table2[[#This Row],[Darbuotojų skaičius]]/M189-1,0)</f>
        <v>0.17647058823529416</v>
      </c>
      <c r="O190" s="9">
        <v>2666</v>
      </c>
      <c r="P190" s="6">
        <v>7.4999999999999956E-2</v>
      </c>
      <c r="Q190" s="9">
        <f>Table2[[#This Row],[Atlyginimo vidurkis]]*Table2[[#This Row],[Darbuotojų skaičius]]*12</f>
        <v>1279680</v>
      </c>
      <c r="R190" s="49">
        <f>IFERROR(Table2[[#This Row],[DU sąnaudos]]/Q189-1,0)</f>
        <v>0.26470588235294112</v>
      </c>
      <c r="S190" s="9">
        <v>3502499</v>
      </c>
      <c r="T190" s="6">
        <v>0.37040396116307323</v>
      </c>
      <c r="U190" s="9">
        <f>IF(Table2[[#This Row],[DU sąnaudos]]=0,0,Table2[[#This Row],[Apyvarta]]-Table2[[#This Row],[DU sąnaudos]]-Table2[[#This Row],[Pelnas]])</f>
        <v>1927907</v>
      </c>
      <c r="V190" s="49">
        <f>IFERROR(Table2[[#This Row],[Ne-atlyginimų sąnaudos]]/U189-1,0)</f>
        <v>0.4860414816733265</v>
      </c>
      <c r="W190" s="9">
        <v>294912</v>
      </c>
      <c r="X190" s="6">
        <v>0.1957620899238133</v>
      </c>
      <c r="Y190" s="8">
        <f>Table2[[#This Row],[DU sąnaudos]]*0.43</f>
        <v>550262.4</v>
      </c>
      <c r="Z190" s="8">
        <f>Table2[[#This Row],[Apyvarta]]-Table2[[#This Row],[Ne-atlyginimų sąnaudos]]+Table2[[#This Row],[Fiks ir pelno mokestis]]</f>
        <v>2124854.4</v>
      </c>
    </row>
    <row r="191" spans="1:26" x14ac:dyDescent="0.2">
      <c r="A191" s="5" t="s">
        <v>298</v>
      </c>
      <c r="B191" s="5" t="s">
        <v>1481</v>
      </c>
      <c r="C191" s="5">
        <v>2022</v>
      </c>
      <c r="D191" s="5" t="s">
        <v>1721</v>
      </c>
      <c r="E191" s="5" t="s">
        <v>1721</v>
      </c>
      <c r="F191" s="5" t="s">
        <v>1721</v>
      </c>
      <c r="G191" s="5" t="s">
        <v>1721</v>
      </c>
      <c r="H191" s="5" t="s">
        <v>1721</v>
      </c>
      <c r="I191" s="5" t="s">
        <v>280</v>
      </c>
      <c r="J191" s="5" t="s">
        <v>300</v>
      </c>
      <c r="K191" s="5" t="s">
        <v>193</v>
      </c>
      <c r="L191" s="5" t="s">
        <v>301</v>
      </c>
      <c r="M191" s="9">
        <v>40</v>
      </c>
      <c r="N191" s="6">
        <f>IFERROR(Table2[[#This Row],[Darbuotojų skaičius]]/M190-1,0)</f>
        <v>0</v>
      </c>
      <c r="O191" s="9">
        <v>2813</v>
      </c>
      <c r="P191" s="6">
        <v>5.5138784696173948E-2</v>
      </c>
      <c r="Q191" s="9">
        <f>Table2[[#This Row],[Atlyginimo vidurkis]]*Table2[[#This Row],[Darbuotojų skaičius]]*12</f>
        <v>1350240</v>
      </c>
      <c r="R191" s="49">
        <f>IFERROR(Table2[[#This Row],[DU sąnaudos]]/Q190-1,0)</f>
        <v>5.5138784696173948E-2</v>
      </c>
      <c r="S191" s="9">
        <v>3936974</v>
      </c>
      <c r="T191" s="6">
        <v>0.1240471446244524</v>
      </c>
      <c r="U191" s="9">
        <f>IF(Table2[[#This Row],[DU sąnaudos]]=0,0,Table2[[#This Row],[Apyvarta]]-Table2[[#This Row],[DU sąnaudos]]-Table2[[#This Row],[Pelnas]])</f>
        <v>2316948</v>
      </c>
      <c r="V191" s="49">
        <f>IFERROR(Table2[[#This Row],[Ne-atlyginimų sąnaudos]]/U190-1,0)</f>
        <v>0.201794484899946</v>
      </c>
      <c r="W191" s="9">
        <v>269786</v>
      </c>
      <c r="X191" s="6">
        <v>-8.519829644097221E-2</v>
      </c>
      <c r="Y191" s="8">
        <f>Table2[[#This Row],[DU sąnaudos]]*0.43</f>
        <v>580603.19999999995</v>
      </c>
      <c r="Z191" s="8">
        <f>Table2[[#This Row],[Apyvarta]]-Table2[[#This Row],[Ne-atlyginimų sąnaudos]]+Table2[[#This Row],[Fiks ir pelno mokestis]]</f>
        <v>2200629.2000000002</v>
      </c>
    </row>
    <row r="192" spans="1:26" x14ac:dyDescent="0.2">
      <c r="A192" s="5" t="s">
        <v>298</v>
      </c>
      <c r="B192" s="5" t="s">
        <v>1481</v>
      </c>
      <c r="C192" s="5">
        <v>2023</v>
      </c>
      <c r="D192" s="5" t="s">
        <v>1721</v>
      </c>
      <c r="E192" s="5" t="s">
        <v>1721</v>
      </c>
      <c r="F192" s="5" t="s">
        <v>1721</v>
      </c>
      <c r="G192" s="5" t="s">
        <v>1721</v>
      </c>
      <c r="H192" s="5" t="s">
        <v>1721</v>
      </c>
      <c r="I192" s="5" t="s">
        <v>280</v>
      </c>
      <c r="J192" s="5" t="s">
        <v>300</v>
      </c>
      <c r="K192" s="5" t="s">
        <v>193</v>
      </c>
      <c r="L192" s="5" t="s">
        <v>301</v>
      </c>
      <c r="M192" s="9">
        <v>42</v>
      </c>
      <c r="N192" s="6">
        <f>IFERROR(Table2[[#This Row],[Darbuotojų skaičius]]/M191-1,0)</f>
        <v>5.0000000000000044E-2</v>
      </c>
      <c r="O192" s="9">
        <v>3112</v>
      </c>
      <c r="P192" s="6">
        <v>0.1062922147173835</v>
      </c>
      <c r="Q192" s="9">
        <f>Table2[[#This Row],[Atlyginimo vidurkis]]*Table2[[#This Row],[Darbuotojų skaičius]]*12</f>
        <v>1568448</v>
      </c>
      <c r="R192" s="49">
        <f>IFERROR(Table2[[#This Row],[DU sąnaudos]]/Q191-1,0)</f>
        <v>0.16160682545325278</v>
      </c>
      <c r="S192" s="9">
        <v>4517735</v>
      </c>
      <c r="T192" s="6">
        <v>0.1475145632153019</v>
      </c>
      <c r="U192" s="9">
        <f>IF(Table2[[#This Row],[DU sąnaudos]]=0,0,Table2[[#This Row],[Apyvarta]]-Table2[[#This Row],[DU sąnaudos]]-Table2[[#This Row],[Pelnas]])</f>
        <v>2632438</v>
      </c>
      <c r="V192" s="49">
        <f>IFERROR(Table2[[#This Row],[Ne-atlyginimų sąnaudos]]/U191-1,0)</f>
        <v>0.13616619794660911</v>
      </c>
      <c r="W192" s="9">
        <v>316849</v>
      </c>
      <c r="X192" s="6">
        <v>0.17444567175465009</v>
      </c>
      <c r="Y192" s="8">
        <f>Table2[[#This Row],[DU sąnaudos]]*0.43</f>
        <v>674432.64</v>
      </c>
      <c r="Z192" s="8">
        <f>Table2[[#This Row],[Apyvarta]]-Table2[[#This Row],[Ne-atlyginimų sąnaudos]]+Table2[[#This Row],[Fiks ir pelno mokestis]]</f>
        <v>2559729.64</v>
      </c>
    </row>
    <row r="193" spans="1:26" x14ac:dyDescent="0.2">
      <c r="A193" s="5" t="s">
        <v>298</v>
      </c>
      <c r="B193" s="5" t="s">
        <v>1481</v>
      </c>
      <c r="C193" s="5">
        <v>2024</v>
      </c>
      <c r="D193" s="5" t="s">
        <v>1721</v>
      </c>
      <c r="E193" s="5" t="s">
        <v>1721</v>
      </c>
      <c r="F193" s="5" t="s">
        <v>1721</v>
      </c>
      <c r="G193" s="5" t="s">
        <v>1721</v>
      </c>
      <c r="H193" s="5" t="s">
        <v>1721</v>
      </c>
      <c r="I193" s="5" t="s">
        <v>280</v>
      </c>
      <c r="J193" s="5" t="s">
        <v>300</v>
      </c>
      <c r="K193" s="5" t="s">
        <v>193</v>
      </c>
      <c r="L193" s="5" t="s">
        <v>301</v>
      </c>
      <c r="M193" s="9">
        <v>44</v>
      </c>
      <c r="N193" s="6">
        <f>IFERROR(Table2[[#This Row],[Darbuotojų skaičius]]/M192-1,0)</f>
        <v>4.7619047619047672E-2</v>
      </c>
      <c r="O193" s="9">
        <v>3463</v>
      </c>
      <c r="P193" s="6">
        <v>0.11278920308483301</v>
      </c>
      <c r="Q193" s="9">
        <f>Table2[[#This Row],[Atlyginimo vidurkis]]*Table2[[#This Row],[Darbuotojų skaičius]]*12</f>
        <v>1828464</v>
      </c>
      <c r="R193" s="49">
        <f>IFERROR(Table2[[#This Row],[DU sąnaudos]]/Q192-1,0)</f>
        <v>0.16577916513649171</v>
      </c>
      <c r="S193" s="9">
        <v>5231622</v>
      </c>
      <c r="T193" s="6">
        <v>0.15801878596243471</v>
      </c>
      <c r="U193" s="9">
        <f>IF(Table2[[#This Row],[DU sąnaudos]]=0,0,Table2[[#This Row],[Apyvarta]]-Table2[[#This Row],[DU sąnaudos]]-Table2[[#This Row],[Pelnas]])</f>
        <v>3073996</v>
      </c>
      <c r="V193" s="49">
        <f>IFERROR(Table2[[#This Row],[Ne-atlyginimų sąnaudos]]/U192-1,0)</f>
        <v>0.1677372838410629</v>
      </c>
      <c r="W193" s="9">
        <v>329162</v>
      </c>
      <c r="X193" s="6">
        <v>3.8860782265369258E-2</v>
      </c>
      <c r="Y193" s="8">
        <f>Table2[[#This Row],[DU sąnaudos]]*0.43</f>
        <v>786239.52</v>
      </c>
      <c r="Z193" s="8">
        <f>Table2[[#This Row],[Apyvarta]]-Table2[[#This Row],[Ne-atlyginimų sąnaudos]]+Table2[[#This Row],[Fiks ir pelno mokestis]]</f>
        <v>2943865.52</v>
      </c>
    </row>
    <row r="194" spans="1:26" hidden="1" x14ac:dyDescent="0.2">
      <c r="A194" s="5" t="s">
        <v>813</v>
      </c>
      <c r="B194" s="5" t="s">
        <v>1485</v>
      </c>
      <c r="C194" s="5">
        <v>2019</v>
      </c>
      <c r="D194" s="5" t="s">
        <v>1721</v>
      </c>
      <c r="E194" s="5" t="s">
        <v>1721</v>
      </c>
      <c r="F194" s="5" t="s">
        <v>1721</v>
      </c>
      <c r="G194" s="5" t="s">
        <v>1721</v>
      </c>
      <c r="H194" s="5" t="s">
        <v>1721</v>
      </c>
      <c r="I194" s="5" t="s">
        <v>1721</v>
      </c>
      <c r="J194" s="5" t="s">
        <v>1721</v>
      </c>
      <c r="K194" s="5" t="s">
        <v>193</v>
      </c>
      <c r="L194" s="5" t="s">
        <v>1721</v>
      </c>
      <c r="M194" s="9">
        <v>0</v>
      </c>
      <c r="N194" s="6">
        <v>0</v>
      </c>
      <c r="O194" s="9">
        <v>0</v>
      </c>
      <c r="P194" s="6">
        <v>0</v>
      </c>
      <c r="Q194" s="9">
        <f>Table2[[#This Row],[Atlyginimo vidurkis]]*Table2[[#This Row],[Darbuotojų skaičius]]*12</f>
        <v>0</v>
      </c>
      <c r="R194" s="49">
        <v>0</v>
      </c>
      <c r="S194" s="9">
        <v>43550</v>
      </c>
      <c r="T194" s="6">
        <v>0</v>
      </c>
      <c r="U194" s="9">
        <f>IF(Table2[[#This Row],[DU sąnaudos]]=0,0,Table2[[#This Row],[Apyvarta]]-Table2[[#This Row],[DU sąnaudos]]-Table2[[#This Row],[Pelnas]])</f>
        <v>0</v>
      </c>
      <c r="V194" s="49">
        <v>0</v>
      </c>
      <c r="W194" s="9">
        <v>12235</v>
      </c>
      <c r="X194" s="6">
        <v>0</v>
      </c>
      <c r="Y194" s="8">
        <f>Table2[[#This Row],[DU sąnaudos]]*0.43</f>
        <v>0</v>
      </c>
      <c r="Z194" s="8">
        <f>Table2[[#This Row],[Apyvarta]]-Table2[[#This Row],[Ne-atlyginimų sąnaudos]]+Table2[[#This Row],[Fiks ir pelno mokestis]]</f>
        <v>43550</v>
      </c>
    </row>
    <row r="195" spans="1:26" hidden="1" x14ac:dyDescent="0.2">
      <c r="A195" s="5" t="s">
        <v>813</v>
      </c>
      <c r="B195" s="5" t="s">
        <v>1485</v>
      </c>
      <c r="C195" s="5">
        <v>2020</v>
      </c>
      <c r="D195" s="5" t="s">
        <v>1721</v>
      </c>
      <c r="E195" s="5" t="s">
        <v>1721</v>
      </c>
      <c r="F195" s="5" t="s">
        <v>1721</v>
      </c>
      <c r="G195" s="5" t="s">
        <v>1721</v>
      </c>
      <c r="H195" s="5" t="s">
        <v>1721</v>
      </c>
      <c r="I195" s="5" t="s">
        <v>1721</v>
      </c>
      <c r="J195" s="5" t="s">
        <v>1721</v>
      </c>
      <c r="K195" s="5" t="s">
        <v>193</v>
      </c>
      <c r="L195" s="5" t="s">
        <v>1721</v>
      </c>
      <c r="M195" s="9">
        <v>0</v>
      </c>
      <c r="N195" s="6">
        <f>IFERROR(Table2[[#This Row],[Darbuotojų skaičius]]/M194-1,0)</f>
        <v>0</v>
      </c>
      <c r="O195" s="9">
        <v>0</v>
      </c>
      <c r="P195" s="6">
        <v>0</v>
      </c>
      <c r="Q195" s="9">
        <f>Table2[[#This Row],[Atlyginimo vidurkis]]*Table2[[#This Row],[Darbuotojų skaičius]]*12</f>
        <v>0</v>
      </c>
      <c r="R195" s="49">
        <f>IFERROR(Table2[[#This Row],[DU sąnaudos]]/Q194-1,0)</f>
        <v>0</v>
      </c>
      <c r="S195" s="9">
        <v>41989</v>
      </c>
      <c r="T195" s="6">
        <v>-3.5843857634902387E-2</v>
      </c>
      <c r="U195" s="9">
        <f>IF(Table2[[#This Row],[DU sąnaudos]]=0,0,Table2[[#This Row],[Apyvarta]]-Table2[[#This Row],[DU sąnaudos]]-Table2[[#This Row],[Pelnas]])</f>
        <v>0</v>
      </c>
      <c r="V195" s="49">
        <f>IFERROR(Table2[[#This Row],[Ne-atlyginimų sąnaudos]]/U194-1,0)</f>
        <v>0</v>
      </c>
      <c r="W195" s="9">
        <v>-561</v>
      </c>
      <c r="X195" s="6">
        <v>-1.0458520637515329</v>
      </c>
      <c r="Y195" s="8">
        <f>Table2[[#This Row],[DU sąnaudos]]*0.43</f>
        <v>0</v>
      </c>
      <c r="Z195" s="8">
        <f>Table2[[#This Row],[Apyvarta]]-Table2[[#This Row],[Ne-atlyginimų sąnaudos]]+Table2[[#This Row],[Fiks ir pelno mokestis]]</f>
        <v>41989</v>
      </c>
    </row>
    <row r="196" spans="1:26" hidden="1" x14ac:dyDescent="0.2">
      <c r="A196" s="5" t="s">
        <v>813</v>
      </c>
      <c r="B196" s="5" t="s">
        <v>1485</v>
      </c>
      <c r="C196" s="5">
        <v>2021</v>
      </c>
      <c r="D196" s="5" t="s">
        <v>1721</v>
      </c>
      <c r="E196" s="5" t="s">
        <v>1721</v>
      </c>
      <c r="F196" s="5" t="s">
        <v>1721</v>
      </c>
      <c r="G196" s="5" t="s">
        <v>1721</v>
      </c>
      <c r="H196" s="5" t="s">
        <v>1721</v>
      </c>
      <c r="I196" s="5" t="s">
        <v>1721</v>
      </c>
      <c r="J196" s="5" t="s">
        <v>1721</v>
      </c>
      <c r="K196" s="5" t="s">
        <v>193</v>
      </c>
      <c r="L196" s="5" t="s">
        <v>1721</v>
      </c>
      <c r="M196" s="9">
        <v>0</v>
      </c>
      <c r="N196" s="6">
        <f>IFERROR(Table2[[#This Row],[Darbuotojų skaičius]]/M195-1,0)</f>
        <v>0</v>
      </c>
      <c r="O196" s="9">
        <v>0</v>
      </c>
      <c r="P196" s="6">
        <v>0</v>
      </c>
      <c r="Q196" s="9">
        <f>Table2[[#This Row],[Atlyginimo vidurkis]]*Table2[[#This Row],[Darbuotojų skaičius]]*12</f>
        <v>0</v>
      </c>
      <c r="R196" s="49">
        <f>IFERROR(Table2[[#This Row],[DU sąnaudos]]/Q195-1,0)</f>
        <v>0</v>
      </c>
      <c r="S196" s="9">
        <v>96352</v>
      </c>
      <c r="T196" s="6">
        <v>1.2946962299649909</v>
      </c>
      <c r="U196" s="9">
        <f>IF(Table2[[#This Row],[DU sąnaudos]]=0,0,Table2[[#This Row],[Apyvarta]]-Table2[[#This Row],[DU sąnaudos]]-Table2[[#This Row],[Pelnas]])</f>
        <v>0</v>
      </c>
      <c r="V196" s="49">
        <f>IFERROR(Table2[[#This Row],[Ne-atlyginimų sąnaudos]]/U195-1,0)</f>
        <v>0</v>
      </c>
      <c r="W196" s="9">
        <v>9803</v>
      </c>
      <c r="X196" s="6">
        <v>-18.474153297682712</v>
      </c>
      <c r="Y196" s="8">
        <f>Table2[[#This Row],[DU sąnaudos]]*0.43</f>
        <v>0</v>
      </c>
      <c r="Z196" s="8">
        <f>Table2[[#This Row],[Apyvarta]]-Table2[[#This Row],[Ne-atlyginimų sąnaudos]]+Table2[[#This Row],[Fiks ir pelno mokestis]]</f>
        <v>96352</v>
      </c>
    </row>
    <row r="197" spans="1:26" hidden="1" x14ac:dyDescent="0.2">
      <c r="A197" s="5" t="s">
        <v>813</v>
      </c>
      <c r="B197" s="5" t="s">
        <v>1485</v>
      </c>
      <c r="C197" s="5">
        <v>2022</v>
      </c>
      <c r="D197" s="5" t="s">
        <v>1721</v>
      </c>
      <c r="E197" s="5" t="s">
        <v>1721</v>
      </c>
      <c r="F197" s="5" t="s">
        <v>1721</v>
      </c>
      <c r="G197" s="5" t="s">
        <v>1721</v>
      </c>
      <c r="H197" s="5" t="s">
        <v>1721</v>
      </c>
      <c r="I197" s="5" t="s">
        <v>1721</v>
      </c>
      <c r="J197" s="5" t="s">
        <v>1721</v>
      </c>
      <c r="K197" s="5" t="s">
        <v>193</v>
      </c>
      <c r="L197" s="5" t="s">
        <v>1721</v>
      </c>
      <c r="M197" s="9">
        <v>0</v>
      </c>
      <c r="N197" s="6">
        <f>IFERROR(Table2[[#This Row],[Darbuotojų skaičius]]/M196-1,0)</f>
        <v>0</v>
      </c>
      <c r="O197" s="9">
        <v>0</v>
      </c>
      <c r="P197" s="6">
        <v>0</v>
      </c>
      <c r="Q197" s="9">
        <f>Table2[[#This Row],[Atlyginimo vidurkis]]*Table2[[#This Row],[Darbuotojų skaičius]]*12</f>
        <v>0</v>
      </c>
      <c r="R197" s="49">
        <f>IFERROR(Table2[[#This Row],[DU sąnaudos]]/Q196-1,0)</f>
        <v>0</v>
      </c>
      <c r="S197" s="9">
        <v>201924</v>
      </c>
      <c r="T197" s="6">
        <v>1.0956908003985391</v>
      </c>
      <c r="U197" s="9">
        <f>IF(Table2[[#This Row],[DU sąnaudos]]=0,0,Table2[[#This Row],[Apyvarta]]-Table2[[#This Row],[DU sąnaudos]]-Table2[[#This Row],[Pelnas]])</f>
        <v>0</v>
      </c>
      <c r="V197" s="49">
        <f>IFERROR(Table2[[#This Row],[Ne-atlyginimų sąnaudos]]/U196-1,0)</f>
        <v>0</v>
      </c>
      <c r="W197" s="9">
        <v>25138</v>
      </c>
      <c r="X197" s="6">
        <v>1.564317045802305</v>
      </c>
      <c r="Y197" s="8">
        <f>Table2[[#This Row],[DU sąnaudos]]*0.43</f>
        <v>0</v>
      </c>
      <c r="Z197" s="8">
        <f>Table2[[#This Row],[Apyvarta]]-Table2[[#This Row],[Ne-atlyginimų sąnaudos]]+Table2[[#This Row],[Fiks ir pelno mokestis]]</f>
        <v>201924</v>
      </c>
    </row>
    <row r="198" spans="1:26" hidden="1" x14ac:dyDescent="0.2">
      <c r="A198" s="5" t="s">
        <v>813</v>
      </c>
      <c r="B198" s="5" t="s">
        <v>1485</v>
      </c>
      <c r="C198" s="5">
        <v>2023</v>
      </c>
      <c r="D198" s="5" t="s">
        <v>1721</v>
      </c>
      <c r="E198" s="5" t="s">
        <v>1721</v>
      </c>
      <c r="F198" s="5" t="s">
        <v>1721</v>
      </c>
      <c r="G198" s="5" t="s">
        <v>1721</v>
      </c>
      <c r="H198" s="5" t="s">
        <v>1721</v>
      </c>
      <c r="I198" s="5" t="s">
        <v>1721</v>
      </c>
      <c r="J198" s="5" t="s">
        <v>1721</v>
      </c>
      <c r="K198" s="5" t="s">
        <v>193</v>
      </c>
      <c r="L198" s="5" t="s">
        <v>1721</v>
      </c>
      <c r="M198" s="9">
        <v>0</v>
      </c>
      <c r="N198" s="6">
        <f>IFERROR(Table2[[#This Row],[Darbuotojų skaičius]]/M197-1,0)</f>
        <v>0</v>
      </c>
      <c r="O198" s="9">
        <v>0</v>
      </c>
      <c r="P198" s="6">
        <v>0</v>
      </c>
      <c r="Q198" s="9">
        <f>Table2[[#This Row],[Atlyginimo vidurkis]]*Table2[[#This Row],[Darbuotojų skaičius]]*12</f>
        <v>0</v>
      </c>
      <c r="R198" s="49">
        <f>IFERROR(Table2[[#This Row],[DU sąnaudos]]/Q197-1,0)</f>
        <v>0</v>
      </c>
      <c r="S198" s="9">
        <v>203378</v>
      </c>
      <c r="T198" s="6">
        <v>7.2007289871436342E-3</v>
      </c>
      <c r="U198" s="9">
        <f>IF(Table2[[#This Row],[DU sąnaudos]]=0,0,Table2[[#This Row],[Apyvarta]]-Table2[[#This Row],[DU sąnaudos]]-Table2[[#This Row],[Pelnas]])</f>
        <v>0</v>
      </c>
      <c r="V198" s="49">
        <f>IFERROR(Table2[[#This Row],[Ne-atlyginimų sąnaudos]]/U197-1,0)</f>
        <v>0</v>
      </c>
      <c r="W198" s="9">
        <v>28667</v>
      </c>
      <c r="X198" s="6">
        <v>0.14038507438937059</v>
      </c>
      <c r="Y198" s="8">
        <f>Table2[[#This Row],[DU sąnaudos]]*0.43</f>
        <v>0</v>
      </c>
      <c r="Z198" s="8">
        <f>Table2[[#This Row],[Apyvarta]]-Table2[[#This Row],[Ne-atlyginimų sąnaudos]]+Table2[[#This Row],[Fiks ir pelno mokestis]]</f>
        <v>203378</v>
      </c>
    </row>
    <row r="199" spans="1:26" hidden="1" x14ac:dyDescent="0.2">
      <c r="A199" s="5" t="s">
        <v>813</v>
      </c>
      <c r="B199" s="5" t="s">
        <v>1485</v>
      </c>
      <c r="C199" s="5">
        <v>2024</v>
      </c>
      <c r="D199" s="5" t="s">
        <v>1721</v>
      </c>
      <c r="E199" s="5" t="s">
        <v>1721</v>
      </c>
      <c r="F199" s="5" t="s">
        <v>1721</v>
      </c>
      <c r="G199" s="5" t="s">
        <v>1721</v>
      </c>
      <c r="H199" s="5" t="s">
        <v>1721</v>
      </c>
      <c r="I199" s="5" t="s">
        <v>1721</v>
      </c>
      <c r="J199" s="5" t="s">
        <v>1721</v>
      </c>
      <c r="K199" s="5" t="s">
        <v>193</v>
      </c>
      <c r="L199" s="5" t="s">
        <v>1721</v>
      </c>
      <c r="M199" s="9">
        <v>0</v>
      </c>
      <c r="N199" s="6">
        <f>IFERROR(Table2[[#This Row],[Darbuotojų skaičius]]/M198-1,0)</f>
        <v>0</v>
      </c>
      <c r="O199" s="9">
        <v>0</v>
      </c>
      <c r="P199" s="6">
        <v>0</v>
      </c>
      <c r="Q199" s="9">
        <f>Table2[[#This Row],[Atlyginimo vidurkis]]*Table2[[#This Row],[Darbuotojų skaičius]]*12</f>
        <v>0</v>
      </c>
      <c r="R199" s="49">
        <f>IFERROR(Table2[[#This Row],[DU sąnaudos]]/Q198-1,0)</f>
        <v>0</v>
      </c>
      <c r="S199" s="9">
        <v>211576</v>
      </c>
      <c r="T199" s="6">
        <v>4.0309177983852702E-2</v>
      </c>
      <c r="U199" s="9">
        <f>IF(Table2[[#This Row],[DU sąnaudos]]=0,0,Table2[[#This Row],[Apyvarta]]-Table2[[#This Row],[DU sąnaudos]]-Table2[[#This Row],[Pelnas]])</f>
        <v>0</v>
      </c>
      <c r="V199" s="49">
        <f>IFERROR(Table2[[#This Row],[Ne-atlyginimų sąnaudos]]/U198-1,0)</f>
        <v>0</v>
      </c>
      <c r="W199" s="9">
        <v>1076</v>
      </c>
      <c r="X199" s="6">
        <v>-0.9624655527261311</v>
      </c>
      <c r="Y199" s="8">
        <f>Table2[[#This Row],[DU sąnaudos]]*0.43</f>
        <v>0</v>
      </c>
      <c r="Z199" s="8">
        <f>Table2[[#This Row],[Apyvarta]]-Table2[[#This Row],[Ne-atlyginimų sąnaudos]]+Table2[[#This Row],[Fiks ir pelno mokestis]]</f>
        <v>211576</v>
      </c>
    </row>
    <row r="200" spans="1:26" ht="16" hidden="1" x14ac:dyDescent="0.2">
      <c r="A200" s="88" t="s">
        <v>952</v>
      </c>
      <c r="B200" s="5" t="s">
        <v>1490</v>
      </c>
      <c r="C200" s="5">
        <v>2019</v>
      </c>
      <c r="D200" s="5" t="s">
        <v>1721</v>
      </c>
      <c r="E200" s="5" t="s">
        <v>1721</v>
      </c>
      <c r="F200" s="5" t="s">
        <v>1721</v>
      </c>
      <c r="G200" s="5" t="s">
        <v>1721</v>
      </c>
      <c r="H200" s="5" t="s">
        <v>1721</v>
      </c>
      <c r="I200" s="5" t="s">
        <v>1721</v>
      </c>
      <c r="J200" s="5" t="s">
        <v>1721</v>
      </c>
      <c r="K200" s="5" t="s">
        <v>193</v>
      </c>
      <c r="L200" s="5" t="s">
        <v>1721</v>
      </c>
      <c r="M200" s="9">
        <v>43</v>
      </c>
      <c r="N200" s="6">
        <v>0</v>
      </c>
      <c r="O200" s="9">
        <v>1821</v>
      </c>
      <c r="P200" s="6">
        <v>0</v>
      </c>
      <c r="Q200" s="9">
        <f>Table2[[#This Row],[Atlyginimo vidurkis]]*Table2[[#This Row],[Darbuotojų skaičius]]*12</f>
        <v>939636</v>
      </c>
      <c r="R200" s="49">
        <v>0</v>
      </c>
      <c r="S200" s="9">
        <v>2147000</v>
      </c>
      <c r="T200" s="6">
        <v>0</v>
      </c>
      <c r="U200" s="9">
        <f>IF(Table2[[#This Row],[DU sąnaudos]]=0,0,Table2[[#This Row],[Apyvarta]]-Table2[[#This Row],[DU sąnaudos]]-Table2[[#This Row],[Pelnas]])</f>
        <v>894364</v>
      </c>
      <c r="V200" s="49">
        <v>0</v>
      </c>
      <c r="W200" s="9">
        <v>313000</v>
      </c>
      <c r="X200" s="6">
        <v>0</v>
      </c>
      <c r="Y200" s="8">
        <f>Table2[[#This Row],[DU sąnaudos]]*0.43</f>
        <v>404043.48</v>
      </c>
      <c r="Z200" s="8">
        <f>Table2[[#This Row],[Apyvarta]]-Table2[[#This Row],[Ne-atlyginimų sąnaudos]]+Table2[[#This Row],[Fiks ir pelno mokestis]]</f>
        <v>1656679.48</v>
      </c>
    </row>
    <row r="201" spans="1:26" ht="16" hidden="1" x14ac:dyDescent="0.2">
      <c r="A201" s="88" t="s">
        <v>952</v>
      </c>
      <c r="B201" s="5" t="s">
        <v>1490</v>
      </c>
      <c r="C201" s="5">
        <v>2020</v>
      </c>
      <c r="D201" s="5" t="s">
        <v>1721</v>
      </c>
      <c r="E201" s="5" t="s">
        <v>1721</v>
      </c>
      <c r="F201" s="5" t="s">
        <v>1721</v>
      </c>
      <c r="G201" s="5" t="s">
        <v>1721</v>
      </c>
      <c r="H201" s="5" t="s">
        <v>1721</v>
      </c>
      <c r="I201" s="5" t="s">
        <v>1721</v>
      </c>
      <c r="J201" s="5" t="s">
        <v>1721</v>
      </c>
      <c r="K201" s="5" t="s">
        <v>193</v>
      </c>
      <c r="L201" s="5" t="s">
        <v>1721</v>
      </c>
      <c r="M201" s="9">
        <v>34</v>
      </c>
      <c r="N201" s="6">
        <f>IFERROR(Table2[[#This Row],[Darbuotojų skaičius]]/M200-1,0)</f>
        <v>-0.20930232558139539</v>
      </c>
      <c r="O201" s="9">
        <v>1937</v>
      </c>
      <c r="P201" s="6">
        <v>6.3701263042284406E-2</v>
      </c>
      <c r="Q201" s="9">
        <f>Table2[[#This Row],[Atlyginimo vidurkis]]*Table2[[#This Row],[Darbuotojų skaičius]]*12</f>
        <v>790296</v>
      </c>
      <c r="R201" s="49">
        <f>IFERROR(Table2[[#This Row],[DU sąnaudos]]/Q200-1,0)</f>
        <v>-0.15893388503633321</v>
      </c>
      <c r="S201" s="9">
        <v>1750000</v>
      </c>
      <c r="T201" s="6">
        <v>-0.18490917559385189</v>
      </c>
      <c r="U201" s="9">
        <f>IF(Table2[[#This Row],[DU sąnaudos]]=0,0,Table2[[#This Row],[Apyvarta]]-Table2[[#This Row],[DU sąnaudos]]-Table2[[#This Row],[Pelnas]])</f>
        <v>710704</v>
      </c>
      <c r="V201" s="49">
        <f>IFERROR(Table2[[#This Row],[Ne-atlyginimų sąnaudos]]/U200-1,0)</f>
        <v>-0.20535263047260399</v>
      </c>
      <c r="W201" s="9">
        <v>249000</v>
      </c>
      <c r="X201" s="6">
        <v>-0.2044728434504792</v>
      </c>
      <c r="Y201" s="8">
        <f>Table2[[#This Row],[DU sąnaudos]]*0.43</f>
        <v>339827.27999999997</v>
      </c>
      <c r="Z201" s="8">
        <f>Table2[[#This Row],[Apyvarta]]-Table2[[#This Row],[Ne-atlyginimų sąnaudos]]+Table2[[#This Row],[Fiks ir pelno mokestis]]</f>
        <v>1379123.28</v>
      </c>
    </row>
    <row r="202" spans="1:26" ht="16" hidden="1" x14ac:dyDescent="0.2">
      <c r="A202" s="88" t="s">
        <v>952</v>
      </c>
      <c r="B202" s="5" t="s">
        <v>1490</v>
      </c>
      <c r="C202" s="5">
        <v>2021</v>
      </c>
      <c r="D202" s="5" t="s">
        <v>1721</v>
      </c>
      <c r="E202" s="5" t="s">
        <v>1721</v>
      </c>
      <c r="F202" s="5" t="s">
        <v>1721</v>
      </c>
      <c r="G202" s="5" t="s">
        <v>1721</v>
      </c>
      <c r="H202" s="5" t="s">
        <v>1721</v>
      </c>
      <c r="I202" s="5" t="s">
        <v>1721</v>
      </c>
      <c r="J202" s="5" t="s">
        <v>1721</v>
      </c>
      <c r="K202" s="5" t="s">
        <v>193</v>
      </c>
      <c r="L202" s="5" t="s">
        <v>1721</v>
      </c>
      <c r="M202" s="9">
        <v>37</v>
      </c>
      <c r="N202" s="6">
        <f>IFERROR(Table2[[#This Row],[Darbuotojų skaičius]]/M201-1,0)</f>
        <v>8.8235294117646967E-2</v>
      </c>
      <c r="O202" s="9">
        <v>2288</v>
      </c>
      <c r="P202" s="6">
        <v>0.18120805369127521</v>
      </c>
      <c r="Q202" s="9">
        <f>Table2[[#This Row],[Atlyginimo vidurkis]]*Table2[[#This Row],[Darbuotojų skaičius]]*12</f>
        <v>1015872</v>
      </c>
      <c r="R202" s="49">
        <f>IFERROR(Table2[[#This Row],[DU sąnaudos]]/Q201-1,0)</f>
        <v>0.28543229372285817</v>
      </c>
      <c r="S202" s="9">
        <v>3889000</v>
      </c>
      <c r="T202" s="6">
        <v>1.222285714285714</v>
      </c>
      <c r="U202" s="9">
        <f>IF(Table2[[#This Row],[DU sąnaudos]]=0,0,Table2[[#This Row],[Apyvarta]]-Table2[[#This Row],[DU sąnaudos]]-Table2[[#This Row],[Pelnas]])</f>
        <v>2740128</v>
      </c>
      <c r="V202" s="49">
        <f>IFERROR(Table2[[#This Row],[Ne-atlyginimų sąnaudos]]/U201-1,0)</f>
        <v>2.8555122807807471</v>
      </c>
      <c r="W202" s="9">
        <v>133000</v>
      </c>
      <c r="X202" s="6">
        <v>-0.46586345381526112</v>
      </c>
      <c r="Y202" s="8">
        <f>Table2[[#This Row],[DU sąnaudos]]*0.43</f>
        <v>436824.96</v>
      </c>
      <c r="Z202" s="8">
        <f>Table2[[#This Row],[Apyvarta]]-Table2[[#This Row],[Ne-atlyginimų sąnaudos]]+Table2[[#This Row],[Fiks ir pelno mokestis]]</f>
        <v>1585696.96</v>
      </c>
    </row>
    <row r="203" spans="1:26" ht="16" hidden="1" x14ac:dyDescent="0.2">
      <c r="A203" s="88" t="s">
        <v>952</v>
      </c>
      <c r="B203" s="5" t="s">
        <v>1490</v>
      </c>
      <c r="C203" s="5">
        <v>2022</v>
      </c>
      <c r="D203" s="5" t="s">
        <v>1721</v>
      </c>
      <c r="E203" s="5" t="s">
        <v>1721</v>
      </c>
      <c r="F203" s="5" t="s">
        <v>1721</v>
      </c>
      <c r="G203" s="5" t="s">
        <v>1721</v>
      </c>
      <c r="H203" s="5" t="s">
        <v>1721</v>
      </c>
      <c r="I203" s="5" t="s">
        <v>1721</v>
      </c>
      <c r="J203" s="5" t="s">
        <v>1721</v>
      </c>
      <c r="K203" s="5" t="s">
        <v>193</v>
      </c>
      <c r="L203" s="5" t="s">
        <v>1721</v>
      </c>
      <c r="M203" s="9">
        <v>40</v>
      </c>
      <c r="N203" s="6">
        <f>IFERROR(Table2[[#This Row],[Darbuotojų skaičius]]/M202-1,0)</f>
        <v>8.1081081081081141E-2</v>
      </c>
      <c r="O203" s="9">
        <v>2632</v>
      </c>
      <c r="P203" s="6">
        <v>0.15034965034965039</v>
      </c>
      <c r="Q203" s="9">
        <f>Table2[[#This Row],[Atlyginimo vidurkis]]*Table2[[#This Row],[Darbuotojų skaičius]]*12</f>
        <v>1263360</v>
      </c>
      <c r="R203" s="49">
        <f>IFERROR(Table2[[#This Row],[DU sąnaudos]]/Q202-1,0)</f>
        <v>0.24362124362124371</v>
      </c>
      <c r="S203" s="9">
        <v>5674000</v>
      </c>
      <c r="T203" s="6">
        <v>0.45898688608896898</v>
      </c>
      <c r="U203" s="9">
        <f>IF(Table2[[#This Row],[DU sąnaudos]]=0,0,Table2[[#This Row],[Apyvarta]]-Table2[[#This Row],[DU sąnaudos]]-Table2[[#This Row],[Pelnas]])</f>
        <v>4230640</v>
      </c>
      <c r="V203" s="49">
        <f>IFERROR(Table2[[#This Row],[Ne-atlyginimų sąnaudos]]/U202-1,0)</f>
        <v>0.54395707061859877</v>
      </c>
      <c r="W203" s="9">
        <v>180000</v>
      </c>
      <c r="X203" s="6">
        <v>0.35338345864661652</v>
      </c>
      <c r="Y203" s="8">
        <f>Table2[[#This Row],[DU sąnaudos]]*0.43</f>
        <v>543244.80000000005</v>
      </c>
      <c r="Z203" s="8">
        <f>Table2[[#This Row],[Apyvarta]]-Table2[[#This Row],[Ne-atlyginimų sąnaudos]]+Table2[[#This Row],[Fiks ir pelno mokestis]]</f>
        <v>1986604.8</v>
      </c>
    </row>
    <row r="204" spans="1:26" ht="16" hidden="1" x14ac:dyDescent="0.2">
      <c r="A204" s="88" t="s">
        <v>952</v>
      </c>
      <c r="B204" s="5" t="s">
        <v>1490</v>
      </c>
      <c r="C204" s="5">
        <v>2023</v>
      </c>
      <c r="D204" s="5" t="s">
        <v>1721</v>
      </c>
      <c r="E204" s="5" t="s">
        <v>1721</v>
      </c>
      <c r="F204" s="5" t="s">
        <v>1721</v>
      </c>
      <c r="G204" s="5" t="s">
        <v>1721</v>
      </c>
      <c r="H204" s="5" t="s">
        <v>1721</v>
      </c>
      <c r="I204" s="5" t="s">
        <v>1721</v>
      </c>
      <c r="J204" s="5" t="s">
        <v>1721</v>
      </c>
      <c r="K204" s="5" t="s">
        <v>193</v>
      </c>
      <c r="L204" s="5" t="s">
        <v>1721</v>
      </c>
      <c r="M204" s="9">
        <v>42</v>
      </c>
      <c r="N204" s="6">
        <f>IFERROR(Table2[[#This Row],[Darbuotojų skaičius]]/M203-1,0)</f>
        <v>5.0000000000000044E-2</v>
      </c>
      <c r="O204" s="9">
        <v>2864</v>
      </c>
      <c r="P204" s="6">
        <v>8.8145896656534939E-2</v>
      </c>
      <c r="Q204" s="9">
        <f>Table2[[#This Row],[Atlyginimo vidurkis]]*Table2[[#This Row],[Darbuotojų skaičius]]*12</f>
        <v>1443456</v>
      </c>
      <c r="R204" s="49">
        <f>IFERROR(Table2[[#This Row],[DU sąnaudos]]/Q203-1,0)</f>
        <v>0.14255319148936163</v>
      </c>
      <c r="S204" s="9">
        <v>4918000</v>
      </c>
      <c r="T204" s="6">
        <v>-0.13323933732816351</v>
      </c>
      <c r="U204" s="9">
        <f>IF(Table2[[#This Row],[DU sąnaudos]]=0,0,Table2[[#This Row],[Apyvarta]]-Table2[[#This Row],[DU sąnaudos]]-Table2[[#This Row],[Pelnas]])</f>
        <v>4243544</v>
      </c>
      <c r="V204" s="49">
        <f>IFERROR(Table2[[#This Row],[Ne-atlyginimų sąnaudos]]/U203-1,0)</f>
        <v>3.0501295312292953E-3</v>
      </c>
      <c r="W204" s="9">
        <v>-769000</v>
      </c>
      <c r="X204" s="6">
        <v>-5.2722222222222221</v>
      </c>
      <c r="Y204" s="8">
        <f>Table2[[#This Row],[DU sąnaudos]]*0.43</f>
        <v>620686.07999999996</v>
      </c>
      <c r="Z204" s="8">
        <f>Table2[[#This Row],[Apyvarta]]-Table2[[#This Row],[Ne-atlyginimų sąnaudos]]+Table2[[#This Row],[Fiks ir pelno mokestis]]</f>
        <v>1295142.08</v>
      </c>
    </row>
    <row r="205" spans="1:26" ht="16" hidden="1" x14ac:dyDescent="0.2">
      <c r="A205" s="88" t="s">
        <v>952</v>
      </c>
      <c r="B205" s="5" t="s">
        <v>1490</v>
      </c>
      <c r="C205" s="5">
        <v>2024</v>
      </c>
      <c r="D205" s="5" t="s">
        <v>1721</v>
      </c>
      <c r="E205" s="5" t="s">
        <v>1721</v>
      </c>
      <c r="F205" s="5" t="s">
        <v>1721</v>
      </c>
      <c r="G205" s="5" t="s">
        <v>1721</v>
      </c>
      <c r="H205" s="5" t="s">
        <v>1721</v>
      </c>
      <c r="I205" s="5" t="s">
        <v>1721</v>
      </c>
      <c r="J205" s="5" t="s">
        <v>1721</v>
      </c>
      <c r="K205" s="5" t="s">
        <v>193</v>
      </c>
      <c r="L205" s="5" t="s">
        <v>1721</v>
      </c>
      <c r="M205" s="9">
        <v>21</v>
      </c>
      <c r="N205" s="6">
        <f>IFERROR(Table2[[#This Row],[Darbuotojų skaičius]]/M204-1,0)</f>
        <v>-0.5</v>
      </c>
      <c r="O205" s="9">
        <v>2980</v>
      </c>
      <c r="P205" s="6">
        <v>4.0502793296089301E-2</v>
      </c>
      <c r="Q205" s="9">
        <f>Table2[[#This Row],[Atlyginimo vidurkis]]*Table2[[#This Row],[Darbuotojų skaičius]]*12</f>
        <v>750960</v>
      </c>
      <c r="R205" s="49">
        <f>IFERROR(Table2[[#This Row],[DU sąnaudos]]/Q204-1,0)</f>
        <v>-0.47974860335195535</v>
      </c>
      <c r="S205" s="20">
        <v>4813000</v>
      </c>
      <c r="T205" s="6">
        <v>-2.1350142334282229E-2</v>
      </c>
      <c r="U205" s="9">
        <f>IF(Table2[[#This Row],[DU sąnaudos]]=0,0,Table2[[#This Row],[Apyvarta]]-Table2[[#This Row],[DU sąnaudos]]-Table2[[#This Row],[Pelnas]])</f>
        <v>3125040</v>
      </c>
      <c r="V205" s="49">
        <f>IFERROR(Table2[[#This Row],[Ne-atlyginimų sąnaudos]]/U204-1,0)</f>
        <v>-0.26357780195044522</v>
      </c>
      <c r="W205" s="9">
        <v>937000</v>
      </c>
      <c r="X205" s="6">
        <v>2.2184655396619002</v>
      </c>
      <c r="Y205" s="8">
        <f>Table2[[#This Row],[DU sąnaudos]]*0.43</f>
        <v>322912.8</v>
      </c>
      <c r="Z205" s="8">
        <f>Table2[[#This Row],[Apyvarta]]-Table2[[#This Row],[Ne-atlyginimų sąnaudos]]+Table2[[#This Row],[Fiks ir pelno mokestis]]</f>
        <v>2010872.8</v>
      </c>
    </row>
    <row r="206" spans="1:26" hidden="1" x14ac:dyDescent="0.2">
      <c r="A206" s="5" t="s">
        <v>1493</v>
      </c>
      <c r="B206" t="s">
        <v>1494</v>
      </c>
      <c r="C206">
        <v>2019</v>
      </c>
      <c r="D206" s="5" t="s">
        <v>1721</v>
      </c>
      <c r="E206" s="5" t="s">
        <v>1721</v>
      </c>
      <c r="F206" s="5" t="s">
        <v>1721</v>
      </c>
      <c r="G206" s="5" t="s">
        <v>1721</v>
      </c>
      <c r="H206" s="5" t="s">
        <v>1724</v>
      </c>
      <c r="I206" s="5" t="s">
        <v>1721</v>
      </c>
      <c r="J206" s="5" t="s">
        <v>1721</v>
      </c>
      <c r="K206" s="5" t="s">
        <v>1721</v>
      </c>
      <c r="L206" s="5" t="s">
        <v>1721</v>
      </c>
      <c r="M206" s="9">
        <v>1</v>
      </c>
      <c r="N206" s="6">
        <v>0</v>
      </c>
      <c r="O206" s="9">
        <v>0</v>
      </c>
      <c r="P206" s="6">
        <v>0</v>
      </c>
      <c r="Q206" s="9">
        <f>Table2[[#This Row],[Atlyginimo vidurkis]]*Table2[[#This Row],[Darbuotojų skaičius]]*12</f>
        <v>0</v>
      </c>
      <c r="R206" s="49">
        <v>0</v>
      </c>
      <c r="S206" s="9">
        <v>213414</v>
      </c>
      <c r="T206" s="6">
        <v>0</v>
      </c>
      <c r="U206" s="9">
        <f>IF(Table2[[#This Row],[DU sąnaudos]]=0,0,Table2[[#This Row],[Apyvarta]]-Table2[[#This Row],[DU sąnaudos]]-Table2[[#This Row],[Pelnas]])</f>
        <v>0</v>
      </c>
      <c r="V206" s="49">
        <v>0</v>
      </c>
      <c r="W206" s="9">
        <v>56780</v>
      </c>
      <c r="X206" s="6">
        <v>0</v>
      </c>
      <c r="Y206" s="8">
        <f>Table2[[#This Row],[DU sąnaudos]]*0.43</f>
        <v>0</v>
      </c>
      <c r="Z206" s="8">
        <f>Table2[[#This Row],[Apyvarta]]-Table2[[#This Row],[Ne-atlyginimų sąnaudos]]+Table2[[#This Row],[Fiks ir pelno mokestis]]</f>
        <v>213414</v>
      </c>
    </row>
    <row r="207" spans="1:26" hidden="1" x14ac:dyDescent="0.2">
      <c r="A207" s="5" t="s">
        <v>1493</v>
      </c>
      <c r="B207" t="s">
        <v>1494</v>
      </c>
      <c r="C207">
        <v>2020</v>
      </c>
      <c r="D207" s="5" t="s">
        <v>1721</v>
      </c>
      <c r="E207" s="5" t="s">
        <v>1721</v>
      </c>
      <c r="F207" s="5" t="s">
        <v>1721</v>
      </c>
      <c r="G207" s="5" t="s">
        <v>1721</v>
      </c>
      <c r="H207" s="5" t="s">
        <v>1724</v>
      </c>
      <c r="I207" s="5" t="s">
        <v>1721</v>
      </c>
      <c r="J207" s="5" t="s">
        <v>1721</v>
      </c>
      <c r="K207" s="5" t="s">
        <v>1721</v>
      </c>
      <c r="L207" s="5" t="s">
        <v>1721</v>
      </c>
      <c r="M207" s="9">
        <v>1</v>
      </c>
      <c r="N207" s="6">
        <f>IFERROR(Table2[[#This Row],[Darbuotojų skaičius]]/M206-1,0)</f>
        <v>0</v>
      </c>
      <c r="O207" s="9">
        <v>0</v>
      </c>
      <c r="P207" s="6">
        <v>0</v>
      </c>
      <c r="Q207" s="9">
        <f>Table2[[#This Row],[Atlyginimo vidurkis]]*Table2[[#This Row],[Darbuotojų skaičius]]*12</f>
        <v>0</v>
      </c>
      <c r="R207" s="49">
        <f>IFERROR(Table2[[#This Row],[DU sąnaudos]]/Q206-1,0)</f>
        <v>0</v>
      </c>
      <c r="S207" s="9">
        <v>153278</v>
      </c>
      <c r="T207" s="6">
        <v>-0.28000000000000003</v>
      </c>
      <c r="U207" s="9">
        <f>IF(Table2[[#This Row],[DU sąnaudos]]=0,0,Table2[[#This Row],[Apyvarta]]-Table2[[#This Row],[DU sąnaudos]]-Table2[[#This Row],[Pelnas]])</f>
        <v>0</v>
      </c>
      <c r="V207" s="49">
        <f>IFERROR(Table2[[#This Row],[Ne-atlyginimų sąnaudos]]/U206-1,0)</f>
        <v>0</v>
      </c>
      <c r="W207" s="9">
        <v>-2132</v>
      </c>
      <c r="X207" s="6">
        <v>-1.04</v>
      </c>
      <c r="Y207" s="8">
        <f>Table2[[#This Row],[DU sąnaudos]]*0.43</f>
        <v>0</v>
      </c>
      <c r="Z207" s="8">
        <f>Table2[[#This Row],[Apyvarta]]-Table2[[#This Row],[Ne-atlyginimų sąnaudos]]+Table2[[#This Row],[Fiks ir pelno mokestis]]</f>
        <v>153278</v>
      </c>
    </row>
    <row r="208" spans="1:26" hidden="1" x14ac:dyDescent="0.2">
      <c r="A208" s="5" t="s">
        <v>1493</v>
      </c>
      <c r="B208" t="s">
        <v>1494</v>
      </c>
      <c r="C208">
        <v>2021</v>
      </c>
      <c r="D208" s="5" t="s">
        <v>1721</v>
      </c>
      <c r="E208" s="5" t="s">
        <v>1721</v>
      </c>
      <c r="F208" s="5" t="s">
        <v>1721</v>
      </c>
      <c r="G208" s="5" t="s">
        <v>1721</v>
      </c>
      <c r="H208" s="5" t="s">
        <v>1724</v>
      </c>
      <c r="I208" s="5" t="s">
        <v>1721</v>
      </c>
      <c r="J208" s="5" t="s">
        <v>1721</v>
      </c>
      <c r="K208" s="5" t="s">
        <v>1721</v>
      </c>
      <c r="L208" s="5" t="s">
        <v>1721</v>
      </c>
      <c r="M208" s="9">
        <v>1</v>
      </c>
      <c r="N208" s="6">
        <f>IFERROR(Table2[[#This Row],[Darbuotojų skaičius]]/M207-1,0)</f>
        <v>0</v>
      </c>
      <c r="O208" s="9">
        <v>0</v>
      </c>
      <c r="P208" s="6">
        <v>0</v>
      </c>
      <c r="Q208" s="9">
        <f>Table2[[#This Row],[Atlyginimo vidurkis]]*Table2[[#This Row],[Darbuotojų skaičius]]*12</f>
        <v>0</v>
      </c>
      <c r="R208" s="49">
        <f>IFERROR(Table2[[#This Row],[DU sąnaudos]]/Q207-1,0)</f>
        <v>0</v>
      </c>
      <c r="S208" s="9">
        <v>196578</v>
      </c>
      <c r="T208" s="6">
        <v>0.28000000000000003</v>
      </c>
      <c r="U208" s="9">
        <f>IF(Table2[[#This Row],[DU sąnaudos]]=0,0,Table2[[#This Row],[Apyvarta]]-Table2[[#This Row],[DU sąnaudos]]-Table2[[#This Row],[Pelnas]])</f>
        <v>0</v>
      </c>
      <c r="V208" s="49">
        <f>IFERROR(Table2[[#This Row],[Ne-atlyginimų sąnaudos]]/U207-1,0)</f>
        <v>0</v>
      </c>
      <c r="W208" s="9">
        <v>21552</v>
      </c>
      <c r="X208" s="6">
        <v>11.11</v>
      </c>
      <c r="Y208" s="8">
        <f>Table2[[#This Row],[DU sąnaudos]]*0.43</f>
        <v>0</v>
      </c>
      <c r="Z208" s="8">
        <f>Table2[[#This Row],[Apyvarta]]-Table2[[#This Row],[Ne-atlyginimų sąnaudos]]+Table2[[#This Row],[Fiks ir pelno mokestis]]</f>
        <v>196578</v>
      </c>
    </row>
    <row r="209" spans="1:26" hidden="1" x14ac:dyDescent="0.2">
      <c r="A209" s="5" t="s">
        <v>1493</v>
      </c>
      <c r="B209" t="s">
        <v>1494</v>
      </c>
      <c r="C209">
        <v>2022</v>
      </c>
      <c r="D209" s="5" t="s">
        <v>1721</v>
      </c>
      <c r="E209" s="5" t="s">
        <v>1721</v>
      </c>
      <c r="F209" s="5" t="s">
        <v>1721</v>
      </c>
      <c r="G209" s="5" t="s">
        <v>1721</v>
      </c>
      <c r="H209" s="5" t="s">
        <v>1724</v>
      </c>
      <c r="I209" s="5" t="s">
        <v>1721</v>
      </c>
      <c r="J209" s="5" t="s">
        <v>1721</v>
      </c>
      <c r="K209" s="5" t="s">
        <v>1721</v>
      </c>
      <c r="L209" s="5" t="s">
        <v>1721</v>
      </c>
      <c r="M209" s="9">
        <v>1</v>
      </c>
      <c r="N209" s="6">
        <f>IFERROR(Table2[[#This Row],[Darbuotojų skaičius]]/M208-1,0)</f>
        <v>0</v>
      </c>
      <c r="O209" s="9">
        <v>0</v>
      </c>
      <c r="P209" s="6">
        <v>0</v>
      </c>
      <c r="Q209" s="9">
        <f>Table2[[#This Row],[Atlyginimo vidurkis]]*Table2[[#This Row],[Darbuotojų skaičius]]*12</f>
        <v>0</v>
      </c>
      <c r="R209" s="49">
        <f>IFERROR(Table2[[#This Row],[DU sąnaudos]]/Q208-1,0)</f>
        <v>0</v>
      </c>
      <c r="S209" s="9">
        <v>240432</v>
      </c>
      <c r="T209" s="6">
        <v>0.22</v>
      </c>
      <c r="U209" s="9">
        <f>IF(Table2[[#This Row],[DU sąnaudos]]=0,0,Table2[[#This Row],[Apyvarta]]-Table2[[#This Row],[DU sąnaudos]]-Table2[[#This Row],[Pelnas]])</f>
        <v>0</v>
      </c>
      <c r="V209" s="49">
        <f>IFERROR(Table2[[#This Row],[Ne-atlyginimų sąnaudos]]/U208-1,0)</f>
        <v>0</v>
      </c>
      <c r="W209" s="9">
        <v>23364</v>
      </c>
      <c r="X209" s="6">
        <v>0.08</v>
      </c>
      <c r="Y209" s="8">
        <f>Table2[[#This Row],[DU sąnaudos]]*0.43</f>
        <v>0</v>
      </c>
      <c r="Z209" s="8">
        <f>Table2[[#This Row],[Apyvarta]]-Table2[[#This Row],[Ne-atlyginimų sąnaudos]]+Table2[[#This Row],[Fiks ir pelno mokestis]]</f>
        <v>240432</v>
      </c>
    </row>
    <row r="210" spans="1:26" hidden="1" x14ac:dyDescent="0.2">
      <c r="A210" s="5" t="s">
        <v>1493</v>
      </c>
      <c r="B210" t="s">
        <v>1494</v>
      </c>
      <c r="C210">
        <v>2023</v>
      </c>
      <c r="D210" s="5" t="s">
        <v>1721</v>
      </c>
      <c r="E210" s="5" t="s">
        <v>1721</v>
      </c>
      <c r="F210" s="5" t="s">
        <v>1721</v>
      </c>
      <c r="G210" s="5" t="s">
        <v>1721</v>
      </c>
      <c r="H210" s="5" t="s">
        <v>1724</v>
      </c>
      <c r="I210" s="5" t="s">
        <v>1721</v>
      </c>
      <c r="J210" s="5" t="s">
        <v>1721</v>
      </c>
      <c r="K210" s="5" t="s">
        <v>1721</v>
      </c>
      <c r="L210" s="5" t="s">
        <v>1721</v>
      </c>
      <c r="M210" s="9">
        <v>2</v>
      </c>
      <c r="N210" s="6">
        <f>IFERROR(Table2[[#This Row],[Darbuotojų skaičius]]/M209-1,0)</f>
        <v>1</v>
      </c>
      <c r="O210" s="9">
        <v>0</v>
      </c>
      <c r="P210" s="6">
        <v>0</v>
      </c>
      <c r="Q210" s="9">
        <f>Table2[[#This Row],[Atlyginimo vidurkis]]*Table2[[#This Row],[Darbuotojų skaičius]]*12</f>
        <v>0</v>
      </c>
      <c r="R210" s="49">
        <f>IFERROR(Table2[[#This Row],[DU sąnaudos]]/Q209-1,0)</f>
        <v>0</v>
      </c>
      <c r="S210" s="9">
        <v>155163</v>
      </c>
      <c r="T210" s="6">
        <v>-0.35</v>
      </c>
      <c r="U210" s="9">
        <f>IF(Table2[[#This Row],[DU sąnaudos]]=0,0,Table2[[#This Row],[Apyvarta]]-Table2[[#This Row],[DU sąnaudos]]-Table2[[#This Row],[Pelnas]])</f>
        <v>0</v>
      </c>
      <c r="V210" s="49">
        <f>IFERROR(Table2[[#This Row],[Ne-atlyginimų sąnaudos]]/U209-1,0)</f>
        <v>0</v>
      </c>
      <c r="W210" s="9">
        <v>-27895</v>
      </c>
      <c r="X210" s="6">
        <v>-2.19</v>
      </c>
      <c r="Y210" s="8">
        <f>Table2[[#This Row],[DU sąnaudos]]*0.43</f>
        <v>0</v>
      </c>
      <c r="Z210" s="8">
        <f>Table2[[#This Row],[Apyvarta]]-Table2[[#This Row],[Ne-atlyginimų sąnaudos]]+Table2[[#This Row],[Fiks ir pelno mokestis]]</f>
        <v>155163</v>
      </c>
    </row>
    <row r="211" spans="1:26" hidden="1" x14ac:dyDescent="0.2">
      <c r="A211" s="5" t="s">
        <v>1493</v>
      </c>
      <c r="B211" t="s">
        <v>1494</v>
      </c>
      <c r="C211">
        <v>2024</v>
      </c>
      <c r="D211" s="5" t="s">
        <v>1721</v>
      </c>
      <c r="E211" s="5" t="s">
        <v>1721</v>
      </c>
      <c r="F211" s="5" t="s">
        <v>1721</v>
      </c>
      <c r="G211" s="5" t="s">
        <v>1721</v>
      </c>
      <c r="H211" s="5" t="s">
        <v>1724</v>
      </c>
      <c r="I211" s="5" t="s">
        <v>1721</v>
      </c>
      <c r="J211" s="5" t="s">
        <v>1721</v>
      </c>
      <c r="K211" s="5" t="s">
        <v>1721</v>
      </c>
      <c r="L211" s="5" t="s">
        <v>1721</v>
      </c>
      <c r="M211" s="9">
        <v>3</v>
      </c>
      <c r="N211" s="6">
        <f>IFERROR(Table2[[#This Row],[Darbuotojų skaičius]]/M210-1,0)</f>
        <v>0.5</v>
      </c>
      <c r="O211" s="9">
        <v>0</v>
      </c>
      <c r="P211" s="6">
        <v>0</v>
      </c>
      <c r="Q211" s="9">
        <f>Table2[[#This Row],[Atlyginimo vidurkis]]*Table2[[#This Row],[Darbuotojų skaičius]]*12</f>
        <v>0</v>
      </c>
      <c r="R211" s="49">
        <f>IFERROR(Table2[[#This Row],[DU sąnaudos]]/Q210-1,0)</f>
        <v>0</v>
      </c>
      <c r="S211" s="9">
        <v>217614</v>
      </c>
      <c r="T211" s="6">
        <v>0.4</v>
      </c>
      <c r="U211" s="9">
        <f>IF(Table2[[#This Row],[DU sąnaudos]]=0,0,Table2[[#This Row],[Apyvarta]]-Table2[[#This Row],[DU sąnaudos]]-Table2[[#This Row],[Pelnas]])</f>
        <v>0</v>
      </c>
      <c r="V211" s="49">
        <f>IFERROR(Table2[[#This Row],[Ne-atlyginimų sąnaudos]]/U210-1,0)</f>
        <v>0</v>
      </c>
      <c r="W211" s="9">
        <v>31160</v>
      </c>
      <c r="X211" s="6">
        <v>2.12</v>
      </c>
      <c r="Y211" s="8">
        <f>Table2[[#This Row],[DU sąnaudos]]*0.43</f>
        <v>0</v>
      </c>
      <c r="Z211" s="8">
        <f>Table2[[#This Row],[Apyvarta]]-Table2[[#This Row],[Ne-atlyginimų sąnaudos]]+Table2[[#This Row],[Fiks ir pelno mokestis]]</f>
        <v>217614</v>
      </c>
    </row>
    <row r="212" spans="1:26" hidden="1" x14ac:dyDescent="0.2">
      <c r="A212" s="5" t="s">
        <v>1495</v>
      </c>
      <c r="B212" t="s">
        <v>1496</v>
      </c>
      <c r="C212">
        <v>2019</v>
      </c>
      <c r="D212" s="5" t="s">
        <v>1721</v>
      </c>
      <c r="E212" s="5" t="s">
        <v>1725</v>
      </c>
      <c r="F212" s="5" t="s">
        <v>1721</v>
      </c>
      <c r="G212" s="5" t="s">
        <v>1721</v>
      </c>
      <c r="H212" s="5" t="s">
        <v>1721</v>
      </c>
      <c r="I212" s="5" t="s">
        <v>1721</v>
      </c>
      <c r="J212" s="5" t="s">
        <v>1721</v>
      </c>
      <c r="K212" s="5" t="s">
        <v>1721</v>
      </c>
      <c r="L212" s="5" t="s">
        <v>1721</v>
      </c>
      <c r="M212" s="9">
        <v>21</v>
      </c>
      <c r="N212" s="6">
        <v>0</v>
      </c>
      <c r="O212" s="9">
        <v>805</v>
      </c>
      <c r="P212" s="6">
        <v>0</v>
      </c>
      <c r="Q212" s="9">
        <f>Table2[[#This Row],[Atlyginimo vidurkis]]*Table2[[#This Row],[Darbuotojų skaičius]]*12</f>
        <v>202860</v>
      </c>
      <c r="R212" s="49">
        <v>0</v>
      </c>
      <c r="S212" s="9">
        <v>1425182</v>
      </c>
      <c r="T212" s="6">
        <v>0</v>
      </c>
      <c r="U212" s="9">
        <f>IF(Table2[[#This Row],[DU sąnaudos]]=0,0,Table2[[#This Row],[Apyvarta]]-Table2[[#This Row],[DU sąnaudos]]-Table2[[#This Row],[Pelnas]])</f>
        <v>1221573</v>
      </c>
      <c r="V212" s="49">
        <v>0</v>
      </c>
      <c r="W212" s="9">
        <v>749</v>
      </c>
      <c r="X212" s="6">
        <v>0</v>
      </c>
      <c r="Y212" s="8">
        <f>Table2[[#This Row],[DU sąnaudos]]*0.43</f>
        <v>87229.8</v>
      </c>
      <c r="Z212" s="8">
        <f>Table2[[#This Row],[Apyvarta]]-Table2[[#This Row],[Ne-atlyginimų sąnaudos]]+Table2[[#This Row],[Fiks ir pelno mokestis]]</f>
        <v>290838.8</v>
      </c>
    </row>
    <row r="213" spans="1:26" hidden="1" x14ac:dyDescent="0.2">
      <c r="A213" s="5" t="s">
        <v>1495</v>
      </c>
      <c r="B213" t="s">
        <v>1496</v>
      </c>
      <c r="C213">
        <v>2020</v>
      </c>
      <c r="D213" s="5" t="s">
        <v>1721</v>
      </c>
      <c r="E213" s="5" t="s">
        <v>1725</v>
      </c>
      <c r="F213" s="5" t="s">
        <v>1721</v>
      </c>
      <c r="G213" s="5" t="s">
        <v>1721</v>
      </c>
      <c r="H213" s="5" t="s">
        <v>1721</v>
      </c>
      <c r="I213" s="5" t="s">
        <v>1721</v>
      </c>
      <c r="J213" s="5" t="s">
        <v>1721</v>
      </c>
      <c r="K213" s="5" t="s">
        <v>1721</v>
      </c>
      <c r="L213" s="5" t="s">
        <v>1721</v>
      </c>
      <c r="M213" s="9">
        <v>18</v>
      </c>
      <c r="N213" s="6">
        <f>IFERROR(Table2[[#This Row],[Darbuotojų skaičius]]/M212-1,0)</f>
        <v>-0.1428571428571429</v>
      </c>
      <c r="O213" s="9">
        <v>672</v>
      </c>
      <c r="P213" s="6">
        <v>-0.17</v>
      </c>
      <c r="Q213" s="9">
        <f>Table2[[#This Row],[Atlyginimo vidurkis]]*Table2[[#This Row],[Darbuotojų skaičius]]*12</f>
        <v>145152</v>
      </c>
      <c r="R213" s="49">
        <f>IFERROR(Table2[[#This Row],[DU sąnaudos]]/Q212-1,0)</f>
        <v>-0.28447204968944095</v>
      </c>
      <c r="S213" s="9">
        <v>629069</v>
      </c>
      <c r="T213" s="6">
        <v>-0.56000000000000005</v>
      </c>
      <c r="U213" s="9">
        <f>IF(Table2[[#This Row],[DU sąnaudos]]=0,0,Table2[[#This Row],[Apyvarta]]-Table2[[#This Row],[DU sąnaudos]]-Table2[[#This Row],[Pelnas]])</f>
        <v>483844</v>
      </c>
      <c r="V213" s="49">
        <f>IFERROR(Table2[[#This Row],[Ne-atlyginimų sąnaudos]]/U212-1,0)</f>
        <v>-0.60391724440536909</v>
      </c>
      <c r="W213" s="9">
        <v>73</v>
      </c>
      <c r="X213" s="6">
        <v>-0.9</v>
      </c>
      <c r="Y213" s="8">
        <f>Table2[[#This Row],[DU sąnaudos]]*0.43</f>
        <v>62415.360000000001</v>
      </c>
      <c r="Z213" s="8">
        <f>Table2[[#This Row],[Apyvarta]]-Table2[[#This Row],[Ne-atlyginimų sąnaudos]]+Table2[[#This Row],[Fiks ir pelno mokestis]]</f>
        <v>207640.36</v>
      </c>
    </row>
    <row r="214" spans="1:26" hidden="1" x14ac:dyDescent="0.2">
      <c r="A214" s="5" t="s">
        <v>1495</v>
      </c>
      <c r="B214" t="s">
        <v>1496</v>
      </c>
      <c r="C214">
        <v>2021</v>
      </c>
      <c r="D214" s="5" t="s">
        <v>1721</v>
      </c>
      <c r="E214" s="5" t="s">
        <v>1725</v>
      </c>
      <c r="F214" s="5" t="s">
        <v>1721</v>
      </c>
      <c r="G214" s="5" t="s">
        <v>1721</v>
      </c>
      <c r="H214" s="5" t="s">
        <v>1721</v>
      </c>
      <c r="I214" s="5" t="s">
        <v>1721</v>
      </c>
      <c r="J214" s="5" t="s">
        <v>1721</v>
      </c>
      <c r="K214" s="5" t="s">
        <v>1721</v>
      </c>
      <c r="L214" s="5" t="s">
        <v>1721</v>
      </c>
      <c r="M214" s="9">
        <v>15</v>
      </c>
      <c r="N214" s="6">
        <f>IFERROR(Table2[[#This Row],[Darbuotojų skaičius]]/M213-1,0)</f>
        <v>-0.16666666666666663</v>
      </c>
      <c r="O214" s="9">
        <v>706</v>
      </c>
      <c r="P214" s="6">
        <v>0.05</v>
      </c>
      <c r="Q214" s="9">
        <f>Table2[[#This Row],[Atlyginimo vidurkis]]*Table2[[#This Row],[Darbuotojų skaičius]]*12</f>
        <v>127080</v>
      </c>
      <c r="R214" s="49">
        <f>IFERROR(Table2[[#This Row],[DU sąnaudos]]/Q213-1,0)</f>
        <v>-0.12450396825396826</v>
      </c>
      <c r="S214" s="9">
        <v>621316</v>
      </c>
      <c r="T214" s="6">
        <v>-0.01</v>
      </c>
      <c r="U214" s="9">
        <f>IF(Table2[[#This Row],[DU sąnaudos]]=0,0,Table2[[#This Row],[Apyvarta]]-Table2[[#This Row],[DU sąnaudos]]-Table2[[#This Row],[Pelnas]])</f>
        <v>494185</v>
      </c>
      <c r="V214" s="49">
        <f>IFERROR(Table2[[#This Row],[Ne-atlyginimų sąnaudos]]/U213-1,0)</f>
        <v>2.1372591165747634E-2</v>
      </c>
      <c r="W214" s="9">
        <v>51</v>
      </c>
      <c r="X214" s="6">
        <v>-0.3</v>
      </c>
      <c r="Y214" s="8">
        <f>Table2[[#This Row],[DU sąnaudos]]*0.43</f>
        <v>54644.4</v>
      </c>
      <c r="Z214" s="8">
        <f>Table2[[#This Row],[Apyvarta]]-Table2[[#This Row],[Ne-atlyginimų sąnaudos]]+Table2[[#This Row],[Fiks ir pelno mokestis]]</f>
        <v>181775.4</v>
      </c>
    </row>
    <row r="215" spans="1:26" hidden="1" x14ac:dyDescent="0.2">
      <c r="A215" s="5" t="s">
        <v>1495</v>
      </c>
      <c r="B215" t="s">
        <v>1496</v>
      </c>
      <c r="C215">
        <v>2022</v>
      </c>
      <c r="D215" s="5" t="s">
        <v>1721</v>
      </c>
      <c r="E215" s="5" t="s">
        <v>1725</v>
      </c>
      <c r="F215" s="5" t="s">
        <v>1721</v>
      </c>
      <c r="G215" s="5" t="s">
        <v>1721</v>
      </c>
      <c r="H215" s="5" t="s">
        <v>1721</v>
      </c>
      <c r="I215" s="5" t="s">
        <v>1721</v>
      </c>
      <c r="J215" s="5" t="s">
        <v>1721</v>
      </c>
      <c r="K215" s="5" t="s">
        <v>1721</v>
      </c>
      <c r="L215" s="5" t="s">
        <v>1721</v>
      </c>
      <c r="M215" s="9">
        <v>14</v>
      </c>
      <c r="N215" s="6">
        <f>IFERROR(Table2[[#This Row],[Darbuotojų skaičius]]/M214-1,0)</f>
        <v>-6.6666666666666652E-2</v>
      </c>
      <c r="O215" s="9">
        <v>702</v>
      </c>
      <c r="P215" s="6">
        <v>-0.01</v>
      </c>
      <c r="Q215" s="9">
        <f>Table2[[#This Row],[Atlyginimo vidurkis]]*Table2[[#This Row],[Darbuotojų skaičius]]*12</f>
        <v>117936</v>
      </c>
      <c r="R215" s="49">
        <f>IFERROR(Table2[[#This Row],[DU sąnaudos]]/Q214-1,0)</f>
        <v>-7.1954674220963133E-2</v>
      </c>
      <c r="S215" s="9">
        <v>790127</v>
      </c>
      <c r="T215" s="6">
        <v>0.27</v>
      </c>
      <c r="U215" s="9">
        <f>IF(Table2[[#This Row],[DU sąnaudos]]=0,0,Table2[[#This Row],[Apyvarta]]-Table2[[#This Row],[DU sąnaudos]]-Table2[[#This Row],[Pelnas]])</f>
        <v>670821</v>
      </c>
      <c r="V215" s="49">
        <f>IFERROR(Table2[[#This Row],[Ne-atlyginimų sąnaudos]]/U214-1,0)</f>
        <v>0.35742889808472533</v>
      </c>
      <c r="W215" s="9">
        <v>1370</v>
      </c>
      <c r="X215" s="6">
        <v>25.86</v>
      </c>
      <c r="Y215" s="8">
        <f>Table2[[#This Row],[DU sąnaudos]]*0.43</f>
        <v>50712.479999999996</v>
      </c>
      <c r="Z215" s="8">
        <f>Table2[[#This Row],[Apyvarta]]-Table2[[#This Row],[Ne-atlyginimų sąnaudos]]+Table2[[#This Row],[Fiks ir pelno mokestis]]</f>
        <v>170018.47999999998</v>
      </c>
    </row>
    <row r="216" spans="1:26" hidden="1" x14ac:dyDescent="0.2">
      <c r="A216" s="5" t="s">
        <v>1495</v>
      </c>
      <c r="B216" t="s">
        <v>1496</v>
      </c>
      <c r="C216">
        <v>2023</v>
      </c>
      <c r="D216" s="5" t="s">
        <v>1721</v>
      </c>
      <c r="E216" s="5" t="s">
        <v>1725</v>
      </c>
      <c r="F216" s="5" t="s">
        <v>1721</v>
      </c>
      <c r="G216" s="5" t="s">
        <v>1721</v>
      </c>
      <c r="H216" s="5" t="s">
        <v>1721</v>
      </c>
      <c r="I216" s="5" t="s">
        <v>1721</v>
      </c>
      <c r="J216" s="5" t="s">
        <v>1721</v>
      </c>
      <c r="K216" s="5" t="s">
        <v>1721</v>
      </c>
      <c r="L216" s="5" t="s">
        <v>1721</v>
      </c>
      <c r="M216" s="9">
        <v>13</v>
      </c>
      <c r="N216" s="6">
        <f>IFERROR(Table2[[#This Row],[Darbuotojų skaičius]]/M215-1,0)</f>
        <v>-7.1428571428571397E-2</v>
      </c>
      <c r="O216" s="9">
        <v>951</v>
      </c>
      <c r="P216" s="6">
        <v>0.35</v>
      </c>
      <c r="Q216" s="9">
        <f>Table2[[#This Row],[Atlyginimo vidurkis]]*Table2[[#This Row],[Darbuotojų skaičius]]*12</f>
        <v>148356</v>
      </c>
      <c r="R216" s="49">
        <f>IFERROR(Table2[[#This Row],[DU sąnaudos]]/Q215-1,0)</f>
        <v>0.25793650793650791</v>
      </c>
      <c r="S216" s="9">
        <v>1357188</v>
      </c>
      <c r="T216" s="6">
        <v>0.72</v>
      </c>
      <c r="U216" s="9">
        <f>IF(Table2[[#This Row],[DU sąnaudos]]=0,0,Table2[[#This Row],[Apyvarta]]-Table2[[#This Row],[DU sąnaudos]]-Table2[[#This Row],[Pelnas]])</f>
        <v>1190125</v>
      </c>
      <c r="V216" s="49">
        <f>IFERROR(Table2[[#This Row],[Ne-atlyginimų sąnaudos]]/U215-1,0)</f>
        <v>0.7741319964640343</v>
      </c>
      <c r="W216" s="9">
        <v>18707</v>
      </c>
      <c r="X216" s="6">
        <v>12.65</v>
      </c>
      <c r="Y216" s="8">
        <f>Table2[[#This Row],[DU sąnaudos]]*0.43</f>
        <v>63793.08</v>
      </c>
      <c r="Z216" s="8">
        <f>Table2[[#This Row],[Apyvarta]]-Table2[[#This Row],[Ne-atlyginimų sąnaudos]]+Table2[[#This Row],[Fiks ir pelno mokestis]]</f>
        <v>230856.08000000002</v>
      </c>
    </row>
    <row r="217" spans="1:26" hidden="1" x14ac:dyDescent="0.2">
      <c r="A217" s="5" t="s">
        <v>1495</v>
      </c>
      <c r="B217" t="s">
        <v>1496</v>
      </c>
      <c r="C217">
        <v>2024</v>
      </c>
      <c r="D217" s="5" t="s">
        <v>1721</v>
      </c>
      <c r="E217" s="5" t="s">
        <v>1725</v>
      </c>
      <c r="F217" s="5" t="s">
        <v>1721</v>
      </c>
      <c r="G217" s="5" t="s">
        <v>1721</v>
      </c>
      <c r="H217" s="5" t="s">
        <v>1721</v>
      </c>
      <c r="I217" s="5" t="s">
        <v>1721</v>
      </c>
      <c r="J217" s="5" t="s">
        <v>1721</v>
      </c>
      <c r="K217" s="5" t="s">
        <v>1721</v>
      </c>
      <c r="L217" s="5" t="s">
        <v>1721</v>
      </c>
      <c r="M217" s="9">
        <v>11</v>
      </c>
      <c r="N217" s="6">
        <f>IFERROR(Table2[[#This Row],[Darbuotojų skaičius]]/M216-1,0)</f>
        <v>-0.15384615384615385</v>
      </c>
      <c r="O217" s="9">
        <v>1136</v>
      </c>
      <c r="P217" s="6">
        <v>0.19</v>
      </c>
      <c r="Q217" s="9">
        <f>Table2[[#This Row],[Atlyginimo vidurkis]]*Table2[[#This Row],[Darbuotojų skaičius]]*12</f>
        <v>149952</v>
      </c>
      <c r="R217" s="49">
        <f>IFERROR(Table2[[#This Row],[DU sąnaudos]]/Q216-1,0)</f>
        <v>1.0757906656960303E-2</v>
      </c>
      <c r="S217" s="9">
        <v>1984708</v>
      </c>
      <c r="T217" s="6">
        <v>0.46</v>
      </c>
      <c r="U217" s="9">
        <f>IF(Table2[[#This Row],[DU sąnaudos]]=0,0,Table2[[#This Row],[Apyvarta]]-Table2[[#This Row],[DU sąnaudos]]-Table2[[#This Row],[Pelnas]])</f>
        <v>1741362</v>
      </c>
      <c r="V217" s="49">
        <f>IFERROR(Table2[[#This Row],[Ne-atlyginimų sąnaudos]]/U216-1,0)</f>
        <v>0.46317571683646674</v>
      </c>
      <c r="W217" s="9">
        <v>93394</v>
      </c>
      <c r="X217" s="6">
        <v>3.99</v>
      </c>
      <c r="Y217" s="8">
        <f>Table2[[#This Row],[DU sąnaudos]]*0.43</f>
        <v>64479.360000000001</v>
      </c>
      <c r="Z217" s="8">
        <f>Table2[[#This Row],[Apyvarta]]-Table2[[#This Row],[Ne-atlyginimų sąnaudos]]+Table2[[#This Row],[Fiks ir pelno mokestis]]</f>
        <v>307825.36</v>
      </c>
    </row>
    <row r="218" spans="1:26" hidden="1" x14ac:dyDescent="0.2">
      <c r="A218" s="5" t="s">
        <v>998</v>
      </c>
      <c r="B218" s="5" t="s">
        <v>1497</v>
      </c>
      <c r="C218" s="5">
        <v>2019</v>
      </c>
      <c r="D218" s="5" t="s">
        <v>1721</v>
      </c>
      <c r="E218" s="5" t="s">
        <v>1721</v>
      </c>
      <c r="F218" s="5" t="s">
        <v>1721</v>
      </c>
      <c r="G218" s="5" t="s">
        <v>1721</v>
      </c>
      <c r="H218" s="5" t="s">
        <v>1721</v>
      </c>
      <c r="I218" s="5" t="s">
        <v>1721</v>
      </c>
      <c r="J218" s="5" t="s">
        <v>1721</v>
      </c>
      <c r="K218" s="5" t="s">
        <v>193</v>
      </c>
      <c r="L218" s="5" t="s">
        <v>1721</v>
      </c>
      <c r="M218" s="9">
        <v>2</v>
      </c>
      <c r="N218" s="6">
        <v>0</v>
      </c>
      <c r="O218" s="9">
        <v>0</v>
      </c>
      <c r="P218" s="6">
        <v>0</v>
      </c>
      <c r="Q218" s="9">
        <f>Table2[[#This Row],[Atlyginimo vidurkis]]*Table2[[#This Row],[Darbuotojų skaičius]]*12</f>
        <v>0</v>
      </c>
      <c r="R218" s="49">
        <v>0</v>
      </c>
      <c r="S218" s="9">
        <v>391819</v>
      </c>
      <c r="T218" s="6">
        <v>0</v>
      </c>
      <c r="U218" s="9">
        <f>IF(Table2[[#This Row],[DU sąnaudos]]=0,0,Table2[[#This Row],[Apyvarta]]-Table2[[#This Row],[DU sąnaudos]]-Table2[[#This Row],[Pelnas]])</f>
        <v>0</v>
      </c>
      <c r="V218" s="49">
        <v>0</v>
      </c>
      <c r="W218" s="9">
        <v>4711</v>
      </c>
      <c r="X218" s="6">
        <v>0</v>
      </c>
      <c r="Y218" s="8">
        <f>Table2[[#This Row],[DU sąnaudos]]*0.43</f>
        <v>0</v>
      </c>
      <c r="Z218" s="8">
        <f>Table2[[#This Row],[Apyvarta]]-Table2[[#This Row],[Ne-atlyginimų sąnaudos]]+Table2[[#This Row],[Fiks ir pelno mokestis]]</f>
        <v>391819</v>
      </c>
    </row>
    <row r="219" spans="1:26" hidden="1" x14ac:dyDescent="0.2">
      <c r="A219" s="5" t="s">
        <v>998</v>
      </c>
      <c r="B219" s="5" t="s">
        <v>1497</v>
      </c>
      <c r="C219" s="5">
        <v>2020</v>
      </c>
      <c r="D219" s="5" t="s">
        <v>1721</v>
      </c>
      <c r="E219" s="5" t="s">
        <v>1721</v>
      </c>
      <c r="F219" s="5" t="s">
        <v>1721</v>
      </c>
      <c r="G219" s="5" t="s">
        <v>1721</v>
      </c>
      <c r="H219" s="5" t="s">
        <v>1721</v>
      </c>
      <c r="I219" s="5" t="s">
        <v>1721</v>
      </c>
      <c r="J219" s="5" t="s">
        <v>1721</v>
      </c>
      <c r="K219" s="5" t="s">
        <v>193</v>
      </c>
      <c r="L219" s="5" t="s">
        <v>1721</v>
      </c>
      <c r="M219" s="9">
        <v>2</v>
      </c>
      <c r="N219" s="6">
        <f>IFERROR(Table2[[#This Row],[Darbuotojų skaičius]]/M218-1,0)</f>
        <v>0</v>
      </c>
      <c r="O219" s="9">
        <v>0</v>
      </c>
      <c r="P219" s="6">
        <v>0</v>
      </c>
      <c r="Q219" s="9">
        <f>Table2[[#This Row],[Atlyginimo vidurkis]]*Table2[[#This Row],[Darbuotojų skaičius]]*12</f>
        <v>0</v>
      </c>
      <c r="R219" s="49">
        <f>IFERROR(Table2[[#This Row],[DU sąnaudos]]/Q218-1,0)</f>
        <v>0</v>
      </c>
      <c r="S219" s="9">
        <v>447495</v>
      </c>
      <c r="T219" s="6">
        <v>0.14209622300092639</v>
      </c>
      <c r="U219" s="9">
        <f>IF(Table2[[#This Row],[DU sąnaudos]]=0,0,Table2[[#This Row],[Apyvarta]]-Table2[[#This Row],[DU sąnaudos]]-Table2[[#This Row],[Pelnas]])</f>
        <v>0</v>
      </c>
      <c r="V219" s="49">
        <f>IFERROR(Table2[[#This Row],[Ne-atlyginimų sąnaudos]]/U218-1,0)</f>
        <v>0</v>
      </c>
      <c r="W219" s="9">
        <v>-81138</v>
      </c>
      <c r="X219" s="6">
        <v>-18.223094884313308</v>
      </c>
      <c r="Y219" s="8">
        <f>Table2[[#This Row],[DU sąnaudos]]*0.43</f>
        <v>0</v>
      </c>
      <c r="Z219" s="8">
        <f>Table2[[#This Row],[Apyvarta]]-Table2[[#This Row],[Ne-atlyginimų sąnaudos]]+Table2[[#This Row],[Fiks ir pelno mokestis]]</f>
        <v>447495</v>
      </c>
    </row>
    <row r="220" spans="1:26" hidden="1" x14ac:dyDescent="0.2">
      <c r="A220" s="5" t="s">
        <v>998</v>
      </c>
      <c r="B220" s="5" t="s">
        <v>1497</v>
      </c>
      <c r="C220" s="5">
        <v>2021</v>
      </c>
      <c r="D220" s="5" t="s">
        <v>1721</v>
      </c>
      <c r="E220" s="5" t="s">
        <v>1721</v>
      </c>
      <c r="F220" s="5" t="s">
        <v>1721</v>
      </c>
      <c r="G220" s="5" t="s">
        <v>1721</v>
      </c>
      <c r="H220" s="5" t="s">
        <v>1721</v>
      </c>
      <c r="I220" s="5" t="s">
        <v>1721</v>
      </c>
      <c r="J220" s="5" t="s">
        <v>1721</v>
      </c>
      <c r="K220" s="5" t="s">
        <v>193</v>
      </c>
      <c r="L220" s="5" t="s">
        <v>1721</v>
      </c>
      <c r="M220" s="9">
        <v>1</v>
      </c>
      <c r="N220" s="6">
        <f>IFERROR(Table2[[#This Row],[Darbuotojų skaičius]]/M219-1,0)</f>
        <v>-0.5</v>
      </c>
      <c r="O220" s="9">
        <v>0</v>
      </c>
      <c r="P220" s="6">
        <v>0</v>
      </c>
      <c r="Q220" s="9">
        <f>Table2[[#This Row],[Atlyginimo vidurkis]]*Table2[[#This Row],[Darbuotojų skaičius]]*12</f>
        <v>0</v>
      </c>
      <c r="R220" s="49">
        <f>IFERROR(Table2[[#This Row],[DU sąnaudos]]/Q219-1,0)</f>
        <v>0</v>
      </c>
      <c r="S220" s="9">
        <v>378329</v>
      </c>
      <c r="T220" s="6">
        <v>-0.1545626208114057</v>
      </c>
      <c r="U220" s="9">
        <f>IF(Table2[[#This Row],[DU sąnaudos]]=0,0,Table2[[#This Row],[Apyvarta]]-Table2[[#This Row],[DU sąnaudos]]-Table2[[#This Row],[Pelnas]])</f>
        <v>0</v>
      </c>
      <c r="V220" s="49">
        <f>IFERROR(Table2[[#This Row],[Ne-atlyginimų sąnaudos]]/U219-1,0)</f>
        <v>0</v>
      </c>
      <c r="W220" s="9">
        <v>41669</v>
      </c>
      <c r="X220" s="6">
        <v>-1.5135571495476841</v>
      </c>
      <c r="Y220" s="8">
        <f>Table2[[#This Row],[DU sąnaudos]]*0.43</f>
        <v>0</v>
      </c>
      <c r="Z220" s="8">
        <f>Table2[[#This Row],[Apyvarta]]-Table2[[#This Row],[Ne-atlyginimų sąnaudos]]+Table2[[#This Row],[Fiks ir pelno mokestis]]</f>
        <v>378329</v>
      </c>
    </row>
    <row r="221" spans="1:26" hidden="1" x14ac:dyDescent="0.2">
      <c r="A221" s="5" t="s">
        <v>998</v>
      </c>
      <c r="B221" s="5" t="s">
        <v>1497</v>
      </c>
      <c r="C221" s="5">
        <v>2022</v>
      </c>
      <c r="D221" s="5" t="s">
        <v>1721</v>
      </c>
      <c r="E221" s="5" t="s">
        <v>1721</v>
      </c>
      <c r="F221" s="5" t="s">
        <v>1721</v>
      </c>
      <c r="G221" s="5" t="s">
        <v>1721</v>
      </c>
      <c r="H221" s="5" t="s">
        <v>1721</v>
      </c>
      <c r="I221" s="5" t="s">
        <v>1721</v>
      </c>
      <c r="J221" s="5" t="s">
        <v>1721</v>
      </c>
      <c r="K221" s="5" t="s">
        <v>193</v>
      </c>
      <c r="L221" s="5" t="s">
        <v>1721</v>
      </c>
      <c r="M221" s="9">
        <v>1</v>
      </c>
      <c r="N221" s="6">
        <f>IFERROR(Table2[[#This Row],[Darbuotojų skaičius]]/M220-1,0)</f>
        <v>0</v>
      </c>
      <c r="O221" s="9">
        <v>0</v>
      </c>
      <c r="P221" s="6">
        <v>0</v>
      </c>
      <c r="Q221" s="9">
        <f>Table2[[#This Row],[Atlyginimo vidurkis]]*Table2[[#This Row],[Darbuotojų skaičius]]*12</f>
        <v>0</v>
      </c>
      <c r="R221" s="49">
        <f>IFERROR(Table2[[#This Row],[DU sąnaudos]]/Q220-1,0)</f>
        <v>0</v>
      </c>
      <c r="S221" s="9">
        <v>460101</v>
      </c>
      <c r="T221" s="6">
        <v>0.21613992054534539</v>
      </c>
      <c r="U221" s="9">
        <f>IF(Table2[[#This Row],[DU sąnaudos]]=0,0,Table2[[#This Row],[Apyvarta]]-Table2[[#This Row],[DU sąnaudos]]-Table2[[#This Row],[Pelnas]])</f>
        <v>0</v>
      </c>
      <c r="V221" s="49">
        <f>IFERROR(Table2[[#This Row],[Ne-atlyginimų sąnaudos]]/U220-1,0)</f>
        <v>0</v>
      </c>
      <c r="W221" s="9">
        <v>246126</v>
      </c>
      <c r="X221" s="6">
        <v>4.9066932251793904</v>
      </c>
      <c r="Y221" s="8">
        <f>Table2[[#This Row],[DU sąnaudos]]*0.43</f>
        <v>0</v>
      </c>
      <c r="Z221" s="8">
        <f>Table2[[#This Row],[Apyvarta]]-Table2[[#This Row],[Ne-atlyginimų sąnaudos]]+Table2[[#This Row],[Fiks ir pelno mokestis]]</f>
        <v>460101</v>
      </c>
    </row>
    <row r="222" spans="1:26" hidden="1" x14ac:dyDescent="0.2">
      <c r="A222" s="5" t="s">
        <v>998</v>
      </c>
      <c r="B222" s="5" t="s">
        <v>1497</v>
      </c>
      <c r="C222" s="5">
        <v>2023</v>
      </c>
      <c r="D222" s="5" t="s">
        <v>1721</v>
      </c>
      <c r="E222" s="5" t="s">
        <v>1721</v>
      </c>
      <c r="F222" s="5" t="s">
        <v>1721</v>
      </c>
      <c r="G222" s="5" t="s">
        <v>1721</v>
      </c>
      <c r="H222" s="5" t="s">
        <v>1721</v>
      </c>
      <c r="I222" s="5" t="s">
        <v>1721</v>
      </c>
      <c r="J222" s="5" t="s">
        <v>1721</v>
      </c>
      <c r="K222" s="5" t="s">
        <v>193</v>
      </c>
      <c r="L222" s="5" t="s">
        <v>1721</v>
      </c>
      <c r="M222" s="9">
        <v>1</v>
      </c>
      <c r="N222" s="6">
        <f>IFERROR(Table2[[#This Row],[Darbuotojų skaičius]]/M221-1,0)</f>
        <v>0</v>
      </c>
      <c r="O222" s="9">
        <v>0</v>
      </c>
      <c r="P222" s="6">
        <v>0</v>
      </c>
      <c r="Q222" s="9">
        <f>Table2[[#This Row],[Atlyginimo vidurkis]]*Table2[[#This Row],[Darbuotojų skaičius]]*12</f>
        <v>0</v>
      </c>
      <c r="R222" s="49">
        <f>IFERROR(Table2[[#This Row],[DU sąnaudos]]/Q221-1,0)</f>
        <v>0</v>
      </c>
      <c r="S222" s="9">
        <v>0</v>
      </c>
      <c r="T222" s="6">
        <v>0</v>
      </c>
      <c r="U222" s="9">
        <f>IF(Table2[[#This Row],[DU sąnaudos]]=0,0,Table2[[#This Row],[Apyvarta]]-Table2[[#This Row],[DU sąnaudos]]-Table2[[#This Row],[Pelnas]])</f>
        <v>0</v>
      </c>
      <c r="V222" s="49">
        <f>IFERROR(Table2[[#This Row],[Ne-atlyginimų sąnaudos]]/U221-1,0)</f>
        <v>0</v>
      </c>
      <c r="W222" s="9">
        <v>25837</v>
      </c>
      <c r="X222" s="6">
        <v>-0.89502531223844695</v>
      </c>
      <c r="Y222" s="8">
        <f>Table2[[#This Row],[DU sąnaudos]]*0.43</f>
        <v>0</v>
      </c>
      <c r="Z222" s="8">
        <f>Table2[[#This Row],[Apyvarta]]-Table2[[#This Row],[Ne-atlyginimų sąnaudos]]+Table2[[#This Row],[Fiks ir pelno mokestis]]</f>
        <v>0</v>
      </c>
    </row>
    <row r="223" spans="1:26" hidden="1" x14ac:dyDescent="0.2">
      <c r="A223" s="5" t="s">
        <v>998</v>
      </c>
      <c r="B223" s="5" t="s">
        <v>1497</v>
      </c>
      <c r="C223" s="5">
        <v>2024</v>
      </c>
      <c r="D223" s="5" t="s">
        <v>1721</v>
      </c>
      <c r="E223" s="5" t="s">
        <v>1721</v>
      </c>
      <c r="F223" s="5" t="s">
        <v>1721</v>
      </c>
      <c r="G223" s="5" t="s">
        <v>1721</v>
      </c>
      <c r="H223" s="5" t="s">
        <v>1721</v>
      </c>
      <c r="I223" s="5" t="s">
        <v>1721</v>
      </c>
      <c r="J223" s="5" t="s">
        <v>1721</v>
      </c>
      <c r="K223" s="5" t="s">
        <v>193</v>
      </c>
      <c r="L223" s="5" t="s">
        <v>1721</v>
      </c>
      <c r="M223" s="9">
        <v>1</v>
      </c>
      <c r="N223" s="6">
        <f>IFERROR(Table2[[#This Row],[Darbuotojų skaičius]]/M222-1,0)</f>
        <v>0</v>
      </c>
      <c r="O223" s="9">
        <v>0</v>
      </c>
      <c r="P223" s="6">
        <v>0</v>
      </c>
      <c r="Q223" s="9">
        <f>Table2[[#This Row],[Atlyginimo vidurkis]]*Table2[[#This Row],[Darbuotojų skaičius]]*12</f>
        <v>0</v>
      </c>
      <c r="R223" s="49">
        <f>IFERROR(Table2[[#This Row],[DU sąnaudos]]/Q222-1,0)</f>
        <v>0</v>
      </c>
      <c r="S223" s="9">
        <v>0</v>
      </c>
      <c r="T223" s="6">
        <v>0</v>
      </c>
      <c r="U223" s="9">
        <f>IF(Table2[[#This Row],[DU sąnaudos]]=0,0,Table2[[#This Row],[Apyvarta]]-Table2[[#This Row],[DU sąnaudos]]-Table2[[#This Row],[Pelnas]])</f>
        <v>0</v>
      </c>
      <c r="V223" s="49">
        <f>IFERROR(Table2[[#This Row],[Ne-atlyginimų sąnaudos]]/U222-1,0)</f>
        <v>0</v>
      </c>
      <c r="W223" s="9">
        <v>0</v>
      </c>
      <c r="X223" s="6">
        <v>0</v>
      </c>
      <c r="Y223" s="8">
        <f>Table2[[#This Row],[DU sąnaudos]]*0.43</f>
        <v>0</v>
      </c>
      <c r="Z223" s="8">
        <f>Table2[[#This Row],[Apyvarta]]-Table2[[#This Row],[Ne-atlyginimų sąnaudos]]+Table2[[#This Row],[Fiks ir pelno mokestis]]</f>
        <v>0</v>
      </c>
    </row>
    <row r="224" spans="1:26" hidden="1" x14ac:dyDescent="0.2">
      <c r="A224" s="5" t="s">
        <v>924</v>
      </c>
      <c r="B224" s="5" t="s">
        <v>1501</v>
      </c>
      <c r="C224" s="5">
        <v>2019</v>
      </c>
      <c r="D224" s="5" t="s">
        <v>1721</v>
      </c>
      <c r="E224" s="5" t="s">
        <v>1721</v>
      </c>
      <c r="F224" s="5" t="s">
        <v>1721</v>
      </c>
      <c r="G224" s="5" t="s">
        <v>1721</v>
      </c>
      <c r="H224" s="5" t="s">
        <v>1721</v>
      </c>
      <c r="I224" s="5" t="s">
        <v>280</v>
      </c>
      <c r="J224" s="5" t="s">
        <v>1721</v>
      </c>
      <c r="K224" s="5" t="s">
        <v>1721</v>
      </c>
      <c r="L224" s="5" t="s">
        <v>1721</v>
      </c>
      <c r="M224" s="9">
        <v>1</v>
      </c>
      <c r="N224" s="6">
        <v>0</v>
      </c>
      <c r="O224" s="9">
        <v>0</v>
      </c>
      <c r="P224" s="6">
        <v>0</v>
      </c>
      <c r="Q224" s="9">
        <f>Table2[[#This Row],[Atlyginimo vidurkis]]*Table2[[#This Row],[Darbuotojų skaičius]]*12</f>
        <v>0</v>
      </c>
      <c r="R224" s="49">
        <v>0</v>
      </c>
      <c r="S224" s="9">
        <v>22054</v>
      </c>
      <c r="T224" s="6">
        <v>0</v>
      </c>
      <c r="U224" s="9">
        <f>IF(Table2[[#This Row],[DU sąnaudos]]=0,0,Table2[[#This Row],[Apyvarta]]-Table2[[#This Row],[DU sąnaudos]]-Table2[[#This Row],[Pelnas]])</f>
        <v>0</v>
      </c>
      <c r="V224" s="49">
        <v>0</v>
      </c>
      <c r="W224" s="9">
        <v>467</v>
      </c>
      <c r="X224" s="6">
        <v>0</v>
      </c>
      <c r="Y224" s="8">
        <f>Table2[[#This Row],[DU sąnaudos]]*0.43</f>
        <v>0</v>
      </c>
      <c r="Z224" s="8">
        <f>Table2[[#This Row],[Apyvarta]]-Table2[[#This Row],[Ne-atlyginimų sąnaudos]]+Table2[[#This Row],[Fiks ir pelno mokestis]]</f>
        <v>22054</v>
      </c>
    </row>
    <row r="225" spans="1:26" hidden="1" x14ac:dyDescent="0.2">
      <c r="A225" s="5" t="s">
        <v>924</v>
      </c>
      <c r="B225" s="5" t="s">
        <v>1501</v>
      </c>
      <c r="C225" s="5">
        <v>2020</v>
      </c>
      <c r="D225" s="5" t="s">
        <v>1721</v>
      </c>
      <c r="E225" s="5" t="s">
        <v>1721</v>
      </c>
      <c r="F225" s="5" t="s">
        <v>1721</v>
      </c>
      <c r="G225" s="5" t="s">
        <v>1721</v>
      </c>
      <c r="H225" s="5" t="s">
        <v>1721</v>
      </c>
      <c r="I225" s="5" t="s">
        <v>280</v>
      </c>
      <c r="J225" s="5" t="s">
        <v>1721</v>
      </c>
      <c r="K225" s="5" t="s">
        <v>1721</v>
      </c>
      <c r="L225" s="5" t="s">
        <v>1721</v>
      </c>
      <c r="M225" s="9">
        <v>1</v>
      </c>
      <c r="N225" s="6">
        <f>IFERROR(Table2[[#This Row],[Darbuotojų skaičius]]/M224-1,0)</f>
        <v>0</v>
      </c>
      <c r="O225" s="9">
        <v>0</v>
      </c>
      <c r="P225" s="6">
        <v>0</v>
      </c>
      <c r="Q225" s="9">
        <f>Table2[[#This Row],[Atlyginimo vidurkis]]*Table2[[#This Row],[Darbuotojų skaičius]]*12</f>
        <v>0</v>
      </c>
      <c r="R225" s="49">
        <f>IFERROR(Table2[[#This Row],[DU sąnaudos]]/Q224-1,0)</f>
        <v>0</v>
      </c>
      <c r="S225" s="9">
        <v>17953</v>
      </c>
      <c r="T225" s="6">
        <v>-0.18595266164868049</v>
      </c>
      <c r="U225" s="9">
        <f>IF(Table2[[#This Row],[DU sąnaudos]]=0,0,Table2[[#This Row],[Apyvarta]]-Table2[[#This Row],[DU sąnaudos]]-Table2[[#This Row],[Pelnas]])</f>
        <v>0</v>
      </c>
      <c r="V225" s="49">
        <f>IFERROR(Table2[[#This Row],[Ne-atlyginimų sąnaudos]]/U224-1,0)</f>
        <v>0</v>
      </c>
      <c r="W225" s="9">
        <v>1177</v>
      </c>
      <c r="X225" s="6">
        <v>1.5203426124196999</v>
      </c>
      <c r="Y225" s="8">
        <f>Table2[[#This Row],[DU sąnaudos]]*0.43</f>
        <v>0</v>
      </c>
      <c r="Z225" s="8">
        <f>Table2[[#This Row],[Apyvarta]]-Table2[[#This Row],[Ne-atlyginimų sąnaudos]]+Table2[[#This Row],[Fiks ir pelno mokestis]]</f>
        <v>17953</v>
      </c>
    </row>
    <row r="226" spans="1:26" hidden="1" x14ac:dyDescent="0.2">
      <c r="A226" s="5" t="s">
        <v>924</v>
      </c>
      <c r="B226" s="5" t="s">
        <v>1501</v>
      </c>
      <c r="C226" s="5">
        <v>2021</v>
      </c>
      <c r="D226" s="5" t="s">
        <v>1721</v>
      </c>
      <c r="E226" s="5" t="s">
        <v>1721</v>
      </c>
      <c r="F226" s="5" t="s">
        <v>1721</v>
      </c>
      <c r="G226" s="5" t="s">
        <v>1721</v>
      </c>
      <c r="H226" s="5" t="s">
        <v>1721</v>
      </c>
      <c r="I226" s="5" t="s">
        <v>280</v>
      </c>
      <c r="J226" s="5" t="s">
        <v>1721</v>
      </c>
      <c r="K226" s="5" t="s">
        <v>1721</v>
      </c>
      <c r="L226" s="5" t="s">
        <v>1721</v>
      </c>
      <c r="M226" s="9">
        <v>1</v>
      </c>
      <c r="N226" s="6">
        <f>IFERROR(Table2[[#This Row],[Darbuotojų skaičius]]/M225-1,0)</f>
        <v>0</v>
      </c>
      <c r="O226" s="9">
        <v>0</v>
      </c>
      <c r="P226" s="6">
        <v>0</v>
      </c>
      <c r="Q226" s="9">
        <f>Table2[[#This Row],[Atlyginimo vidurkis]]*Table2[[#This Row],[Darbuotojų skaičius]]*12</f>
        <v>0</v>
      </c>
      <c r="R226" s="49">
        <f>IFERROR(Table2[[#This Row],[DU sąnaudos]]/Q225-1,0)</f>
        <v>0</v>
      </c>
      <c r="S226" s="9">
        <v>31688</v>
      </c>
      <c r="T226" s="6">
        <v>0.76505319445218078</v>
      </c>
      <c r="U226" s="9">
        <f>IF(Table2[[#This Row],[DU sąnaudos]]=0,0,Table2[[#This Row],[Apyvarta]]-Table2[[#This Row],[DU sąnaudos]]-Table2[[#This Row],[Pelnas]])</f>
        <v>0</v>
      </c>
      <c r="V226" s="49">
        <f>IFERROR(Table2[[#This Row],[Ne-atlyginimų sąnaudos]]/U225-1,0)</f>
        <v>0</v>
      </c>
      <c r="W226" s="9">
        <v>1376</v>
      </c>
      <c r="X226" s="6">
        <v>0.16907391673746819</v>
      </c>
      <c r="Y226" s="8">
        <f>Table2[[#This Row],[DU sąnaudos]]*0.43</f>
        <v>0</v>
      </c>
      <c r="Z226" s="8">
        <f>Table2[[#This Row],[Apyvarta]]-Table2[[#This Row],[Ne-atlyginimų sąnaudos]]+Table2[[#This Row],[Fiks ir pelno mokestis]]</f>
        <v>31688</v>
      </c>
    </row>
    <row r="227" spans="1:26" hidden="1" x14ac:dyDescent="0.2">
      <c r="A227" s="5" t="s">
        <v>924</v>
      </c>
      <c r="B227" s="5" t="s">
        <v>1501</v>
      </c>
      <c r="C227" s="5">
        <v>2022</v>
      </c>
      <c r="D227" s="5" t="s">
        <v>1721</v>
      </c>
      <c r="E227" s="5" t="s">
        <v>1721</v>
      </c>
      <c r="F227" s="5" t="s">
        <v>1721</v>
      </c>
      <c r="G227" s="5" t="s">
        <v>1721</v>
      </c>
      <c r="H227" s="5" t="s">
        <v>1721</v>
      </c>
      <c r="I227" s="5" t="s">
        <v>280</v>
      </c>
      <c r="J227" s="5" t="s">
        <v>1721</v>
      </c>
      <c r="K227" s="5" t="s">
        <v>1721</v>
      </c>
      <c r="L227" s="5" t="s">
        <v>1721</v>
      </c>
      <c r="M227" s="9">
        <v>1</v>
      </c>
      <c r="N227" s="6">
        <f>IFERROR(Table2[[#This Row],[Darbuotojų skaičius]]/M226-1,0)</f>
        <v>0</v>
      </c>
      <c r="O227" s="9">
        <v>0</v>
      </c>
      <c r="P227" s="6">
        <v>0</v>
      </c>
      <c r="Q227" s="9">
        <f>Table2[[#This Row],[Atlyginimo vidurkis]]*Table2[[#This Row],[Darbuotojų skaičius]]*12</f>
        <v>0</v>
      </c>
      <c r="R227" s="49">
        <f>IFERROR(Table2[[#This Row],[DU sąnaudos]]/Q226-1,0)</f>
        <v>0</v>
      </c>
      <c r="S227" s="9">
        <v>64112</v>
      </c>
      <c r="T227" s="6">
        <v>1.02322645796516</v>
      </c>
      <c r="U227" s="9">
        <f>IF(Table2[[#This Row],[DU sąnaudos]]=0,0,Table2[[#This Row],[Apyvarta]]-Table2[[#This Row],[DU sąnaudos]]-Table2[[#This Row],[Pelnas]])</f>
        <v>0</v>
      </c>
      <c r="V227" s="49">
        <f>IFERROR(Table2[[#This Row],[Ne-atlyginimų sąnaudos]]/U226-1,0)</f>
        <v>0</v>
      </c>
      <c r="W227" s="9">
        <v>1818</v>
      </c>
      <c r="X227" s="6">
        <v>0.32122093023255821</v>
      </c>
      <c r="Y227" s="8">
        <f>Table2[[#This Row],[DU sąnaudos]]*0.43</f>
        <v>0</v>
      </c>
      <c r="Z227" s="8">
        <f>Table2[[#This Row],[Apyvarta]]-Table2[[#This Row],[Ne-atlyginimų sąnaudos]]+Table2[[#This Row],[Fiks ir pelno mokestis]]</f>
        <v>64112</v>
      </c>
    </row>
    <row r="228" spans="1:26" hidden="1" x14ac:dyDescent="0.2">
      <c r="A228" s="5" t="s">
        <v>924</v>
      </c>
      <c r="B228" s="5" t="s">
        <v>1501</v>
      </c>
      <c r="C228" s="5">
        <v>2023</v>
      </c>
      <c r="D228" s="5" t="s">
        <v>1721</v>
      </c>
      <c r="E228" s="5" t="s">
        <v>1721</v>
      </c>
      <c r="F228" s="5" t="s">
        <v>1721</v>
      </c>
      <c r="G228" s="5" t="s">
        <v>1721</v>
      </c>
      <c r="H228" s="5" t="s">
        <v>1721</v>
      </c>
      <c r="I228" s="5" t="s">
        <v>280</v>
      </c>
      <c r="J228" s="5" t="s">
        <v>1721</v>
      </c>
      <c r="K228" s="5" t="s">
        <v>1721</v>
      </c>
      <c r="L228" s="5" t="s">
        <v>1721</v>
      </c>
      <c r="M228" s="9">
        <v>1</v>
      </c>
      <c r="N228" s="6">
        <f>IFERROR(Table2[[#This Row],[Darbuotojų skaičius]]/M227-1,0)</f>
        <v>0</v>
      </c>
      <c r="O228" s="9">
        <v>0</v>
      </c>
      <c r="P228" s="6">
        <v>0</v>
      </c>
      <c r="Q228" s="9">
        <f>Table2[[#This Row],[Atlyginimo vidurkis]]*Table2[[#This Row],[Darbuotojų skaičius]]*12</f>
        <v>0</v>
      </c>
      <c r="R228" s="49">
        <f>IFERROR(Table2[[#This Row],[DU sąnaudos]]/Q227-1,0)</f>
        <v>0</v>
      </c>
      <c r="S228" s="9">
        <v>50177</v>
      </c>
      <c r="T228" s="6">
        <v>-0.21735400549039191</v>
      </c>
      <c r="U228" s="9">
        <f>IF(Table2[[#This Row],[DU sąnaudos]]=0,0,Table2[[#This Row],[Apyvarta]]-Table2[[#This Row],[DU sąnaudos]]-Table2[[#This Row],[Pelnas]])</f>
        <v>0</v>
      </c>
      <c r="V228" s="49">
        <f>IFERROR(Table2[[#This Row],[Ne-atlyginimų sąnaudos]]/U227-1,0)</f>
        <v>0</v>
      </c>
      <c r="W228" s="9">
        <v>2050</v>
      </c>
      <c r="X228" s="6">
        <v>0.1276127612761275</v>
      </c>
      <c r="Y228" s="8">
        <f>Table2[[#This Row],[DU sąnaudos]]*0.43</f>
        <v>0</v>
      </c>
      <c r="Z228" s="8">
        <f>Table2[[#This Row],[Apyvarta]]-Table2[[#This Row],[Ne-atlyginimų sąnaudos]]+Table2[[#This Row],[Fiks ir pelno mokestis]]</f>
        <v>50177</v>
      </c>
    </row>
    <row r="229" spans="1:26" hidden="1" x14ac:dyDescent="0.2">
      <c r="A229" s="5" t="s">
        <v>924</v>
      </c>
      <c r="B229" s="5" t="s">
        <v>1501</v>
      </c>
      <c r="C229" s="5">
        <v>2024</v>
      </c>
      <c r="D229" s="5" t="s">
        <v>1721</v>
      </c>
      <c r="E229" s="5" t="s">
        <v>1721</v>
      </c>
      <c r="F229" s="5" t="s">
        <v>1721</v>
      </c>
      <c r="G229" s="5" t="s">
        <v>1721</v>
      </c>
      <c r="H229" s="5" t="s">
        <v>1721</v>
      </c>
      <c r="I229" s="5" t="s">
        <v>280</v>
      </c>
      <c r="J229" s="5" t="s">
        <v>1721</v>
      </c>
      <c r="K229" s="5" t="s">
        <v>1721</v>
      </c>
      <c r="L229" s="5" t="s">
        <v>1721</v>
      </c>
      <c r="M229" s="9">
        <v>1</v>
      </c>
      <c r="N229" s="6">
        <f>IFERROR(Table2[[#This Row],[Darbuotojų skaičius]]/M228-1,0)</f>
        <v>0</v>
      </c>
      <c r="O229" s="9">
        <v>0</v>
      </c>
      <c r="P229" s="6">
        <v>0</v>
      </c>
      <c r="Q229" s="9">
        <f>Table2[[#This Row],[Atlyginimo vidurkis]]*Table2[[#This Row],[Darbuotojų skaičius]]*12</f>
        <v>0</v>
      </c>
      <c r="R229" s="49">
        <f>IFERROR(Table2[[#This Row],[DU sąnaudos]]/Q228-1,0)</f>
        <v>0</v>
      </c>
      <c r="S229" s="9">
        <v>41486</v>
      </c>
      <c r="T229" s="6">
        <v>-0.17320684775893341</v>
      </c>
      <c r="U229" s="9">
        <f>IF(Table2[[#This Row],[DU sąnaudos]]=0,0,Table2[[#This Row],[Apyvarta]]-Table2[[#This Row],[DU sąnaudos]]-Table2[[#This Row],[Pelnas]])</f>
        <v>0</v>
      </c>
      <c r="V229" s="49">
        <f>IFERROR(Table2[[#This Row],[Ne-atlyginimų sąnaudos]]/U228-1,0)</f>
        <v>0</v>
      </c>
      <c r="W229" s="9">
        <v>436</v>
      </c>
      <c r="X229" s="6">
        <v>-0.78731707317073174</v>
      </c>
      <c r="Y229" s="8">
        <f>Table2[[#This Row],[DU sąnaudos]]*0.43</f>
        <v>0</v>
      </c>
      <c r="Z229" s="8">
        <f>Table2[[#This Row],[Apyvarta]]-Table2[[#This Row],[Ne-atlyginimų sąnaudos]]+Table2[[#This Row],[Fiks ir pelno mokestis]]</f>
        <v>41486</v>
      </c>
    </row>
    <row r="230" spans="1:26" hidden="1" x14ac:dyDescent="0.2">
      <c r="A230" s="5" t="s">
        <v>1200</v>
      </c>
      <c r="B230" t="s">
        <v>1503</v>
      </c>
      <c r="C230">
        <v>2019</v>
      </c>
      <c r="D230" s="5" t="s">
        <v>1721</v>
      </c>
      <c r="E230" s="5" t="s">
        <v>1721</v>
      </c>
      <c r="F230" s="5" t="s">
        <v>1721</v>
      </c>
      <c r="G230" s="5" t="s">
        <v>73</v>
      </c>
      <c r="H230" s="5" t="s">
        <v>1721</v>
      </c>
      <c r="I230" s="5" t="s">
        <v>1721</v>
      </c>
      <c r="J230" s="5" t="s">
        <v>1721</v>
      </c>
      <c r="K230" s="5" t="s">
        <v>193</v>
      </c>
      <c r="L230" s="5" t="s">
        <v>1721</v>
      </c>
      <c r="M230" s="9">
        <v>24</v>
      </c>
      <c r="N230" s="6">
        <v>0</v>
      </c>
      <c r="O230" s="9">
        <v>2049</v>
      </c>
      <c r="P230" s="6">
        <v>0</v>
      </c>
      <c r="Q230" s="9">
        <f>Table2[[#This Row],[Atlyginimo vidurkis]]*Table2[[#This Row],[Darbuotojų skaičius]]*12</f>
        <v>590112</v>
      </c>
      <c r="R230" s="49">
        <v>0</v>
      </c>
      <c r="S230" s="9">
        <v>5847369</v>
      </c>
      <c r="T230" s="6">
        <v>0</v>
      </c>
      <c r="U230" s="9">
        <f>IF(Table2[[#This Row],[DU sąnaudos]]=0,0,Table2[[#This Row],[Apyvarta]]-Table2[[#This Row],[DU sąnaudos]]-Table2[[#This Row],[Pelnas]])</f>
        <v>4869586</v>
      </c>
      <c r="V230" s="49">
        <v>0</v>
      </c>
      <c r="W230" s="9">
        <v>387671</v>
      </c>
      <c r="X230" s="6">
        <v>0</v>
      </c>
      <c r="Y230" s="8">
        <f>Table2[[#This Row],[DU sąnaudos]]*0.43</f>
        <v>253748.16</v>
      </c>
      <c r="Z230" s="8">
        <f>Table2[[#This Row],[Apyvarta]]-Table2[[#This Row],[Ne-atlyginimų sąnaudos]]+Table2[[#This Row],[Fiks ir pelno mokestis]]</f>
        <v>1231531.1599999999</v>
      </c>
    </row>
    <row r="231" spans="1:26" hidden="1" x14ac:dyDescent="0.2">
      <c r="A231" s="5" t="s">
        <v>1200</v>
      </c>
      <c r="B231" t="s">
        <v>1503</v>
      </c>
      <c r="C231">
        <v>2020</v>
      </c>
      <c r="D231" s="5" t="s">
        <v>1721</v>
      </c>
      <c r="E231" s="5" t="s">
        <v>1721</v>
      </c>
      <c r="F231" s="5" t="s">
        <v>1721</v>
      </c>
      <c r="G231" s="5" t="s">
        <v>73</v>
      </c>
      <c r="H231" s="5" t="s">
        <v>1721</v>
      </c>
      <c r="I231" s="5" t="s">
        <v>1721</v>
      </c>
      <c r="J231" s="5" t="s">
        <v>1721</v>
      </c>
      <c r="K231" s="5" t="s">
        <v>193</v>
      </c>
      <c r="L231" s="5" t="s">
        <v>1721</v>
      </c>
      <c r="M231" s="9">
        <v>27</v>
      </c>
      <c r="N231" s="6">
        <f>IFERROR(Table2[[#This Row],[Darbuotojų skaičius]]/M230-1,0)</f>
        <v>0.125</v>
      </c>
      <c r="O231" s="9">
        <v>2167</v>
      </c>
      <c r="P231" s="6">
        <v>0.06</v>
      </c>
      <c r="Q231" s="9">
        <f>Table2[[#This Row],[Atlyginimo vidurkis]]*Table2[[#This Row],[Darbuotojų skaičius]]*12</f>
        <v>702108</v>
      </c>
      <c r="R231" s="49">
        <f>IFERROR(Table2[[#This Row],[DU sąnaudos]]/Q230-1,0)</f>
        <v>0.18978770131771605</v>
      </c>
      <c r="S231" s="9">
        <v>6041502</v>
      </c>
      <c r="T231" s="6">
        <v>0.03</v>
      </c>
      <c r="U231" s="9">
        <f>IF(Table2[[#This Row],[DU sąnaudos]]=0,0,Table2[[#This Row],[Apyvarta]]-Table2[[#This Row],[DU sąnaudos]]-Table2[[#This Row],[Pelnas]])</f>
        <v>5088172</v>
      </c>
      <c r="V231" s="49">
        <f>IFERROR(Table2[[#This Row],[Ne-atlyginimų sąnaudos]]/U230-1,0)</f>
        <v>4.4888004852979391E-2</v>
      </c>
      <c r="W231" s="9">
        <v>251222</v>
      </c>
      <c r="X231" s="6">
        <v>-0.35</v>
      </c>
      <c r="Y231" s="8">
        <f>Table2[[#This Row],[DU sąnaudos]]*0.43</f>
        <v>301906.44</v>
      </c>
      <c r="Z231" s="8">
        <f>Table2[[#This Row],[Apyvarta]]-Table2[[#This Row],[Ne-atlyginimų sąnaudos]]+Table2[[#This Row],[Fiks ir pelno mokestis]]</f>
        <v>1255236.44</v>
      </c>
    </row>
    <row r="232" spans="1:26" hidden="1" x14ac:dyDescent="0.2">
      <c r="A232" s="5" t="s">
        <v>1200</v>
      </c>
      <c r="B232" t="s">
        <v>1503</v>
      </c>
      <c r="C232">
        <v>2021</v>
      </c>
      <c r="D232" s="5" t="s">
        <v>1721</v>
      </c>
      <c r="E232" s="5" t="s">
        <v>1721</v>
      </c>
      <c r="F232" s="5" t="s">
        <v>1721</v>
      </c>
      <c r="G232" s="5" t="s">
        <v>73</v>
      </c>
      <c r="H232" s="5" t="s">
        <v>1721</v>
      </c>
      <c r="I232" s="5" t="s">
        <v>1721</v>
      </c>
      <c r="J232" s="5" t="s">
        <v>1721</v>
      </c>
      <c r="K232" s="5" t="s">
        <v>193</v>
      </c>
      <c r="L232" s="5" t="s">
        <v>1721</v>
      </c>
      <c r="M232" s="9">
        <v>32</v>
      </c>
      <c r="N232" s="6">
        <f>IFERROR(Table2[[#This Row],[Darbuotojų skaičius]]/M231-1,0)</f>
        <v>0.18518518518518512</v>
      </c>
      <c r="O232" s="9">
        <v>2575</v>
      </c>
      <c r="P232" s="6">
        <v>0.19</v>
      </c>
      <c r="Q232" s="9">
        <f>Table2[[#This Row],[Atlyginimo vidurkis]]*Table2[[#This Row],[Darbuotojų skaičius]]*12</f>
        <v>988800</v>
      </c>
      <c r="R232" s="49">
        <f>IFERROR(Table2[[#This Row],[DU sąnaudos]]/Q231-1,0)</f>
        <v>0.4083303423404947</v>
      </c>
      <c r="S232" s="9">
        <v>10390945</v>
      </c>
      <c r="T232" s="6">
        <v>0.72</v>
      </c>
      <c r="U232" s="9">
        <f>IF(Table2[[#This Row],[DU sąnaudos]]=0,0,Table2[[#This Row],[Apyvarta]]-Table2[[#This Row],[DU sąnaudos]]-Table2[[#This Row],[Pelnas]])</f>
        <v>8932955</v>
      </c>
      <c r="V232" s="49">
        <f>IFERROR(Table2[[#This Row],[Ne-atlyginimų sąnaudos]]/U231-1,0)</f>
        <v>0.75563149201717228</v>
      </c>
      <c r="W232" s="9">
        <v>469190</v>
      </c>
      <c r="X232" s="6">
        <v>0.87</v>
      </c>
      <c r="Y232" s="8">
        <f>Table2[[#This Row],[DU sąnaudos]]*0.43</f>
        <v>425184</v>
      </c>
      <c r="Z232" s="8">
        <f>Table2[[#This Row],[Apyvarta]]-Table2[[#This Row],[Ne-atlyginimų sąnaudos]]+Table2[[#This Row],[Fiks ir pelno mokestis]]</f>
        <v>1883174</v>
      </c>
    </row>
    <row r="233" spans="1:26" hidden="1" x14ac:dyDescent="0.2">
      <c r="A233" s="5" t="s">
        <v>1200</v>
      </c>
      <c r="B233" t="s">
        <v>1503</v>
      </c>
      <c r="C233">
        <v>2022</v>
      </c>
      <c r="D233" s="5" t="s">
        <v>1721</v>
      </c>
      <c r="E233" s="5" t="s">
        <v>1721</v>
      </c>
      <c r="F233" s="5" t="s">
        <v>1721</v>
      </c>
      <c r="G233" s="5" t="s">
        <v>73</v>
      </c>
      <c r="H233" s="5" t="s">
        <v>1721</v>
      </c>
      <c r="I233" s="5" t="s">
        <v>1721</v>
      </c>
      <c r="J233" s="5" t="s">
        <v>1721</v>
      </c>
      <c r="K233" s="5" t="s">
        <v>193</v>
      </c>
      <c r="L233" s="5" t="s">
        <v>1721</v>
      </c>
      <c r="M233" s="9">
        <v>33</v>
      </c>
      <c r="N233" s="6">
        <f>IFERROR(Table2[[#This Row],[Darbuotojų skaičius]]/M232-1,0)</f>
        <v>3.125E-2</v>
      </c>
      <c r="O233" s="9">
        <v>2851</v>
      </c>
      <c r="P233" s="6">
        <v>0.11</v>
      </c>
      <c r="Q233" s="9">
        <f>Table2[[#This Row],[Atlyginimo vidurkis]]*Table2[[#This Row],[Darbuotojų skaičius]]*12</f>
        <v>1128996</v>
      </c>
      <c r="R233" s="49">
        <f>IFERROR(Table2[[#This Row],[DU sąnaudos]]/Q232-1,0)</f>
        <v>0.14178398058252428</v>
      </c>
      <c r="S233" s="9">
        <v>9116200</v>
      </c>
      <c r="T233" s="6">
        <v>-0.12</v>
      </c>
      <c r="U233" s="9">
        <f>IF(Table2[[#This Row],[DU sąnaudos]]=0,0,Table2[[#This Row],[Apyvarta]]-Table2[[#This Row],[DU sąnaudos]]-Table2[[#This Row],[Pelnas]])</f>
        <v>7681123</v>
      </c>
      <c r="V233" s="49">
        <f>IFERROR(Table2[[#This Row],[Ne-atlyginimų sąnaudos]]/U232-1,0)</f>
        <v>-0.14013638264157824</v>
      </c>
      <c r="W233" s="9">
        <v>306081</v>
      </c>
      <c r="X233" s="6">
        <v>-0.35</v>
      </c>
      <c r="Y233" s="8">
        <f>Table2[[#This Row],[DU sąnaudos]]*0.43</f>
        <v>485468.27999999997</v>
      </c>
      <c r="Z233" s="8">
        <f>Table2[[#This Row],[Apyvarta]]-Table2[[#This Row],[Ne-atlyginimų sąnaudos]]+Table2[[#This Row],[Fiks ir pelno mokestis]]</f>
        <v>1920545.28</v>
      </c>
    </row>
    <row r="234" spans="1:26" hidden="1" x14ac:dyDescent="0.2">
      <c r="A234" s="5" t="s">
        <v>1200</v>
      </c>
      <c r="B234" t="s">
        <v>1503</v>
      </c>
      <c r="C234">
        <v>2023</v>
      </c>
      <c r="D234" s="5" t="s">
        <v>1721</v>
      </c>
      <c r="E234" s="5" t="s">
        <v>1721</v>
      </c>
      <c r="F234" s="5" t="s">
        <v>1721</v>
      </c>
      <c r="G234" s="5" t="s">
        <v>73</v>
      </c>
      <c r="H234" s="5" t="s">
        <v>1721</v>
      </c>
      <c r="I234" s="5" t="s">
        <v>1721</v>
      </c>
      <c r="J234" s="5" t="s">
        <v>1721</v>
      </c>
      <c r="K234" s="5" t="s">
        <v>193</v>
      </c>
      <c r="L234" s="5" t="s">
        <v>1721</v>
      </c>
      <c r="M234" s="9">
        <v>32</v>
      </c>
      <c r="N234" s="6">
        <f>IFERROR(Table2[[#This Row],[Darbuotojų skaičius]]/M233-1,0)</f>
        <v>-3.0303030303030276E-2</v>
      </c>
      <c r="O234" s="9">
        <v>3081</v>
      </c>
      <c r="P234" s="6">
        <v>0.08</v>
      </c>
      <c r="Q234" s="9">
        <f>Table2[[#This Row],[Atlyginimo vidurkis]]*Table2[[#This Row],[Darbuotojų skaičius]]*12</f>
        <v>1183104</v>
      </c>
      <c r="R234" s="49">
        <f>IFERROR(Table2[[#This Row],[DU sąnaudos]]/Q233-1,0)</f>
        <v>4.7925767673224762E-2</v>
      </c>
      <c r="S234" s="9">
        <v>9198605</v>
      </c>
      <c r="T234" s="6">
        <v>0.01</v>
      </c>
      <c r="U234" s="9">
        <f>IF(Table2[[#This Row],[DU sąnaudos]]=0,0,Table2[[#This Row],[Apyvarta]]-Table2[[#This Row],[DU sąnaudos]]-Table2[[#This Row],[Pelnas]])</f>
        <v>7771179</v>
      </c>
      <c r="V234" s="49">
        <f>IFERROR(Table2[[#This Row],[Ne-atlyginimų sąnaudos]]/U233-1,0)</f>
        <v>1.172432728912165E-2</v>
      </c>
      <c r="W234" s="9">
        <v>244322</v>
      </c>
      <c r="X234" s="6">
        <v>-0.2</v>
      </c>
      <c r="Y234" s="8">
        <f>Table2[[#This Row],[DU sąnaudos]]*0.43</f>
        <v>508734.71999999997</v>
      </c>
      <c r="Z234" s="8">
        <f>Table2[[#This Row],[Apyvarta]]-Table2[[#This Row],[Ne-atlyginimų sąnaudos]]+Table2[[#This Row],[Fiks ir pelno mokestis]]</f>
        <v>1936160.72</v>
      </c>
    </row>
    <row r="235" spans="1:26" hidden="1" x14ac:dyDescent="0.2">
      <c r="A235" s="5" t="s">
        <v>1200</v>
      </c>
      <c r="B235" t="s">
        <v>1503</v>
      </c>
      <c r="C235">
        <v>2024</v>
      </c>
      <c r="D235" s="5" t="s">
        <v>1721</v>
      </c>
      <c r="E235" s="5" t="s">
        <v>1721</v>
      </c>
      <c r="F235" s="5" t="s">
        <v>1721</v>
      </c>
      <c r="G235" s="5" t="s">
        <v>73</v>
      </c>
      <c r="H235" s="5" t="s">
        <v>1721</v>
      </c>
      <c r="I235" s="5" t="s">
        <v>1721</v>
      </c>
      <c r="J235" s="5" t="s">
        <v>1721</v>
      </c>
      <c r="K235" s="5" t="s">
        <v>193</v>
      </c>
      <c r="L235" s="5" t="s">
        <v>1721</v>
      </c>
      <c r="M235" s="9">
        <v>31</v>
      </c>
      <c r="N235" s="6">
        <f>IFERROR(Table2[[#This Row],[Darbuotojų skaičius]]/M234-1,0)</f>
        <v>-3.125E-2</v>
      </c>
      <c r="O235" s="9">
        <v>3243</v>
      </c>
      <c r="P235" s="6">
        <v>0.05</v>
      </c>
      <c r="Q235" s="9">
        <f>Table2[[#This Row],[Atlyginimo vidurkis]]*Table2[[#This Row],[Darbuotojų skaičius]]*12</f>
        <v>1206396</v>
      </c>
      <c r="R235" s="49">
        <f>IFERROR(Table2[[#This Row],[DU sąnaudos]]/Q234-1,0)</f>
        <v>1.9687195715676786E-2</v>
      </c>
      <c r="S235" s="9">
        <v>10097522</v>
      </c>
      <c r="T235" s="6">
        <v>0.1</v>
      </c>
      <c r="U235" s="9">
        <f>IF(Table2[[#This Row],[DU sąnaudos]]=0,0,Table2[[#This Row],[Apyvarta]]-Table2[[#This Row],[DU sąnaudos]]-Table2[[#This Row],[Pelnas]])</f>
        <v>8646724</v>
      </c>
      <c r="V235" s="49">
        <f>IFERROR(Table2[[#This Row],[Ne-atlyginimų sąnaudos]]/U234-1,0)</f>
        <v>0.11266565858282251</v>
      </c>
      <c r="W235" s="9">
        <v>244402</v>
      </c>
      <c r="X235" s="6">
        <v>0</v>
      </c>
      <c r="Y235" s="8">
        <f>Table2[[#This Row],[DU sąnaudos]]*0.43</f>
        <v>518750.27999999997</v>
      </c>
      <c r="Z235" s="8">
        <f>Table2[[#This Row],[Apyvarta]]-Table2[[#This Row],[Ne-atlyginimų sąnaudos]]+Table2[[#This Row],[Fiks ir pelno mokestis]]</f>
        <v>1969548.28</v>
      </c>
    </row>
    <row r="236" spans="1:26" hidden="1" x14ac:dyDescent="0.2">
      <c r="A236" s="5" t="s">
        <v>232</v>
      </c>
      <c r="B236" s="5" t="s">
        <v>1504</v>
      </c>
      <c r="C236" s="5">
        <v>2019</v>
      </c>
      <c r="D236" s="5" t="s">
        <v>1721</v>
      </c>
      <c r="E236" s="5" t="s">
        <v>1721</v>
      </c>
      <c r="F236" s="5" t="s">
        <v>1721</v>
      </c>
      <c r="G236" s="5" t="s">
        <v>73</v>
      </c>
      <c r="H236" s="5" t="s">
        <v>1721</v>
      </c>
      <c r="I236" s="5" t="s">
        <v>1721</v>
      </c>
      <c r="J236" s="5" t="s">
        <v>1721</v>
      </c>
      <c r="K236" s="5" t="s">
        <v>1721</v>
      </c>
      <c r="L236" s="5" t="s">
        <v>1721</v>
      </c>
      <c r="M236" s="9">
        <v>21</v>
      </c>
      <c r="N236" s="6">
        <v>0</v>
      </c>
      <c r="O236" s="9">
        <v>2194</v>
      </c>
      <c r="P236" s="6">
        <v>0</v>
      </c>
      <c r="Q236" s="9">
        <f>Table2[[#This Row],[Atlyginimo vidurkis]]*Table2[[#This Row],[Darbuotojų skaičius]]*12</f>
        <v>552888</v>
      </c>
      <c r="R236" s="49">
        <v>0</v>
      </c>
      <c r="S236" s="9">
        <v>7511674</v>
      </c>
      <c r="T236" s="6">
        <v>0</v>
      </c>
      <c r="U236" s="9">
        <f>IF(Table2[[#This Row],[DU sąnaudos]]=0,0,Table2[[#This Row],[Apyvarta]]-Table2[[#This Row],[DU sąnaudos]]-Table2[[#This Row],[Pelnas]])</f>
        <v>6657005</v>
      </c>
      <c r="V236" s="49">
        <v>0</v>
      </c>
      <c r="W236" s="9">
        <v>301781</v>
      </c>
      <c r="X236" s="6">
        <v>0</v>
      </c>
      <c r="Y236" s="8">
        <f>Table2[[#This Row],[DU sąnaudos]]*0.43</f>
        <v>237741.84</v>
      </c>
      <c r="Z236" s="8">
        <f>Table2[[#This Row],[Apyvarta]]-Table2[[#This Row],[Ne-atlyginimų sąnaudos]]+Table2[[#This Row],[Fiks ir pelno mokestis]]</f>
        <v>1092410.8400000001</v>
      </c>
    </row>
    <row r="237" spans="1:26" hidden="1" x14ac:dyDescent="0.2">
      <c r="A237" s="5" t="s">
        <v>232</v>
      </c>
      <c r="B237" s="5" t="s">
        <v>1504</v>
      </c>
      <c r="C237" s="5">
        <v>2020</v>
      </c>
      <c r="D237" s="5" t="s">
        <v>1721</v>
      </c>
      <c r="E237" s="5" t="s">
        <v>1721</v>
      </c>
      <c r="F237" s="5" t="s">
        <v>1721</v>
      </c>
      <c r="G237" s="5" t="s">
        <v>73</v>
      </c>
      <c r="H237" s="5" t="s">
        <v>1721</v>
      </c>
      <c r="I237" s="5" t="s">
        <v>1721</v>
      </c>
      <c r="J237" s="5" t="s">
        <v>1721</v>
      </c>
      <c r="K237" s="5" t="s">
        <v>1721</v>
      </c>
      <c r="L237" s="5" t="s">
        <v>1721</v>
      </c>
      <c r="M237" s="9">
        <v>19</v>
      </c>
      <c r="N237" s="6">
        <f>IFERROR(Table2[[#This Row],[Darbuotojų skaičius]]/M236-1,0)</f>
        <v>-9.5238095238095233E-2</v>
      </c>
      <c r="O237" s="9">
        <v>2559</v>
      </c>
      <c r="P237" s="6">
        <v>0.16636280765724701</v>
      </c>
      <c r="Q237" s="9">
        <f>Table2[[#This Row],[Atlyginimo vidurkis]]*Table2[[#This Row],[Darbuotojų skaičius]]*12</f>
        <v>583452</v>
      </c>
      <c r="R237" s="49">
        <f>IFERROR(Table2[[#This Row],[DU sąnaudos]]/Q236-1,0)</f>
        <v>5.5280635499413977E-2</v>
      </c>
      <c r="S237" s="9">
        <v>8107694</v>
      </c>
      <c r="T237" s="6">
        <v>7.9345828905780458E-2</v>
      </c>
      <c r="U237" s="9">
        <f>IF(Table2[[#This Row],[DU sąnaudos]]=0,0,Table2[[#This Row],[Apyvarta]]-Table2[[#This Row],[DU sąnaudos]]-Table2[[#This Row],[Pelnas]])</f>
        <v>7246153</v>
      </c>
      <c r="V237" s="49">
        <f>IFERROR(Table2[[#This Row],[Ne-atlyginimų sąnaudos]]/U236-1,0)</f>
        <v>8.8500459290626887E-2</v>
      </c>
      <c r="W237" s="9">
        <v>278089</v>
      </c>
      <c r="X237" s="6">
        <v>-7.8507261888588031E-2</v>
      </c>
      <c r="Y237" s="8">
        <f>Table2[[#This Row],[DU sąnaudos]]*0.43</f>
        <v>250884.36</v>
      </c>
      <c r="Z237" s="8">
        <f>Table2[[#This Row],[Apyvarta]]-Table2[[#This Row],[Ne-atlyginimų sąnaudos]]+Table2[[#This Row],[Fiks ir pelno mokestis]]</f>
        <v>1112425.3599999999</v>
      </c>
    </row>
    <row r="238" spans="1:26" hidden="1" x14ac:dyDescent="0.2">
      <c r="A238" s="5" t="s">
        <v>232</v>
      </c>
      <c r="B238" s="5" t="s">
        <v>1504</v>
      </c>
      <c r="C238" s="5">
        <v>2021</v>
      </c>
      <c r="D238" s="5" t="s">
        <v>1721</v>
      </c>
      <c r="E238" s="5" t="s">
        <v>1721</v>
      </c>
      <c r="F238" s="5" t="s">
        <v>1721</v>
      </c>
      <c r="G238" s="5" t="s">
        <v>73</v>
      </c>
      <c r="H238" s="5" t="s">
        <v>1721</v>
      </c>
      <c r="I238" s="5" t="s">
        <v>1721</v>
      </c>
      <c r="J238" s="5" t="s">
        <v>1721</v>
      </c>
      <c r="K238" s="5" t="s">
        <v>1721</v>
      </c>
      <c r="L238" s="5" t="s">
        <v>1721</v>
      </c>
      <c r="M238" s="9">
        <v>20</v>
      </c>
      <c r="N238" s="6">
        <f>IFERROR(Table2[[#This Row],[Darbuotojų skaičius]]/M237-1,0)</f>
        <v>5.2631578947368363E-2</v>
      </c>
      <c r="O238" s="9">
        <v>2794</v>
      </c>
      <c r="P238" s="6">
        <v>9.1832747166862072E-2</v>
      </c>
      <c r="Q238" s="9">
        <f>Table2[[#This Row],[Atlyginimo vidurkis]]*Table2[[#This Row],[Darbuotojų skaičius]]*12</f>
        <v>670560</v>
      </c>
      <c r="R238" s="49">
        <f>IFERROR(Table2[[#This Row],[DU sąnaudos]]/Q237-1,0)</f>
        <v>0.14929762859669693</v>
      </c>
      <c r="S238" s="9">
        <v>9433509</v>
      </c>
      <c r="T238" s="6">
        <v>0.16352553512749729</v>
      </c>
      <c r="U238" s="9">
        <f>IF(Table2[[#This Row],[DU sąnaudos]]=0,0,Table2[[#This Row],[Apyvarta]]-Table2[[#This Row],[DU sąnaudos]]-Table2[[#This Row],[Pelnas]])</f>
        <v>8440390</v>
      </c>
      <c r="V238" s="49">
        <f>IFERROR(Table2[[#This Row],[Ne-atlyginimų sąnaudos]]/U237-1,0)</f>
        <v>0.16480979631536896</v>
      </c>
      <c r="W238" s="9">
        <v>322559</v>
      </c>
      <c r="X238" s="6">
        <v>0.1599128336611659</v>
      </c>
      <c r="Y238" s="8">
        <f>Table2[[#This Row],[DU sąnaudos]]*0.43</f>
        <v>288340.8</v>
      </c>
      <c r="Z238" s="8">
        <f>Table2[[#This Row],[Apyvarta]]-Table2[[#This Row],[Ne-atlyginimų sąnaudos]]+Table2[[#This Row],[Fiks ir pelno mokestis]]</f>
        <v>1281459.8</v>
      </c>
    </row>
    <row r="239" spans="1:26" hidden="1" x14ac:dyDescent="0.2">
      <c r="A239" s="5" t="s">
        <v>232</v>
      </c>
      <c r="B239" s="5" t="s">
        <v>1504</v>
      </c>
      <c r="C239" s="5">
        <v>2022</v>
      </c>
      <c r="D239" s="5" t="s">
        <v>1721</v>
      </c>
      <c r="E239" s="5" t="s">
        <v>1721</v>
      </c>
      <c r="F239" s="5" t="s">
        <v>1721</v>
      </c>
      <c r="G239" s="5" t="s">
        <v>73</v>
      </c>
      <c r="H239" s="5" t="s">
        <v>1721</v>
      </c>
      <c r="I239" s="5" t="s">
        <v>1721</v>
      </c>
      <c r="J239" s="5" t="s">
        <v>1721</v>
      </c>
      <c r="K239" s="5" t="s">
        <v>1721</v>
      </c>
      <c r="L239" s="5" t="s">
        <v>1721</v>
      </c>
      <c r="M239" s="9">
        <v>22</v>
      </c>
      <c r="N239" s="6">
        <f>IFERROR(Table2[[#This Row],[Darbuotojų skaičius]]/M238-1,0)</f>
        <v>0.10000000000000009</v>
      </c>
      <c r="O239" s="9">
        <v>2988</v>
      </c>
      <c r="P239" s="6">
        <v>6.9434502505368645E-2</v>
      </c>
      <c r="Q239" s="9">
        <f>Table2[[#This Row],[Atlyginimo vidurkis]]*Table2[[#This Row],[Darbuotojų skaičius]]*12</f>
        <v>788832</v>
      </c>
      <c r="R239" s="49">
        <f>IFERROR(Table2[[#This Row],[DU sąnaudos]]/Q238-1,0)</f>
        <v>0.17637795275590551</v>
      </c>
      <c r="S239" s="9">
        <v>9608231</v>
      </c>
      <c r="T239" s="6">
        <v>1.8521421880235641E-2</v>
      </c>
      <c r="U239" s="9">
        <f>IF(Table2[[#This Row],[DU sąnaudos]]=0,0,Table2[[#This Row],[Apyvarta]]-Table2[[#This Row],[DU sąnaudos]]-Table2[[#This Row],[Pelnas]])</f>
        <v>8684419</v>
      </c>
      <c r="V239" s="49">
        <f>IFERROR(Table2[[#This Row],[Ne-atlyginimų sąnaudos]]/U238-1,0)</f>
        <v>2.8912052642117159E-2</v>
      </c>
      <c r="W239" s="9">
        <v>134980</v>
      </c>
      <c r="X239" s="6">
        <v>-0.58153392092609413</v>
      </c>
      <c r="Y239" s="8">
        <f>Table2[[#This Row],[DU sąnaudos]]*0.43</f>
        <v>339197.76</v>
      </c>
      <c r="Z239" s="8">
        <f>Table2[[#This Row],[Apyvarta]]-Table2[[#This Row],[Ne-atlyginimų sąnaudos]]+Table2[[#This Row],[Fiks ir pelno mokestis]]</f>
        <v>1263009.76</v>
      </c>
    </row>
    <row r="240" spans="1:26" hidden="1" x14ac:dyDescent="0.2">
      <c r="A240" s="5" t="s">
        <v>232</v>
      </c>
      <c r="B240" s="5" t="s">
        <v>1504</v>
      </c>
      <c r="C240" s="5">
        <v>2023</v>
      </c>
      <c r="D240" s="5" t="s">
        <v>1721</v>
      </c>
      <c r="E240" s="5" t="s">
        <v>1721</v>
      </c>
      <c r="F240" s="5" t="s">
        <v>1721</v>
      </c>
      <c r="G240" s="5" t="s">
        <v>73</v>
      </c>
      <c r="H240" s="5" t="s">
        <v>1721</v>
      </c>
      <c r="I240" s="5" t="s">
        <v>1721</v>
      </c>
      <c r="J240" s="5" t="s">
        <v>1721</v>
      </c>
      <c r="K240" s="5" t="s">
        <v>1721</v>
      </c>
      <c r="L240" s="5" t="s">
        <v>1721</v>
      </c>
      <c r="M240" s="9">
        <v>22</v>
      </c>
      <c r="N240" s="6">
        <f>IFERROR(Table2[[#This Row],[Darbuotojų skaičius]]/M239-1,0)</f>
        <v>0</v>
      </c>
      <c r="O240" s="9">
        <v>3492</v>
      </c>
      <c r="P240" s="6">
        <v>0.16867469879518079</v>
      </c>
      <c r="Q240" s="9">
        <f>Table2[[#This Row],[Atlyginimo vidurkis]]*Table2[[#This Row],[Darbuotojų skaičius]]*12</f>
        <v>921888</v>
      </c>
      <c r="R240" s="49">
        <f>IFERROR(Table2[[#This Row],[DU sąnaudos]]/Q239-1,0)</f>
        <v>0.16867469879518082</v>
      </c>
      <c r="S240" s="9">
        <v>10925676</v>
      </c>
      <c r="T240" s="6">
        <v>0.137116291229884</v>
      </c>
      <c r="U240" s="9">
        <f>IF(Table2[[#This Row],[DU sąnaudos]]=0,0,Table2[[#This Row],[Apyvarta]]-Table2[[#This Row],[DU sąnaudos]]-Table2[[#This Row],[Pelnas]])</f>
        <v>9879843</v>
      </c>
      <c r="V240" s="49">
        <f>IFERROR(Table2[[#This Row],[Ne-atlyginimų sąnaudos]]/U239-1,0)</f>
        <v>0.13765158037630387</v>
      </c>
      <c r="W240" s="9">
        <v>123945</v>
      </c>
      <c r="X240" s="6">
        <v>-8.1752852274410981E-2</v>
      </c>
      <c r="Y240" s="8">
        <f>Table2[[#This Row],[DU sąnaudos]]*0.43</f>
        <v>396411.83999999997</v>
      </c>
      <c r="Z240" s="8">
        <f>Table2[[#This Row],[Apyvarta]]-Table2[[#This Row],[Ne-atlyginimų sąnaudos]]+Table2[[#This Row],[Fiks ir pelno mokestis]]</f>
        <v>1442244.8399999999</v>
      </c>
    </row>
    <row r="241" spans="1:26" hidden="1" x14ac:dyDescent="0.2">
      <c r="A241" s="5" t="s">
        <v>232</v>
      </c>
      <c r="B241" s="5" t="s">
        <v>1504</v>
      </c>
      <c r="C241" s="5">
        <v>2024</v>
      </c>
      <c r="D241" s="5" t="s">
        <v>1721</v>
      </c>
      <c r="E241" s="5" t="s">
        <v>1721</v>
      </c>
      <c r="F241" s="5" t="s">
        <v>1721</v>
      </c>
      <c r="G241" s="5" t="s">
        <v>73</v>
      </c>
      <c r="H241" s="5" t="s">
        <v>1721</v>
      </c>
      <c r="I241" s="5" t="s">
        <v>1721</v>
      </c>
      <c r="J241" s="5" t="s">
        <v>1721</v>
      </c>
      <c r="K241" s="5" t="s">
        <v>1721</v>
      </c>
      <c r="L241" s="5" t="s">
        <v>1721</v>
      </c>
      <c r="M241" s="9">
        <v>24</v>
      </c>
      <c r="N241" s="6">
        <f>IFERROR(Table2[[#This Row],[Darbuotojų skaičius]]/M240-1,0)</f>
        <v>9.0909090909090828E-2</v>
      </c>
      <c r="O241" s="9">
        <v>3663</v>
      </c>
      <c r="P241" s="6">
        <v>4.8969072164948502E-2</v>
      </c>
      <c r="Q241" s="9">
        <f>Table2[[#This Row],[Atlyginimo vidurkis]]*Table2[[#This Row],[Darbuotojų skaičius]]*12</f>
        <v>1054944</v>
      </c>
      <c r="R241" s="49">
        <f>IFERROR(Table2[[#This Row],[DU sąnaudos]]/Q240-1,0)</f>
        <v>0.14432989690721643</v>
      </c>
      <c r="S241" s="9">
        <v>10632287</v>
      </c>
      <c r="T241" s="6">
        <v>-2.6853166797184861E-2</v>
      </c>
      <c r="U241" s="9">
        <f>IF(Table2[[#This Row],[DU sąnaudos]]=0,0,Table2[[#This Row],[Apyvarta]]-Table2[[#This Row],[DU sąnaudos]]-Table2[[#This Row],[Pelnas]])</f>
        <v>9329304</v>
      </c>
      <c r="V241" s="49">
        <f>IFERROR(Table2[[#This Row],[Ne-atlyginimų sąnaudos]]/U240-1,0)</f>
        <v>-5.5723456334275778E-2</v>
      </c>
      <c r="W241" s="9">
        <v>248039</v>
      </c>
      <c r="X241" s="6">
        <v>1.001202146113195</v>
      </c>
      <c r="Y241" s="8">
        <f>Table2[[#This Row],[DU sąnaudos]]*0.43</f>
        <v>453625.92</v>
      </c>
      <c r="Z241" s="8">
        <f>Table2[[#This Row],[Apyvarta]]-Table2[[#This Row],[Ne-atlyginimų sąnaudos]]+Table2[[#This Row],[Fiks ir pelno mokestis]]</f>
        <v>1756608.92</v>
      </c>
    </row>
    <row r="242" spans="1:26" x14ac:dyDescent="0.2">
      <c r="A242" s="5" t="s">
        <v>566</v>
      </c>
      <c r="B242" s="5" t="s">
        <v>1507</v>
      </c>
      <c r="C242" s="5">
        <v>2019</v>
      </c>
      <c r="D242" s="5" t="s">
        <v>1721</v>
      </c>
      <c r="E242" s="5" t="s">
        <v>1721</v>
      </c>
      <c r="F242" s="5" t="s">
        <v>1721</v>
      </c>
      <c r="G242" s="5" t="s">
        <v>1721</v>
      </c>
      <c r="H242" s="5" t="s">
        <v>1721</v>
      </c>
      <c r="I242" s="5" t="s">
        <v>1721</v>
      </c>
      <c r="J242" s="5" t="s">
        <v>300</v>
      </c>
      <c r="K242" s="5" t="s">
        <v>1721</v>
      </c>
      <c r="L242" s="5" t="s">
        <v>1721</v>
      </c>
      <c r="M242" s="9">
        <v>18</v>
      </c>
      <c r="N242" s="6">
        <v>0</v>
      </c>
      <c r="O242" s="9">
        <v>2233</v>
      </c>
      <c r="P242" s="6">
        <v>0</v>
      </c>
      <c r="Q242" s="9">
        <f>Table2[[#This Row],[Atlyginimo vidurkis]]*Table2[[#This Row],[Darbuotojų skaičius]]*12</f>
        <v>482328</v>
      </c>
      <c r="R242" s="49">
        <v>0</v>
      </c>
      <c r="S242" s="9">
        <v>1281358</v>
      </c>
      <c r="T242" s="6">
        <v>0</v>
      </c>
      <c r="U242" s="9">
        <f>IF(Table2[[#This Row],[DU sąnaudos]]=0,0,Table2[[#This Row],[Apyvarta]]-Table2[[#This Row],[DU sąnaudos]]-Table2[[#This Row],[Pelnas]])</f>
        <v>615947</v>
      </c>
      <c r="V242" s="49">
        <v>0</v>
      </c>
      <c r="W242" s="9">
        <v>183083</v>
      </c>
      <c r="X242" s="6">
        <v>0</v>
      </c>
      <c r="Y242" s="8">
        <f>Table2[[#This Row],[DU sąnaudos]]*0.43</f>
        <v>207401.04</v>
      </c>
      <c r="Z242" s="8">
        <f>Table2[[#This Row],[Apyvarta]]-Table2[[#This Row],[Ne-atlyginimų sąnaudos]]+Table2[[#This Row],[Fiks ir pelno mokestis]]</f>
        <v>872812.04</v>
      </c>
    </row>
    <row r="243" spans="1:26" x14ac:dyDescent="0.2">
      <c r="A243" s="5" t="s">
        <v>566</v>
      </c>
      <c r="B243" s="5" t="s">
        <v>1507</v>
      </c>
      <c r="C243" s="5">
        <v>2020</v>
      </c>
      <c r="D243" s="5" t="s">
        <v>1721</v>
      </c>
      <c r="E243" s="5" t="s">
        <v>1721</v>
      </c>
      <c r="F243" s="5" t="s">
        <v>1721</v>
      </c>
      <c r="G243" s="5" t="s">
        <v>1721</v>
      </c>
      <c r="H243" s="5" t="s">
        <v>1721</v>
      </c>
      <c r="I243" s="5" t="s">
        <v>1721</v>
      </c>
      <c r="J243" s="5" t="s">
        <v>300</v>
      </c>
      <c r="K243" s="5" t="s">
        <v>1721</v>
      </c>
      <c r="L243" s="5" t="s">
        <v>1721</v>
      </c>
      <c r="M243" s="9">
        <v>15</v>
      </c>
      <c r="N243" s="6">
        <f>IFERROR(Table2[[#This Row],[Darbuotojų skaičius]]/M242-1,0)</f>
        <v>-0.16666666666666663</v>
      </c>
      <c r="O243" s="9">
        <v>2502</v>
      </c>
      <c r="P243" s="6">
        <v>0.12046574115539641</v>
      </c>
      <c r="Q243" s="9">
        <f>Table2[[#This Row],[Atlyginimo vidurkis]]*Table2[[#This Row],[Darbuotojų skaičius]]*12</f>
        <v>450360</v>
      </c>
      <c r="R243" s="49">
        <f>IFERROR(Table2[[#This Row],[DU sąnaudos]]/Q242-1,0)</f>
        <v>-6.6278549037169676E-2</v>
      </c>
      <c r="S243" s="9">
        <v>1148506</v>
      </c>
      <c r="T243" s="6">
        <v>-0.1036806263354971</v>
      </c>
      <c r="U243" s="9">
        <f>IF(Table2[[#This Row],[DU sąnaudos]]=0,0,Table2[[#This Row],[Apyvarta]]-Table2[[#This Row],[DU sąnaudos]]-Table2[[#This Row],[Pelnas]])</f>
        <v>454263</v>
      </c>
      <c r="V243" s="49">
        <f>IFERROR(Table2[[#This Row],[Ne-atlyginimų sąnaudos]]/U242-1,0)</f>
        <v>-0.26249661090970489</v>
      </c>
      <c r="W243" s="9">
        <v>243883</v>
      </c>
      <c r="X243" s="6">
        <v>0.33208981718674041</v>
      </c>
      <c r="Y243" s="8">
        <f>Table2[[#This Row],[DU sąnaudos]]*0.43</f>
        <v>193654.8</v>
      </c>
      <c r="Z243" s="8">
        <f>Table2[[#This Row],[Apyvarta]]-Table2[[#This Row],[Ne-atlyginimų sąnaudos]]+Table2[[#This Row],[Fiks ir pelno mokestis]]</f>
        <v>887897.8</v>
      </c>
    </row>
    <row r="244" spans="1:26" x14ac:dyDescent="0.2">
      <c r="A244" s="5" t="s">
        <v>566</v>
      </c>
      <c r="B244" s="5" t="s">
        <v>1507</v>
      </c>
      <c r="C244" s="5">
        <v>2021</v>
      </c>
      <c r="D244" s="5" t="s">
        <v>1721</v>
      </c>
      <c r="E244" s="5" t="s">
        <v>1721</v>
      </c>
      <c r="F244" s="5" t="s">
        <v>1721</v>
      </c>
      <c r="G244" s="5" t="s">
        <v>1721</v>
      </c>
      <c r="H244" s="5" t="s">
        <v>1721</v>
      </c>
      <c r="I244" s="5" t="s">
        <v>1721</v>
      </c>
      <c r="J244" s="5" t="s">
        <v>300</v>
      </c>
      <c r="K244" s="5" t="s">
        <v>1721</v>
      </c>
      <c r="L244" s="5" t="s">
        <v>1721</v>
      </c>
      <c r="M244" s="9">
        <v>13</v>
      </c>
      <c r="N244" s="6">
        <f>IFERROR(Table2[[#This Row],[Darbuotojų skaičius]]/M243-1,0)</f>
        <v>-0.1333333333333333</v>
      </c>
      <c r="O244" s="9">
        <v>2615</v>
      </c>
      <c r="P244" s="6">
        <v>4.5163868904876107E-2</v>
      </c>
      <c r="Q244" s="9">
        <f>Table2[[#This Row],[Atlyginimo vidurkis]]*Table2[[#This Row],[Darbuotojų skaičius]]*12</f>
        <v>407940</v>
      </c>
      <c r="R244" s="49">
        <f>IFERROR(Table2[[#This Row],[DU sąnaudos]]/Q243-1,0)</f>
        <v>-9.4191313615774042E-2</v>
      </c>
      <c r="S244" s="9">
        <v>1200820</v>
      </c>
      <c r="T244" s="6">
        <v>4.5549609666819313E-2</v>
      </c>
      <c r="U244" s="9">
        <f>IF(Table2[[#This Row],[DU sąnaudos]]=0,0,Table2[[#This Row],[Apyvarta]]-Table2[[#This Row],[DU sąnaudos]]-Table2[[#This Row],[Pelnas]])</f>
        <v>631887</v>
      </c>
      <c r="V244" s="49">
        <f>IFERROR(Table2[[#This Row],[Ne-atlyginimų sąnaudos]]/U243-1,0)</f>
        <v>0.39101577720395464</v>
      </c>
      <c r="W244" s="9">
        <v>160993</v>
      </c>
      <c r="X244" s="6">
        <v>-0.33987608812422349</v>
      </c>
      <c r="Y244" s="8">
        <f>Table2[[#This Row],[DU sąnaudos]]*0.43</f>
        <v>175414.2</v>
      </c>
      <c r="Z244" s="8">
        <f>Table2[[#This Row],[Apyvarta]]-Table2[[#This Row],[Ne-atlyginimų sąnaudos]]+Table2[[#This Row],[Fiks ir pelno mokestis]]</f>
        <v>744347.2</v>
      </c>
    </row>
    <row r="245" spans="1:26" x14ac:dyDescent="0.2">
      <c r="A245" s="5" t="s">
        <v>566</v>
      </c>
      <c r="B245" s="5" t="s">
        <v>1507</v>
      </c>
      <c r="C245" s="5">
        <v>2022</v>
      </c>
      <c r="D245" s="5" t="s">
        <v>1721</v>
      </c>
      <c r="E245" s="5" t="s">
        <v>1721</v>
      </c>
      <c r="F245" s="5" t="s">
        <v>1721</v>
      </c>
      <c r="G245" s="5" t="s">
        <v>1721</v>
      </c>
      <c r="H245" s="5" t="s">
        <v>1721</v>
      </c>
      <c r="I245" s="5" t="s">
        <v>1721</v>
      </c>
      <c r="J245" s="5" t="s">
        <v>300</v>
      </c>
      <c r="K245" s="5" t="s">
        <v>1721</v>
      </c>
      <c r="L245" s="5" t="s">
        <v>1721</v>
      </c>
      <c r="M245" s="9">
        <v>15</v>
      </c>
      <c r="N245" s="6">
        <f>IFERROR(Table2[[#This Row],[Darbuotojų skaičius]]/M244-1,0)</f>
        <v>0.15384615384615374</v>
      </c>
      <c r="O245" s="9">
        <v>2799</v>
      </c>
      <c r="P245" s="6">
        <v>7.0363288718929162E-2</v>
      </c>
      <c r="Q245" s="9">
        <f>Table2[[#This Row],[Atlyginimo vidurkis]]*Table2[[#This Row],[Darbuotojų skaičius]]*12</f>
        <v>503820</v>
      </c>
      <c r="R245" s="49">
        <f>IFERROR(Table2[[#This Row],[DU sąnaudos]]/Q244-1,0)</f>
        <v>0.23503456390645683</v>
      </c>
      <c r="S245" s="9">
        <v>1212715</v>
      </c>
      <c r="T245" s="6">
        <v>9.9057310837593615E-3</v>
      </c>
      <c r="U245" s="9">
        <f>IF(Table2[[#This Row],[DU sąnaudos]]=0,0,Table2[[#This Row],[Apyvarta]]-Table2[[#This Row],[DU sąnaudos]]-Table2[[#This Row],[Pelnas]])</f>
        <v>666220</v>
      </c>
      <c r="V245" s="49">
        <f>IFERROR(Table2[[#This Row],[Ne-atlyginimų sąnaudos]]/U244-1,0)</f>
        <v>5.4334081884894081E-2</v>
      </c>
      <c r="W245" s="9">
        <v>42675</v>
      </c>
      <c r="X245" s="6">
        <v>-0.73492636325802985</v>
      </c>
      <c r="Y245" s="8">
        <f>Table2[[#This Row],[DU sąnaudos]]*0.43</f>
        <v>216642.6</v>
      </c>
      <c r="Z245" s="8">
        <f>Table2[[#This Row],[Apyvarta]]-Table2[[#This Row],[Ne-atlyginimų sąnaudos]]+Table2[[#This Row],[Fiks ir pelno mokestis]]</f>
        <v>763137.6</v>
      </c>
    </row>
    <row r="246" spans="1:26" x14ac:dyDescent="0.2">
      <c r="A246" s="5" t="s">
        <v>566</v>
      </c>
      <c r="B246" s="5" t="s">
        <v>1507</v>
      </c>
      <c r="C246" s="5">
        <v>2023</v>
      </c>
      <c r="D246" s="5" t="s">
        <v>1721</v>
      </c>
      <c r="E246" s="5" t="s">
        <v>1721</v>
      </c>
      <c r="F246" s="5" t="s">
        <v>1721</v>
      </c>
      <c r="G246" s="5" t="s">
        <v>1721</v>
      </c>
      <c r="H246" s="5" t="s">
        <v>1721</v>
      </c>
      <c r="I246" s="5" t="s">
        <v>1721</v>
      </c>
      <c r="J246" s="5" t="s">
        <v>300</v>
      </c>
      <c r="K246" s="5" t="s">
        <v>1721</v>
      </c>
      <c r="L246" s="5" t="s">
        <v>1721</v>
      </c>
      <c r="M246" s="9">
        <v>15</v>
      </c>
      <c r="N246" s="6">
        <f>IFERROR(Table2[[#This Row],[Darbuotojų skaičius]]/M245-1,0)</f>
        <v>0</v>
      </c>
      <c r="O246" s="9">
        <v>3015</v>
      </c>
      <c r="P246" s="6">
        <v>7.7170418006430763E-2</v>
      </c>
      <c r="Q246" s="9">
        <f>Table2[[#This Row],[Atlyginimo vidurkis]]*Table2[[#This Row],[Darbuotojų skaičius]]*12</f>
        <v>542700</v>
      </c>
      <c r="R246" s="49">
        <f>IFERROR(Table2[[#This Row],[DU sąnaudos]]/Q245-1,0)</f>
        <v>7.7170418006430763E-2</v>
      </c>
      <c r="S246" s="9">
        <v>1844085</v>
      </c>
      <c r="T246" s="6">
        <v>0.52062520872587537</v>
      </c>
      <c r="U246" s="9">
        <f>IF(Table2[[#This Row],[DU sąnaudos]]=0,0,Table2[[#This Row],[Apyvarta]]-Table2[[#This Row],[DU sąnaudos]]-Table2[[#This Row],[Pelnas]])</f>
        <v>1092912</v>
      </c>
      <c r="V246" s="49">
        <f>IFERROR(Table2[[#This Row],[Ne-atlyginimų sąnaudos]]/U245-1,0)</f>
        <v>0.64046711296568692</v>
      </c>
      <c r="W246" s="9">
        <v>208473</v>
      </c>
      <c r="X246" s="6">
        <v>3.8851318101933221</v>
      </c>
      <c r="Y246" s="8">
        <f>Table2[[#This Row],[DU sąnaudos]]*0.43</f>
        <v>233361</v>
      </c>
      <c r="Z246" s="8">
        <f>Table2[[#This Row],[Apyvarta]]-Table2[[#This Row],[Ne-atlyginimų sąnaudos]]+Table2[[#This Row],[Fiks ir pelno mokestis]]</f>
        <v>984534</v>
      </c>
    </row>
    <row r="247" spans="1:26" x14ac:dyDescent="0.2">
      <c r="A247" s="5" t="s">
        <v>566</v>
      </c>
      <c r="B247" s="5" t="s">
        <v>1507</v>
      </c>
      <c r="C247" s="5">
        <v>2024</v>
      </c>
      <c r="D247" s="5" t="s">
        <v>1721</v>
      </c>
      <c r="E247" s="5" t="s">
        <v>1721</v>
      </c>
      <c r="F247" s="5" t="s">
        <v>1721</v>
      </c>
      <c r="G247" s="5" t="s">
        <v>1721</v>
      </c>
      <c r="H247" s="5" t="s">
        <v>1721</v>
      </c>
      <c r="I247" s="5" t="s">
        <v>1721</v>
      </c>
      <c r="J247" s="5" t="s">
        <v>300</v>
      </c>
      <c r="K247" s="5" t="s">
        <v>1721</v>
      </c>
      <c r="L247" s="5" t="s">
        <v>1721</v>
      </c>
      <c r="M247" s="9">
        <v>15</v>
      </c>
      <c r="N247" s="6">
        <f>IFERROR(Table2[[#This Row],[Darbuotojų skaičius]]/M246-1,0)</f>
        <v>0</v>
      </c>
      <c r="O247" s="9">
        <v>3176</v>
      </c>
      <c r="P247" s="6">
        <v>5.3399668325041498E-2</v>
      </c>
      <c r="Q247" s="9">
        <f>Table2[[#This Row],[Atlyginimo vidurkis]]*Table2[[#This Row],[Darbuotojų skaičius]]*12</f>
        <v>571680</v>
      </c>
      <c r="R247" s="49">
        <f>IFERROR(Table2[[#This Row],[DU sąnaudos]]/Q246-1,0)</f>
        <v>5.3399668325041505E-2</v>
      </c>
      <c r="S247" s="9">
        <v>1572640</v>
      </c>
      <c r="T247" s="6">
        <v>-0.1471976617129904</v>
      </c>
      <c r="U247" s="9">
        <f>IF(Table2[[#This Row],[DU sąnaudos]]=0,0,Table2[[#This Row],[Apyvarta]]-Table2[[#This Row],[DU sąnaudos]]-Table2[[#This Row],[Pelnas]])</f>
        <v>955853</v>
      </c>
      <c r="V247" s="49">
        <f>IFERROR(Table2[[#This Row],[Ne-atlyginimų sąnaudos]]/U246-1,0)</f>
        <v>-0.12540716910419136</v>
      </c>
      <c r="W247" s="9">
        <v>45107</v>
      </c>
      <c r="X247" s="6">
        <v>-0.78363145347359131</v>
      </c>
      <c r="Y247" s="8">
        <f>Table2[[#This Row],[DU sąnaudos]]*0.43</f>
        <v>245822.4</v>
      </c>
      <c r="Z247" s="8">
        <f>Table2[[#This Row],[Apyvarta]]-Table2[[#This Row],[Ne-atlyginimų sąnaudos]]+Table2[[#This Row],[Fiks ir pelno mokestis]]</f>
        <v>862609.4</v>
      </c>
    </row>
    <row r="248" spans="1:26" x14ac:dyDescent="0.2">
      <c r="A248" s="5" t="s">
        <v>762</v>
      </c>
      <c r="B248" s="5" t="s">
        <v>1510</v>
      </c>
      <c r="C248" s="5">
        <v>2019</v>
      </c>
      <c r="D248" s="5" t="s">
        <v>1721</v>
      </c>
      <c r="E248" s="5" t="s">
        <v>1721</v>
      </c>
      <c r="F248" s="5" t="s">
        <v>1726</v>
      </c>
      <c r="G248" s="5" t="s">
        <v>1721</v>
      </c>
      <c r="H248" s="5" t="s">
        <v>1721</v>
      </c>
      <c r="I248" s="5" t="s">
        <v>280</v>
      </c>
      <c r="J248" s="5" t="s">
        <v>300</v>
      </c>
      <c r="K248" s="5" t="s">
        <v>193</v>
      </c>
      <c r="L248" s="5" t="s">
        <v>1721</v>
      </c>
      <c r="M248" s="9">
        <v>5</v>
      </c>
      <c r="N248" s="6">
        <v>0</v>
      </c>
      <c r="O248" s="9">
        <v>1572</v>
      </c>
      <c r="P248" s="6">
        <v>0</v>
      </c>
      <c r="Q248" s="9">
        <f>Table2[[#This Row],[Atlyginimo vidurkis]]*Table2[[#This Row],[Darbuotojų skaičius]]*12</f>
        <v>94320</v>
      </c>
      <c r="R248" s="49">
        <v>0</v>
      </c>
      <c r="S248" s="9">
        <v>135593</v>
      </c>
      <c r="T248" s="6">
        <v>0</v>
      </c>
      <c r="U248" s="9">
        <f>IF(Table2[[#This Row],[DU sąnaudos]]=0,0,Table2[[#This Row],[Apyvarta]]-Table2[[#This Row],[DU sąnaudos]]-Table2[[#This Row],[Pelnas]])</f>
        <v>28601</v>
      </c>
      <c r="V248" s="49">
        <v>0</v>
      </c>
      <c r="W248" s="9">
        <v>12672</v>
      </c>
      <c r="X248" s="6">
        <v>0</v>
      </c>
      <c r="Y248" s="8">
        <f>Table2[[#This Row],[DU sąnaudos]]*0.43</f>
        <v>40557.599999999999</v>
      </c>
      <c r="Z248" s="8">
        <f>Table2[[#This Row],[Apyvarta]]-Table2[[#This Row],[Ne-atlyginimų sąnaudos]]+Table2[[#This Row],[Fiks ir pelno mokestis]]</f>
        <v>147549.6</v>
      </c>
    </row>
    <row r="249" spans="1:26" x14ac:dyDescent="0.2">
      <c r="A249" s="5" t="s">
        <v>762</v>
      </c>
      <c r="B249" s="5" t="s">
        <v>1510</v>
      </c>
      <c r="C249" s="5">
        <v>2020</v>
      </c>
      <c r="D249" s="5" t="s">
        <v>1721</v>
      </c>
      <c r="E249" s="5" t="s">
        <v>1721</v>
      </c>
      <c r="F249" s="5" t="s">
        <v>1726</v>
      </c>
      <c r="G249" s="5" t="s">
        <v>1721</v>
      </c>
      <c r="H249" s="5" t="s">
        <v>1721</v>
      </c>
      <c r="I249" s="5" t="s">
        <v>280</v>
      </c>
      <c r="J249" s="5" t="s">
        <v>300</v>
      </c>
      <c r="K249" s="5" t="s">
        <v>193</v>
      </c>
      <c r="L249" s="5" t="s">
        <v>1721</v>
      </c>
      <c r="M249" s="9">
        <v>3</v>
      </c>
      <c r="N249" s="6">
        <f>IFERROR(Table2[[#This Row],[Darbuotojų skaičius]]/M248-1,0)</f>
        <v>-0.4</v>
      </c>
      <c r="O249" s="9">
        <v>2349</v>
      </c>
      <c r="P249" s="6">
        <v>0.49427480916030531</v>
      </c>
      <c r="Q249" s="9">
        <f>Table2[[#This Row],[Atlyginimo vidurkis]]*Table2[[#This Row],[Darbuotojų skaičius]]*12</f>
        <v>84564</v>
      </c>
      <c r="R249" s="49">
        <f>IFERROR(Table2[[#This Row],[DU sąnaudos]]/Q248-1,0)</f>
        <v>-0.10343511450381682</v>
      </c>
      <c r="S249" s="9">
        <v>140132</v>
      </c>
      <c r="T249" s="6">
        <v>3.3475179397166599E-2</v>
      </c>
      <c r="U249" s="9">
        <f>IF(Table2[[#This Row],[DU sąnaudos]]=0,0,Table2[[#This Row],[Apyvarta]]-Table2[[#This Row],[DU sąnaudos]]-Table2[[#This Row],[Pelnas]])</f>
        <v>54835</v>
      </c>
      <c r="V249" s="49">
        <f>IFERROR(Table2[[#This Row],[Ne-atlyginimų sąnaudos]]/U248-1,0)</f>
        <v>0.91724065592112169</v>
      </c>
      <c r="W249" s="9">
        <v>733</v>
      </c>
      <c r="X249" s="6">
        <v>-0.94215593434343436</v>
      </c>
      <c r="Y249" s="8">
        <f>Table2[[#This Row],[DU sąnaudos]]*0.43</f>
        <v>36362.519999999997</v>
      </c>
      <c r="Z249" s="8">
        <f>Table2[[#This Row],[Apyvarta]]-Table2[[#This Row],[Ne-atlyginimų sąnaudos]]+Table2[[#This Row],[Fiks ir pelno mokestis]]</f>
        <v>121659.51999999999</v>
      </c>
    </row>
    <row r="250" spans="1:26" x14ac:dyDescent="0.2">
      <c r="A250" s="5" t="s">
        <v>762</v>
      </c>
      <c r="B250" s="5" t="s">
        <v>1510</v>
      </c>
      <c r="C250" s="5">
        <v>2021</v>
      </c>
      <c r="D250" s="5" t="s">
        <v>1721</v>
      </c>
      <c r="E250" s="5" t="s">
        <v>1721</v>
      </c>
      <c r="F250" s="5" t="s">
        <v>1726</v>
      </c>
      <c r="G250" s="5" t="s">
        <v>1721</v>
      </c>
      <c r="H250" s="5" t="s">
        <v>1721</v>
      </c>
      <c r="I250" s="5" t="s">
        <v>280</v>
      </c>
      <c r="J250" s="5" t="s">
        <v>300</v>
      </c>
      <c r="K250" s="5" t="s">
        <v>193</v>
      </c>
      <c r="L250" s="5" t="s">
        <v>1721</v>
      </c>
      <c r="M250" s="9">
        <v>4</v>
      </c>
      <c r="N250" s="6">
        <f>IFERROR(Table2[[#This Row],[Darbuotojų skaičius]]/M249-1,0)</f>
        <v>0.33333333333333326</v>
      </c>
      <c r="O250" s="9">
        <v>2364</v>
      </c>
      <c r="P250" s="6">
        <v>6.3856960408683614E-3</v>
      </c>
      <c r="Q250" s="9">
        <f>Table2[[#This Row],[Atlyginimo vidurkis]]*Table2[[#This Row],[Darbuotojų skaičius]]*12</f>
        <v>113472</v>
      </c>
      <c r="R250" s="49">
        <f>IFERROR(Table2[[#This Row],[DU sąnaudos]]/Q249-1,0)</f>
        <v>0.34184759472115789</v>
      </c>
      <c r="S250" s="9">
        <v>204229</v>
      </c>
      <c r="T250" s="6">
        <v>0.4574044472354637</v>
      </c>
      <c r="U250" s="9">
        <f>IF(Table2[[#This Row],[DU sąnaudos]]=0,0,Table2[[#This Row],[Apyvarta]]-Table2[[#This Row],[DU sąnaudos]]-Table2[[#This Row],[Pelnas]])</f>
        <v>85102</v>
      </c>
      <c r="V250" s="49">
        <f>IFERROR(Table2[[#This Row],[Ne-atlyginimų sąnaudos]]/U249-1,0)</f>
        <v>0.55196498586669107</v>
      </c>
      <c r="W250" s="9">
        <v>5655</v>
      </c>
      <c r="X250" s="6">
        <v>6.7148703956343789</v>
      </c>
      <c r="Y250" s="8">
        <f>Table2[[#This Row],[DU sąnaudos]]*0.43</f>
        <v>48792.959999999999</v>
      </c>
      <c r="Z250" s="8">
        <f>Table2[[#This Row],[Apyvarta]]-Table2[[#This Row],[Ne-atlyginimų sąnaudos]]+Table2[[#This Row],[Fiks ir pelno mokestis]]</f>
        <v>167919.96</v>
      </c>
    </row>
    <row r="251" spans="1:26" x14ac:dyDescent="0.2">
      <c r="A251" s="5" t="s">
        <v>762</v>
      </c>
      <c r="B251" s="5" t="s">
        <v>1510</v>
      </c>
      <c r="C251" s="5">
        <v>2022</v>
      </c>
      <c r="D251" s="5" t="s">
        <v>1721</v>
      </c>
      <c r="E251" s="5" t="s">
        <v>1721</v>
      </c>
      <c r="F251" s="5" t="s">
        <v>1726</v>
      </c>
      <c r="G251" s="5" t="s">
        <v>1721</v>
      </c>
      <c r="H251" s="5" t="s">
        <v>1721</v>
      </c>
      <c r="I251" s="5" t="s">
        <v>280</v>
      </c>
      <c r="J251" s="5" t="s">
        <v>300</v>
      </c>
      <c r="K251" s="5" t="s">
        <v>193</v>
      </c>
      <c r="L251" s="5" t="s">
        <v>1721</v>
      </c>
      <c r="M251" s="9">
        <v>5</v>
      </c>
      <c r="N251" s="6">
        <f>IFERROR(Table2[[#This Row],[Darbuotojų skaičius]]/M250-1,0)</f>
        <v>0.25</v>
      </c>
      <c r="O251" s="9">
        <v>1821</v>
      </c>
      <c r="P251" s="6">
        <v>-0.2296954314720813</v>
      </c>
      <c r="Q251" s="9">
        <f>Table2[[#This Row],[Atlyginimo vidurkis]]*Table2[[#This Row],[Darbuotojų skaičius]]*12</f>
        <v>109260</v>
      </c>
      <c r="R251" s="49">
        <f>IFERROR(Table2[[#This Row],[DU sąnaudos]]/Q250-1,0)</f>
        <v>-3.7119289340101558E-2</v>
      </c>
      <c r="S251" s="9">
        <v>308709</v>
      </c>
      <c r="T251" s="6">
        <v>0.51158258621449448</v>
      </c>
      <c r="U251" s="9">
        <f>IF(Table2[[#This Row],[DU sąnaudos]]=0,0,Table2[[#This Row],[Apyvarta]]-Table2[[#This Row],[DU sąnaudos]]-Table2[[#This Row],[Pelnas]])</f>
        <v>199497</v>
      </c>
      <c r="V251" s="49">
        <f>IFERROR(Table2[[#This Row],[Ne-atlyginimų sąnaudos]]/U250-1,0)</f>
        <v>1.3442104768395571</v>
      </c>
      <c r="W251" s="9">
        <v>-48</v>
      </c>
      <c r="X251" s="6">
        <v>-1.0084880636604769</v>
      </c>
      <c r="Y251" s="8">
        <f>Table2[[#This Row],[DU sąnaudos]]*0.43</f>
        <v>46981.8</v>
      </c>
      <c r="Z251" s="8">
        <f>Table2[[#This Row],[Apyvarta]]-Table2[[#This Row],[Ne-atlyginimų sąnaudos]]+Table2[[#This Row],[Fiks ir pelno mokestis]]</f>
        <v>156193.79999999999</v>
      </c>
    </row>
    <row r="252" spans="1:26" x14ac:dyDescent="0.2">
      <c r="A252" s="5" t="s">
        <v>762</v>
      </c>
      <c r="B252" s="5" t="s">
        <v>1510</v>
      </c>
      <c r="C252" s="5">
        <v>2023</v>
      </c>
      <c r="D252" s="5" t="s">
        <v>1721</v>
      </c>
      <c r="E252" s="5" t="s">
        <v>1721</v>
      </c>
      <c r="F252" s="5" t="s">
        <v>1726</v>
      </c>
      <c r="G252" s="5" t="s">
        <v>1721</v>
      </c>
      <c r="H252" s="5" t="s">
        <v>1721</v>
      </c>
      <c r="I252" s="5" t="s">
        <v>280</v>
      </c>
      <c r="J252" s="5" t="s">
        <v>300</v>
      </c>
      <c r="K252" s="5" t="s">
        <v>193</v>
      </c>
      <c r="L252" s="5" t="s">
        <v>1721</v>
      </c>
      <c r="M252" s="9">
        <v>6</v>
      </c>
      <c r="N252" s="6">
        <f>IFERROR(Table2[[#This Row],[Darbuotojų skaičius]]/M251-1,0)</f>
        <v>0.19999999999999996</v>
      </c>
      <c r="O252" s="9">
        <v>2005</v>
      </c>
      <c r="P252" s="6">
        <v>0.101043382756727</v>
      </c>
      <c r="Q252" s="9">
        <f>Table2[[#This Row],[Atlyginimo vidurkis]]*Table2[[#This Row],[Darbuotojų skaičius]]*12</f>
        <v>144360</v>
      </c>
      <c r="R252" s="49">
        <f>IFERROR(Table2[[#This Row],[DU sąnaudos]]/Q251-1,0)</f>
        <v>0.32125205930807255</v>
      </c>
      <c r="S252" s="9">
        <v>463961</v>
      </c>
      <c r="T252" s="6">
        <v>0.50290726865753843</v>
      </c>
      <c r="U252" s="9">
        <f>IF(Table2[[#This Row],[DU sąnaudos]]=0,0,Table2[[#This Row],[Apyvarta]]-Table2[[#This Row],[DU sąnaudos]]-Table2[[#This Row],[Pelnas]])</f>
        <v>318297</v>
      </c>
      <c r="V252" s="49">
        <f>IFERROR(Table2[[#This Row],[Ne-atlyginimų sąnaudos]]/U251-1,0)</f>
        <v>0.59549767665679187</v>
      </c>
      <c r="W252" s="9">
        <v>1304</v>
      </c>
      <c r="X252" s="6">
        <v>-28.166666666666671</v>
      </c>
      <c r="Y252" s="8">
        <f>Table2[[#This Row],[DU sąnaudos]]*0.43</f>
        <v>62074.799999999996</v>
      </c>
      <c r="Z252" s="8">
        <f>Table2[[#This Row],[Apyvarta]]-Table2[[#This Row],[Ne-atlyginimų sąnaudos]]+Table2[[#This Row],[Fiks ir pelno mokestis]]</f>
        <v>207738.8</v>
      </c>
    </row>
    <row r="253" spans="1:26" x14ac:dyDescent="0.2">
      <c r="A253" s="5" t="s">
        <v>762</v>
      </c>
      <c r="B253" s="5" t="s">
        <v>1510</v>
      </c>
      <c r="C253" s="5">
        <v>2024</v>
      </c>
      <c r="D253" s="5" t="s">
        <v>1721</v>
      </c>
      <c r="E253" s="5" t="s">
        <v>1721</v>
      </c>
      <c r="F253" s="5" t="s">
        <v>1726</v>
      </c>
      <c r="G253" s="5" t="s">
        <v>1721</v>
      </c>
      <c r="H253" s="5" t="s">
        <v>1721</v>
      </c>
      <c r="I253" s="5" t="s">
        <v>280</v>
      </c>
      <c r="J253" s="5" t="s">
        <v>300</v>
      </c>
      <c r="K253" s="5" t="s">
        <v>193</v>
      </c>
      <c r="L253" s="5" t="s">
        <v>1721</v>
      </c>
      <c r="M253" s="9">
        <v>3</v>
      </c>
      <c r="N253" s="6">
        <f>IFERROR(Table2[[#This Row],[Darbuotojų skaičius]]/M252-1,0)</f>
        <v>-0.5</v>
      </c>
      <c r="O253" s="9">
        <v>2055</v>
      </c>
      <c r="P253" s="6">
        <v>2.4937655860349128E-2</v>
      </c>
      <c r="Q253" s="9">
        <f>Table2[[#This Row],[Atlyginimo vidurkis]]*Table2[[#This Row],[Darbuotojų skaičius]]*12</f>
        <v>73980</v>
      </c>
      <c r="R253" s="49">
        <f>IFERROR(Table2[[#This Row],[DU sąnaudos]]/Q252-1,0)</f>
        <v>-0.48753117206982544</v>
      </c>
      <c r="S253" s="9">
        <v>339411</v>
      </c>
      <c r="T253" s="6">
        <v>-0.26844928776341109</v>
      </c>
      <c r="U253" s="9">
        <f>IF(Table2[[#This Row],[DU sąnaudos]]=0,0,Table2[[#This Row],[Apyvarta]]-Table2[[#This Row],[DU sąnaudos]]-Table2[[#This Row],[Pelnas]])</f>
        <v>264642</v>
      </c>
      <c r="V253" s="49">
        <f>IFERROR(Table2[[#This Row],[Ne-atlyginimų sąnaudos]]/U252-1,0)</f>
        <v>-0.16856897802995319</v>
      </c>
      <c r="W253" s="9">
        <v>789</v>
      </c>
      <c r="X253" s="6">
        <v>-0.39493865030674852</v>
      </c>
      <c r="Y253" s="8">
        <f>Table2[[#This Row],[DU sąnaudos]]*0.43</f>
        <v>31811.399999999998</v>
      </c>
      <c r="Z253" s="8">
        <f>Table2[[#This Row],[Apyvarta]]-Table2[[#This Row],[Ne-atlyginimų sąnaudos]]+Table2[[#This Row],[Fiks ir pelno mokestis]]</f>
        <v>106580.4</v>
      </c>
    </row>
    <row r="254" spans="1:26" x14ac:dyDescent="0.2">
      <c r="A254" s="5" t="s">
        <v>436</v>
      </c>
      <c r="B254" s="5" t="s">
        <v>1514</v>
      </c>
      <c r="C254" s="5">
        <v>2019</v>
      </c>
      <c r="D254" s="5" t="s">
        <v>1721</v>
      </c>
      <c r="E254" s="5" t="s">
        <v>1721</v>
      </c>
      <c r="F254" s="5" t="s">
        <v>1721</v>
      </c>
      <c r="G254" s="5" t="s">
        <v>1721</v>
      </c>
      <c r="H254" s="5" t="s">
        <v>1721</v>
      </c>
      <c r="I254" s="5" t="s">
        <v>1721</v>
      </c>
      <c r="J254" s="5" t="s">
        <v>300</v>
      </c>
      <c r="K254" s="5" t="s">
        <v>1721</v>
      </c>
      <c r="L254" s="5" t="s">
        <v>1721</v>
      </c>
      <c r="M254" s="9">
        <v>30</v>
      </c>
      <c r="N254" s="6">
        <v>0</v>
      </c>
      <c r="O254" s="9">
        <v>1979</v>
      </c>
      <c r="P254" s="6">
        <v>0</v>
      </c>
      <c r="Q254" s="9">
        <f>Table2[[#This Row],[Atlyginimo vidurkis]]*Table2[[#This Row],[Darbuotojų skaičius]]*12</f>
        <v>712440</v>
      </c>
      <c r="R254" s="49">
        <v>0</v>
      </c>
      <c r="S254" s="9">
        <v>2121009</v>
      </c>
      <c r="T254" s="6">
        <v>0</v>
      </c>
      <c r="U254" s="9">
        <f>IF(Table2[[#This Row],[DU sąnaudos]]=0,0,Table2[[#This Row],[Apyvarta]]-Table2[[#This Row],[DU sąnaudos]]-Table2[[#This Row],[Pelnas]])</f>
        <v>1251557</v>
      </c>
      <c r="V254" s="49">
        <v>0</v>
      </c>
      <c r="W254" s="9">
        <v>157012</v>
      </c>
      <c r="X254" s="6">
        <v>0</v>
      </c>
      <c r="Y254" s="8">
        <f>Table2[[#This Row],[DU sąnaudos]]*0.43</f>
        <v>306349.2</v>
      </c>
      <c r="Z254" s="8">
        <f>Table2[[#This Row],[Apyvarta]]-Table2[[#This Row],[Ne-atlyginimų sąnaudos]]+Table2[[#This Row],[Fiks ir pelno mokestis]]</f>
        <v>1175801.2</v>
      </c>
    </row>
    <row r="255" spans="1:26" x14ac:dyDescent="0.2">
      <c r="A255" s="5" t="s">
        <v>436</v>
      </c>
      <c r="B255" s="5" t="s">
        <v>1514</v>
      </c>
      <c r="C255" s="5">
        <v>2020</v>
      </c>
      <c r="D255" s="5" t="s">
        <v>1721</v>
      </c>
      <c r="E255" s="5" t="s">
        <v>1721</v>
      </c>
      <c r="F255" s="5" t="s">
        <v>1721</v>
      </c>
      <c r="G255" s="5" t="s">
        <v>1721</v>
      </c>
      <c r="H255" s="5" t="s">
        <v>1721</v>
      </c>
      <c r="I255" s="5" t="s">
        <v>1721</v>
      </c>
      <c r="J255" s="5" t="s">
        <v>300</v>
      </c>
      <c r="K255" s="5" t="s">
        <v>1721</v>
      </c>
      <c r="L255" s="5" t="s">
        <v>1721</v>
      </c>
      <c r="M255" s="9">
        <v>26</v>
      </c>
      <c r="N255" s="6">
        <f>IFERROR(Table2[[#This Row],[Darbuotojų skaičius]]/M254-1,0)</f>
        <v>-0.1333333333333333</v>
      </c>
      <c r="O255" s="9">
        <v>2145</v>
      </c>
      <c r="P255" s="6">
        <v>8.388074785245081E-2</v>
      </c>
      <c r="Q255" s="9">
        <f>Table2[[#This Row],[Atlyginimo vidurkis]]*Table2[[#This Row],[Darbuotojų skaičius]]*12</f>
        <v>669240</v>
      </c>
      <c r="R255" s="49">
        <f>IFERROR(Table2[[#This Row],[DU sąnaudos]]/Q254-1,0)</f>
        <v>-6.0636685194542683E-2</v>
      </c>
      <c r="S255" s="9">
        <v>2078484</v>
      </c>
      <c r="T255" s="6">
        <v>-2.004941987516318E-2</v>
      </c>
      <c r="U255" s="9">
        <f>IF(Table2[[#This Row],[DU sąnaudos]]=0,0,Table2[[#This Row],[Apyvarta]]-Table2[[#This Row],[DU sąnaudos]]-Table2[[#This Row],[Pelnas]])</f>
        <v>1213406</v>
      </c>
      <c r="V255" s="49">
        <f>IFERROR(Table2[[#This Row],[Ne-atlyginimų sąnaudos]]/U254-1,0)</f>
        <v>-3.048283058622181E-2</v>
      </c>
      <c r="W255" s="9">
        <v>195838</v>
      </c>
      <c r="X255" s="6">
        <v>0.24728046263979819</v>
      </c>
      <c r="Y255" s="8">
        <f>Table2[[#This Row],[DU sąnaudos]]*0.43</f>
        <v>287773.2</v>
      </c>
      <c r="Z255" s="8">
        <f>Table2[[#This Row],[Apyvarta]]-Table2[[#This Row],[Ne-atlyginimų sąnaudos]]+Table2[[#This Row],[Fiks ir pelno mokestis]]</f>
        <v>1152851.2</v>
      </c>
    </row>
    <row r="256" spans="1:26" x14ac:dyDescent="0.2">
      <c r="A256" s="5" t="s">
        <v>436</v>
      </c>
      <c r="B256" s="5" t="s">
        <v>1514</v>
      </c>
      <c r="C256" s="5">
        <v>2021</v>
      </c>
      <c r="D256" s="5" t="s">
        <v>1721</v>
      </c>
      <c r="E256" s="5" t="s">
        <v>1721</v>
      </c>
      <c r="F256" s="5" t="s">
        <v>1721</v>
      </c>
      <c r="G256" s="5" t="s">
        <v>1721</v>
      </c>
      <c r="H256" s="5" t="s">
        <v>1721</v>
      </c>
      <c r="I256" s="5" t="s">
        <v>1721</v>
      </c>
      <c r="J256" s="5" t="s">
        <v>300</v>
      </c>
      <c r="K256" s="5" t="s">
        <v>1721</v>
      </c>
      <c r="L256" s="5" t="s">
        <v>1721</v>
      </c>
      <c r="M256" s="9">
        <v>31</v>
      </c>
      <c r="N256" s="6">
        <f>IFERROR(Table2[[#This Row],[Darbuotojų skaičius]]/M255-1,0)</f>
        <v>0.19230769230769229</v>
      </c>
      <c r="O256" s="9">
        <v>2734</v>
      </c>
      <c r="P256" s="6">
        <v>0.27459207459207469</v>
      </c>
      <c r="Q256" s="9">
        <f>Table2[[#This Row],[Atlyginimo vidurkis]]*Table2[[#This Row],[Darbuotojų skaičius]]*12</f>
        <v>1017048</v>
      </c>
      <c r="R256" s="49">
        <f>IFERROR(Table2[[#This Row],[DU sąnaudos]]/Q255-1,0)</f>
        <v>0.51970593509055041</v>
      </c>
      <c r="S256" s="9">
        <v>2384972</v>
      </c>
      <c r="T256" s="6">
        <v>0.14745747381264421</v>
      </c>
      <c r="U256" s="9">
        <f>IF(Table2[[#This Row],[DU sąnaudos]]=0,0,Table2[[#This Row],[Apyvarta]]-Table2[[#This Row],[DU sąnaudos]]-Table2[[#This Row],[Pelnas]])</f>
        <v>1224309</v>
      </c>
      <c r="V256" s="49">
        <f>IFERROR(Table2[[#This Row],[Ne-atlyginimų sąnaudos]]/U255-1,0)</f>
        <v>8.9854508713489434E-3</v>
      </c>
      <c r="W256" s="9">
        <v>143615</v>
      </c>
      <c r="X256" s="6">
        <v>-0.26666428374472778</v>
      </c>
      <c r="Y256" s="8">
        <f>Table2[[#This Row],[DU sąnaudos]]*0.43</f>
        <v>437330.64</v>
      </c>
      <c r="Z256" s="8">
        <f>Table2[[#This Row],[Apyvarta]]-Table2[[#This Row],[Ne-atlyginimų sąnaudos]]+Table2[[#This Row],[Fiks ir pelno mokestis]]</f>
        <v>1597993.6400000001</v>
      </c>
    </row>
    <row r="257" spans="1:26" x14ac:dyDescent="0.2">
      <c r="A257" s="5" t="s">
        <v>436</v>
      </c>
      <c r="B257" s="5" t="s">
        <v>1514</v>
      </c>
      <c r="C257" s="5">
        <v>2022</v>
      </c>
      <c r="D257" s="5" t="s">
        <v>1721</v>
      </c>
      <c r="E257" s="5" t="s">
        <v>1721</v>
      </c>
      <c r="F257" s="5" t="s">
        <v>1721</v>
      </c>
      <c r="G257" s="5" t="s">
        <v>1721</v>
      </c>
      <c r="H257" s="5" t="s">
        <v>1721</v>
      </c>
      <c r="I257" s="5" t="s">
        <v>1721</v>
      </c>
      <c r="J257" s="5" t="s">
        <v>300</v>
      </c>
      <c r="K257" s="5" t="s">
        <v>1721</v>
      </c>
      <c r="L257" s="5" t="s">
        <v>1721</v>
      </c>
      <c r="M257" s="9">
        <v>37</v>
      </c>
      <c r="N257" s="6">
        <f>IFERROR(Table2[[#This Row],[Darbuotojų skaičius]]/M256-1,0)</f>
        <v>0.19354838709677424</v>
      </c>
      <c r="O257" s="9">
        <v>2592</v>
      </c>
      <c r="P257" s="6">
        <v>-5.1938551572787151E-2</v>
      </c>
      <c r="Q257" s="9">
        <f>Table2[[#This Row],[Atlyginimo vidurkis]]*Table2[[#This Row],[Darbuotojų skaičius]]*12</f>
        <v>1150848</v>
      </c>
      <c r="R257" s="49">
        <f>IFERROR(Table2[[#This Row],[DU sąnaudos]]/Q256-1,0)</f>
        <v>0.1315572126389315</v>
      </c>
      <c r="S257" s="9">
        <v>2603242</v>
      </c>
      <c r="T257" s="6">
        <v>9.1518894142153417E-2</v>
      </c>
      <c r="U257" s="9">
        <f>IF(Table2[[#This Row],[DU sąnaudos]]=0,0,Table2[[#This Row],[Apyvarta]]-Table2[[#This Row],[DU sąnaudos]]-Table2[[#This Row],[Pelnas]])</f>
        <v>1280115</v>
      </c>
      <c r="V257" s="49">
        <f>IFERROR(Table2[[#This Row],[Ne-atlyginimų sąnaudos]]/U256-1,0)</f>
        <v>4.5581630127688344E-2</v>
      </c>
      <c r="W257" s="9">
        <v>172279</v>
      </c>
      <c r="X257" s="6">
        <v>0.19958917940326559</v>
      </c>
      <c r="Y257" s="8">
        <f>Table2[[#This Row],[DU sąnaudos]]*0.43</f>
        <v>494864.64000000001</v>
      </c>
      <c r="Z257" s="8">
        <f>Table2[[#This Row],[Apyvarta]]-Table2[[#This Row],[Ne-atlyginimų sąnaudos]]+Table2[[#This Row],[Fiks ir pelno mokestis]]</f>
        <v>1817991.6400000001</v>
      </c>
    </row>
    <row r="258" spans="1:26" x14ac:dyDescent="0.2">
      <c r="A258" s="5" t="s">
        <v>436</v>
      </c>
      <c r="B258" s="5" t="s">
        <v>1514</v>
      </c>
      <c r="C258" s="5">
        <v>2023</v>
      </c>
      <c r="D258" s="5" t="s">
        <v>1721</v>
      </c>
      <c r="E258" s="5" t="s">
        <v>1721</v>
      </c>
      <c r="F258" s="5" t="s">
        <v>1721</v>
      </c>
      <c r="G258" s="5" t="s">
        <v>1721</v>
      </c>
      <c r="H258" s="5" t="s">
        <v>1721</v>
      </c>
      <c r="I258" s="5" t="s">
        <v>1721</v>
      </c>
      <c r="J258" s="5" t="s">
        <v>300</v>
      </c>
      <c r="K258" s="5" t="s">
        <v>1721</v>
      </c>
      <c r="L258" s="5" t="s">
        <v>1721</v>
      </c>
      <c r="M258" s="9">
        <v>36</v>
      </c>
      <c r="N258" s="6">
        <f>IFERROR(Table2[[#This Row],[Darbuotojų skaičius]]/M257-1,0)</f>
        <v>-2.7027027027026973E-2</v>
      </c>
      <c r="O258" s="9">
        <v>2930</v>
      </c>
      <c r="P258" s="6">
        <v>0.13040123456790129</v>
      </c>
      <c r="Q258" s="9">
        <f>Table2[[#This Row],[Atlyginimo vidurkis]]*Table2[[#This Row],[Darbuotojų skaičius]]*12</f>
        <v>1265760</v>
      </c>
      <c r="R258" s="49">
        <f>IFERROR(Table2[[#This Row],[DU sąnaudos]]/Q257-1,0)</f>
        <v>9.9849849849849903E-2</v>
      </c>
      <c r="S258" s="9">
        <v>3033004</v>
      </c>
      <c r="T258" s="6">
        <v>0.16508722585145749</v>
      </c>
      <c r="U258" s="9">
        <f>IF(Table2[[#This Row],[DU sąnaudos]]=0,0,Table2[[#This Row],[Apyvarta]]-Table2[[#This Row],[DU sąnaudos]]-Table2[[#This Row],[Pelnas]])</f>
        <v>1647935</v>
      </c>
      <c r="V258" s="49">
        <f>IFERROR(Table2[[#This Row],[Ne-atlyginimų sąnaudos]]/U257-1,0)</f>
        <v>0.28733355987548004</v>
      </c>
      <c r="W258" s="9">
        <v>119309</v>
      </c>
      <c r="X258" s="6">
        <v>-0.30746637721370562</v>
      </c>
      <c r="Y258" s="8">
        <f>Table2[[#This Row],[DU sąnaudos]]*0.43</f>
        <v>544276.80000000005</v>
      </c>
      <c r="Z258" s="8">
        <f>Table2[[#This Row],[Apyvarta]]-Table2[[#This Row],[Ne-atlyginimų sąnaudos]]+Table2[[#This Row],[Fiks ir pelno mokestis]]</f>
        <v>1929345.8</v>
      </c>
    </row>
    <row r="259" spans="1:26" x14ac:dyDescent="0.2">
      <c r="A259" s="5" t="s">
        <v>436</v>
      </c>
      <c r="B259" s="5" t="s">
        <v>1514</v>
      </c>
      <c r="C259" s="5">
        <v>2024</v>
      </c>
      <c r="D259" s="5" t="s">
        <v>1721</v>
      </c>
      <c r="E259" s="5" t="s">
        <v>1721</v>
      </c>
      <c r="F259" s="5" t="s">
        <v>1721</v>
      </c>
      <c r="G259" s="5" t="s">
        <v>1721</v>
      </c>
      <c r="H259" s="5" t="s">
        <v>1721</v>
      </c>
      <c r="I259" s="5" t="s">
        <v>1721</v>
      </c>
      <c r="J259" s="5" t="s">
        <v>300</v>
      </c>
      <c r="K259" s="5" t="s">
        <v>1721</v>
      </c>
      <c r="L259" s="5" t="s">
        <v>1721</v>
      </c>
      <c r="M259" s="9">
        <v>30</v>
      </c>
      <c r="N259" s="6">
        <f>IFERROR(Table2[[#This Row],[Darbuotojų skaičius]]/M258-1,0)</f>
        <v>-0.16666666666666663</v>
      </c>
      <c r="O259" s="9">
        <v>3374</v>
      </c>
      <c r="P259" s="6">
        <v>0.15153583617747429</v>
      </c>
      <c r="Q259" s="9">
        <f>Table2[[#This Row],[Atlyginimo vidurkis]]*Table2[[#This Row],[Darbuotojų skaičius]]*12</f>
        <v>1214640</v>
      </c>
      <c r="R259" s="49">
        <f>IFERROR(Table2[[#This Row],[DU sąnaudos]]/Q258-1,0)</f>
        <v>-4.0386803185437969E-2</v>
      </c>
      <c r="S259" s="9">
        <v>2912372</v>
      </c>
      <c r="T259" s="6">
        <v>-3.9773109432100988E-2</v>
      </c>
      <c r="U259" s="9">
        <f>IF(Table2[[#This Row],[DU sąnaudos]]=0,0,Table2[[#This Row],[Apyvarta]]-Table2[[#This Row],[DU sąnaudos]]-Table2[[#This Row],[Pelnas]])</f>
        <v>1665939</v>
      </c>
      <c r="V259" s="49">
        <f>IFERROR(Table2[[#This Row],[Ne-atlyginimų sąnaudos]]/U258-1,0)</f>
        <v>1.0925188190068269E-2</v>
      </c>
      <c r="W259" s="9">
        <v>31793</v>
      </c>
      <c r="X259" s="6">
        <v>-0.73352387498009364</v>
      </c>
      <c r="Y259" s="8">
        <f>Table2[[#This Row],[DU sąnaudos]]*0.43</f>
        <v>522295.2</v>
      </c>
      <c r="Z259" s="8">
        <f>Table2[[#This Row],[Apyvarta]]-Table2[[#This Row],[Ne-atlyginimų sąnaudos]]+Table2[[#This Row],[Fiks ir pelno mokestis]]</f>
        <v>1768728.2</v>
      </c>
    </row>
    <row r="260" spans="1:26" hidden="1" x14ac:dyDescent="0.2">
      <c r="A260" s="5" t="s">
        <v>1517</v>
      </c>
      <c r="B260" t="s">
        <v>1518</v>
      </c>
      <c r="C260">
        <v>2019</v>
      </c>
      <c r="D260" s="5" t="s">
        <v>1721</v>
      </c>
      <c r="E260" s="5" t="s">
        <v>1721</v>
      </c>
      <c r="F260" s="5" t="s">
        <v>1721</v>
      </c>
      <c r="G260" s="5" t="s">
        <v>1721</v>
      </c>
      <c r="H260" s="5" t="s">
        <v>1724</v>
      </c>
      <c r="I260" s="5" t="s">
        <v>1721</v>
      </c>
      <c r="J260" s="5" t="s">
        <v>1721</v>
      </c>
      <c r="K260" s="5" t="s">
        <v>1721</v>
      </c>
      <c r="L260" s="5" t="s">
        <v>1721</v>
      </c>
      <c r="M260" s="9">
        <v>3</v>
      </c>
      <c r="N260" s="6">
        <v>0</v>
      </c>
      <c r="O260" s="9">
        <v>1375</v>
      </c>
      <c r="P260" s="6">
        <v>0</v>
      </c>
      <c r="Q260" s="9">
        <f>Table2[[#This Row],[Atlyginimo vidurkis]]*Table2[[#This Row],[Darbuotojų skaičius]]*12</f>
        <v>49500</v>
      </c>
      <c r="R260" s="49">
        <v>0</v>
      </c>
      <c r="S260" s="9">
        <v>1039900</v>
      </c>
      <c r="T260" s="6">
        <v>0</v>
      </c>
      <c r="U260" s="9">
        <f>IF(Table2[[#This Row],[DU sąnaudos]]=0,0,Table2[[#This Row],[Apyvarta]]-Table2[[#This Row],[DU sąnaudos]]-Table2[[#This Row],[Pelnas]])</f>
        <v>958181</v>
      </c>
      <c r="V260" s="49">
        <v>0</v>
      </c>
      <c r="W260" s="9">
        <v>32219</v>
      </c>
      <c r="X260" s="6">
        <v>0</v>
      </c>
      <c r="Y260" s="8">
        <f>Table2[[#This Row],[DU sąnaudos]]*0.43</f>
        <v>21285</v>
      </c>
      <c r="Z260" s="8">
        <f>Table2[[#This Row],[Apyvarta]]-Table2[[#This Row],[Ne-atlyginimų sąnaudos]]+Table2[[#This Row],[Fiks ir pelno mokestis]]</f>
        <v>103004</v>
      </c>
    </row>
    <row r="261" spans="1:26" hidden="1" x14ac:dyDescent="0.2">
      <c r="A261" s="5" t="s">
        <v>1517</v>
      </c>
      <c r="B261" t="s">
        <v>1518</v>
      </c>
      <c r="C261">
        <v>2020</v>
      </c>
      <c r="D261" s="5" t="s">
        <v>1721</v>
      </c>
      <c r="E261" s="5" t="s">
        <v>1721</v>
      </c>
      <c r="F261" s="5" t="s">
        <v>1721</v>
      </c>
      <c r="G261" s="5" t="s">
        <v>1721</v>
      </c>
      <c r="H261" s="5" t="s">
        <v>1724</v>
      </c>
      <c r="I261" s="5" t="s">
        <v>1721</v>
      </c>
      <c r="J261" s="5" t="s">
        <v>1721</v>
      </c>
      <c r="K261" s="5" t="s">
        <v>1721</v>
      </c>
      <c r="L261" s="5" t="s">
        <v>1721</v>
      </c>
      <c r="M261" s="9">
        <v>4</v>
      </c>
      <c r="N261" s="6">
        <f>IFERROR(Table2[[#This Row],[Darbuotojų skaičius]]/M260-1,0)</f>
        <v>0.33333333333333326</v>
      </c>
      <c r="O261" s="9">
        <v>1387</v>
      </c>
      <c r="P261" s="6">
        <v>0.01</v>
      </c>
      <c r="Q261" s="9">
        <f>Table2[[#This Row],[Atlyginimo vidurkis]]*Table2[[#This Row],[Darbuotojų skaičius]]*12</f>
        <v>66576</v>
      </c>
      <c r="R261" s="49">
        <f>IFERROR(Table2[[#This Row],[DU sąnaudos]]/Q260-1,0)</f>
        <v>0.34496969696969693</v>
      </c>
      <c r="S261" s="9">
        <v>1298211</v>
      </c>
      <c r="T261" s="6">
        <v>0.25</v>
      </c>
      <c r="U261" s="9">
        <f>IF(Table2[[#This Row],[DU sąnaudos]]=0,0,Table2[[#This Row],[Apyvarta]]-Table2[[#This Row],[DU sąnaudos]]-Table2[[#This Row],[Pelnas]])</f>
        <v>1133183</v>
      </c>
      <c r="V261" s="49">
        <f>IFERROR(Table2[[#This Row],[Ne-atlyginimų sąnaudos]]/U260-1,0)</f>
        <v>0.18263981439832344</v>
      </c>
      <c r="W261" s="9">
        <v>98452</v>
      </c>
      <c r="X261" s="6">
        <v>2.06</v>
      </c>
      <c r="Y261" s="8">
        <f>Table2[[#This Row],[DU sąnaudos]]*0.43</f>
        <v>28627.68</v>
      </c>
      <c r="Z261" s="8">
        <f>Table2[[#This Row],[Apyvarta]]-Table2[[#This Row],[Ne-atlyginimų sąnaudos]]+Table2[[#This Row],[Fiks ir pelno mokestis]]</f>
        <v>193655.67999999999</v>
      </c>
    </row>
    <row r="262" spans="1:26" hidden="1" x14ac:dyDescent="0.2">
      <c r="A262" s="5" t="s">
        <v>1517</v>
      </c>
      <c r="B262" t="s">
        <v>1518</v>
      </c>
      <c r="C262">
        <v>2021</v>
      </c>
      <c r="D262" s="5" t="s">
        <v>1721</v>
      </c>
      <c r="E262" s="5" t="s">
        <v>1721</v>
      </c>
      <c r="F262" s="5" t="s">
        <v>1721</v>
      </c>
      <c r="G262" s="5" t="s">
        <v>1721</v>
      </c>
      <c r="H262" s="5" t="s">
        <v>1724</v>
      </c>
      <c r="I262" s="5" t="s">
        <v>1721</v>
      </c>
      <c r="J262" s="5" t="s">
        <v>1721</v>
      </c>
      <c r="K262" s="5" t="s">
        <v>1721</v>
      </c>
      <c r="L262" s="5" t="s">
        <v>1721</v>
      </c>
      <c r="M262" s="9">
        <v>4</v>
      </c>
      <c r="N262" s="6">
        <f>IFERROR(Table2[[#This Row],[Darbuotojų skaičius]]/M261-1,0)</f>
        <v>0</v>
      </c>
      <c r="O262" s="9">
        <v>1522</v>
      </c>
      <c r="P262" s="6">
        <v>0.1</v>
      </c>
      <c r="Q262" s="9">
        <f>Table2[[#This Row],[Atlyginimo vidurkis]]*Table2[[#This Row],[Darbuotojų skaičius]]*12</f>
        <v>73056</v>
      </c>
      <c r="R262" s="49">
        <f>IFERROR(Table2[[#This Row],[DU sąnaudos]]/Q261-1,0)</f>
        <v>9.7332372025955349E-2</v>
      </c>
      <c r="S262" s="9">
        <v>1406758</v>
      </c>
      <c r="T262" s="6">
        <v>0.08</v>
      </c>
      <c r="U262" s="9">
        <f>IF(Table2[[#This Row],[DU sąnaudos]]=0,0,Table2[[#This Row],[Apyvarta]]-Table2[[#This Row],[DU sąnaudos]]-Table2[[#This Row],[Pelnas]])</f>
        <v>1157076</v>
      </c>
      <c r="V262" s="49">
        <f>IFERROR(Table2[[#This Row],[Ne-atlyginimų sąnaudos]]/U261-1,0)</f>
        <v>2.1084855667619529E-2</v>
      </c>
      <c r="W262" s="9">
        <v>176626</v>
      </c>
      <c r="X262" s="6">
        <v>0.79</v>
      </c>
      <c r="Y262" s="8">
        <f>Table2[[#This Row],[DU sąnaudos]]*0.43</f>
        <v>31414.079999999998</v>
      </c>
      <c r="Z262" s="8">
        <f>Table2[[#This Row],[Apyvarta]]-Table2[[#This Row],[Ne-atlyginimų sąnaudos]]+Table2[[#This Row],[Fiks ir pelno mokestis]]</f>
        <v>281096.08</v>
      </c>
    </row>
    <row r="263" spans="1:26" hidden="1" x14ac:dyDescent="0.2">
      <c r="A263" s="5" t="s">
        <v>1517</v>
      </c>
      <c r="B263" t="s">
        <v>1518</v>
      </c>
      <c r="C263">
        <v>2022</v>
      </c>
      <c r="D263" s="5" t="s">
        <v>1721</v>
      </c>
      <c r="E263" s="5" t="s">
        <v>1721</v>
      </c>
      <c r="F263" s="5" t="s">
        <v>1721</v>
      </c>
      <c r="G263" s="5" t="s">
        <v>1721</v>
      </c>
      <c r="H263" s="5" t="s">
        <v>1724</v>
      </c>
      <c r="I263" s="5" t="s">
        <v>1721</v>
      </c>
      <c r="J263" s="5" t="s">
        <v>1721</v>
      </c>
      <c r="K263" s="5" t="s">
        <v>1721</v>
      </c>
      <c r="L263" s="5" t="s">
        <v>1721</v>
      </c>
      <c r="M263" s="9">
        <v>4</v>
      </c>
      <c r="N263" s="6">
        <f>IFERROR(Table2[[#This Row],[Darbuotojų skaičius]]/M262-1,0)</f>
        <v>0</v>
      </c>
      <c r="O263" s="9">
        <v>1877</v>
      </c>
      <c r="P263" s="6">
        <v>0.23</v>
      </c>
      <c r="Q263" s="9">
        <f>Table2[[#This Row],[Atlyginimo vidurkis]]*Table2[[#This Row],[Darbuotojų skaičius]]*12</f>
        <v>90096</v>
      </c>
      <c r="R263" s="49">
        <f>IFERROR(Table2[[#This Row],[DU sąnaudos]]/Q262-1,0)</f>
        <v>0.23324572930354792</v>
      </c>
      <c r="S263" s="9">
        <v>1174594</v>
      </c>
      <c r="T263" s="6">
        <v>-0.17</v>
      </c>
      <c r="U263" s="9">
        <f>IF(Table2[[#This Row],[DU sąnaudos]]=0,0,Table2[[#This Row],[Apyvarta]]-Table2[[#This Row],[DU sąnaudos]]-Table2[[#This Row],[Pelnas]])</f>
        <v>1082308</v>
      </c>
      <c r="V263" s="49">
        <f>IFERROR(Table2[[#This Row],[Ne-atlyginimų sąnaudos]]/U262-1,0)</f>
        <v>-6.4618054475246267E-2</v>
      </c>
      <c r="W263" s="9">
        <v>2190</v>
      </c>
      <c r="X263" s="6">
        <v>-0.99</v>
      </c>
      <c r="Y263" s="8">
        <f>Table2[[#This Row],[DU sąnaudos]]*0.43</f>
        <v>38741.279999999999</v>
      </c>
      <c r="Z263" s="8">
        <f>Table2[[#This Row],[Apyvarta]]-Table2[[#This Row],[Ne-atlyginimų sąnaudos]]+Table2[[#This Row],[Fiks ir pelno mokestis]]</f>
        <v>131027.28</v>
      </c>
    </row>
    <row r="264" spans="1:26" hidden="1" x14ac:dyDescent="0.2">
      <c r="A264" s="5" t="s">
        <v>1517</v>
      </c>
      <c r="B264" t="s">
        <v>1518</v>
      </c>
      <c r="C264">
        <v>2023</v>
      </c>
      <c r="D264" s="5" t="s">
        <v>1721</v>
      </c>
      <c r="E264" s="5" t="s">
        <v>1721</v>
      </c>
      <c r="F264" s="5" t="s">
        <v>1721</v>
      </c>
      <c r="G264" s="5" t="s">
        <v>1721</v>
      </c>
      <c r="H264" s="5" t="s">
        <v>1724</v>
      </c>
      <c r="I264" s="5" t="s">
        <v>1721</v>
      </c>
      <c r="J264" s="5" t="s">
        <v>1721</v>
      </c>
      <c r="K264" s="5" t="s">
        <v>1721</v>
      </c>
      <c r="L264" s="5" t="s">
        <v>1721</v>
      </c>
      <c r="M264" s="9">
        <v>3</v>
      </c>
      <c r="N264" s="6">
        <f>IFERROR(Table2[[#This Row],[Darbuotojų skaičius]]/M263-1,0)</f>
        <v>-0.25</v>
      </c>
      <c r="O264" s="9">
        <v>1842</v>
      </c>
      <c r="P264" s="6">
        <v>-0.02</v>
      </c>
      <c r="Q264" s="9">
        <f>Table2[[#This Row],[Atlyginimo vidurkis]]*Table2[[#This Row],[Darbuotojų skaičius]]*12</f>
        <v>66312</v>
      </c>
      <c r="R264" s="49">
        <f>IFERROR(Table2[[#This Row],[DU sąnaudos]]/Q263-1,0)</f>
        <v>-0.26398508257858289</v>
      </c>
      <c r="S264" s="9">
        <v>1321169</v>
      </c>
      <c r="T264" s="6">
        <v>0.12</v>
      </c>
      <c r="U264" s="9">
        <f>IF(Table2[[#This Row],[DU sąnaudos]]=0,0,Table2[[#This Row],[Apyvarta]]-Table2[[#This Row],[DU sąnaudos]]-Table2[[#This Row],[Pelnas]])</f>
        <v>1149006</v>
      </c>
      <c r="V264" s="49">
        <f>IFERROR(Table2[[#This Row],[Ne-atlyginimų sąnaudos]]/U263-1,0)</f>
        <v>6.1625710980608206E-2</v>
      </c>
      <c r="W264" s="9">
        <v>105851</v>
      </c>
      <c r="X264" s="6">
        <v>47.33</v>
      </c>
      <c r="Y264" s="8">
        <f>Table2[[#This Row],[DU sąnaudos]]*0.43</f>
        <v>28514.16</v>
      </c>
      <c r="Z264" s="8">
        <f>Table2[[#This Row],[Apyvarta]]-Table2[[#This Row],[Ne-atlyginimų sąnaudos]]+Table2[[#This Row],[Fiks ir pelno mokestis]]</f>
        <v>200677.16</v>
      </c>
    </row>
    <row r="265" spans="1:26" hidden="1" x14ac:dyDescent="0.2">
      <c r="A265" s="5" t="s">
        <v>1517</v>
      </c>
      <c r="B265" t="s">
        <v>1518</v>
      </c>
      <c r="C265">
        <v>2024</v>
      </c>
      <c r="D265" s="5" t="s">
        <v>1721</v>
      </c>
      <c r="E265" s="5" t="s">
        <v>1721</v>
      </c>
      <c r="F265" s="5" t="s">
        <v>1721</v>
      </c>
      <c r="G265" s="5" t="s">
        <v>1721</v>
      </c>
      <c r="H265" s="5" t="s">
        <v>1724</v>
      </c>
      <c r="I265" s="5" t="s">
        <v>1721</v>
      </c>
      <c r="J265" s="5" t="s">
        <v>1721</v>
      </c>
      <c r="K265" s="5" t="s">
        <v>1721</v>
      </c>
      <c r="L265" s="5" t="s">
        <v>1721</v>
      </c>
      <c r="M265" s="9">
        <v>3</v>
      </c>
      <c r="N265" s="6">
        <f>IFERROR(Table2[[#This Row],[Darbuotojų skaičius]]/M264-1,0)</f>
        <v>0</v>
      </c>
      <c r="O265" s="9">
        <v>0</v>
      </c>
      <c r="P265" s="6">
        <v>0</v>
      </c>
      <c r="Q265" s="9">
        <f>Table2[[#This Row],[Atlyginimo vidurkis]]*Table2[[#This Row],[Darbuotojų skaičius]]*12</f>
        <v>0</v>
      </c>
      <c r="R265" s="49">
        <f>IFERROR(Table2[[#This Row],[DU sąnaudos]]/Q264-1,0)</f>
        <v>-1</v>
      </c>
      <c r="S265" s="9">
        <v>786302</v>
      </c>
      <c r="T265" s="6">
        <v>-0.4</v>
      </c>
      <c r="U265" s="9">
        <f>IF(Table2[[#This Row],[DU sąnaudos]]=0,0,Table2[[#This Row],[Apyvarta]]-Table2[[#This Row],[DU sąnaudos]]-Table2[[#This Row],[Pelnas]])</f>
        <v>0</v>
      </c>
      <c r="V265" s="49">
        <f>IFERROR(Table2[[#This Row],[Ne-atlyginimų sąnaudos]]/U264-1,0)</f>
        <v>-1</v>
      </c>
      <c r="W265" s="9">
        <v>37146</v>
      </c>
      <c r="X265" s="6">
        <v>-0.65</v>
      </c>
      <c r="Y265" s="8">
        <f>Table2[[#This Row],[DU sąnaudos]]*0.43</f>
        <v>0</v>
      </c>
      <c r="Z265" s="8">
        <f>Table2[[#This Row],[Apyvarta]]-Table2[[#This Row],[Ne-atlyginimų sąnaudos]]+Table2[[#This Row],[Fiks ir pelno mokestis]]</f>
        <v>786302</v>
      </c>
    </row>
    <row r="266" spans="1:26" hidden="1" x14ac:dyDescent="0.2">
      <c r="A266" s="5" t="s">
        <v>1519</v>
      </c>
      <c r="B266" t="s">
        <v>1520</v>
      </c>
      <c r="C266">
        <v>2019</v>
      </c>
      <c r="D266" s="24" t="s">
        <v>1721</v>
      </c>
      <c r="E266" s="5" t="s">
        <v>1725</v>
      </c>
      <c r="F266" s="24" t="s">
        <v>1721</v>
      </c>
      <c r="G266" s="24" t="s">
        <v>1721</v>
      </c>
      <c r="H266" s="24" t="s">
        <v>1721</v>
      </c>
      <c r="I266" s="24" t="s">
        <v>1721</v>
      </c>
      <c r="J266" s="24" t="s">
        <v>1721</v>
      </c>
      <c r="K266" s="24" t="s">
        <v>1721</v>
      </c>
      <c r="L266" s="24" t="s">
        <v>1721</v>
      </c>
      <c r="M266" s="9">
        <v>17</v>
      </c>
      <c r="N266" s="6">
        <v>0</v>
      </c>
      <c r="O266" s="9">
        <v>1365</v>
      </c>
      <c r="P266" s="6">
        <v>0</v>
      </c>
      <c r="Q266" s="9">
        <f>Table2[[#This Row],[Atlyginimo vidurkis]]*Table2[[#This Row],[Darbuotojų skaičius]]*12</f>
        <v>278460</v>
      </c>
      <c r="R266" s="49">
        <v>0</v>
      </c>
      <c r="S266" s="9">
        <v>2483374</v>
      </c>
      <c r="T266" s="6">
        <v>0</v>
      </c>
      <c r="U266" s="9">
        <f>IF(Table2[[#This Row],[DU sąnaudos]]=0,0,Table2[[#This Row],[Apyvarta]]-Table2[[#This Row],[DU sąnaudos]]-Table2[[#This Row],[Pelnas]])</f>
        <v>2101903</v>
      </c>
      <c r="V266" s="49">
        <v>0</v>
      </c>
      <c r="W266" s="9">
        <v>103011</v>
      </c>
      <c r="X266" s="6">
        <v>0</v>
      </c>
      <c r="Y266" s="8">
        <f>Table2[[#This Row],[DU sąnaudos]]*0.43</f>
        <v>119737.8</v>
      </c>
      <c r="Z266" s="8">
        <f>Table2[[#This Row],[Apyvarta]]-Table2[[#This Row],[Ne-atlyginimų sąnaudos]]+Table2[[#This Row],[Fiks ir pelno mokestis]]</f>
        <v>501208.8</v>
      </c>
    </row>
    <row r="267" spans="1:26" hidden="1" x14ac:dyDescent="0.2">
      <c r="A267" s="5" t="s">
        <v>1519</v>
      </c>
      <c r="B267" t="s">
        <v>1520</v>
      </c>
      <c r="C267">
        <v>2020</v>
      </c>
      <c r="D267" s="24" t="s">
        <v>1721</v>
      </c>
      <c r="E267" s="5" t="s">
        <v>1725</v>
      </c>
      <c r="F267" s="24" t="s">
        <v>1721</v>
      </c>
      <c r="G267" s="24" t="s">
        <v>1721</v>
      </c>
      <c r="H267" s="24" t="s">
        <v>1721</v>
      </c>
      <c r="I267" s="24" t="s">
        <v>1721</v>
      </c>
      <c r="J267" s="24" t="s">
        <v>1721</v>
      </c>
      <c r="K267" s="24" t="s">
        <v>1721</v>
      </c>
      <c r="L267" s="24" t="s">
        <v>1721</v>
      </c>
      <c r="M267" s="9">
        <v>16</v>
      </c>
      <c r="N267" s="6">
        <f>IFERROR(Table2[[#This Row],[Darbuotojų skaičius]]/M266-1,0)</f>
        <v>-5.8823529411764719E-2</v>
      </c>
      <c r="O267" s="9">
        <v>1086</v>
      </c>
      <c r="P267" s="6">
        <v>-0.2</v>
      </c>
      <c r="Q267" s="9">
        <f>Table2[[#This Row],[Atlyginimo vidurkis]]*Table2[[#This Row],[Darbuotojų skaičius]]*12</f>
        <v>208512</v>
      </c>
      <c r="R267" s="49">
        <f>IFERROR(Table2[[#This Row],[DU sąnaudos]]/Q266-1,0)</f>
        <v>-0.25119586296056884</v>
      </c>
      <c r="S267" s="9">
        <v>2102463</v>
      </c>
      <c r="T267" s="6">
        <v>-0.15</v>
      </c>
      <c r="U267" s="9">
        <f>IF(Table2[[#This Row],[DU sąnaudos]]=0,0,Table2[[#This Row],[Apyvarta]]-Table2[[#This Row],[DU sąnaudos]]-Table2[[#This Row],[Pelnas]])</f>
        <v>1765778</v>
      </c>
      <c r="V267" s="49">
        <f>IFERROR(Table2[[#This Row],[Ne-atlyginimų sąnaudos]]/U266-1,0)</f>
        <v>-0.15991461071229263</v>
      </c>
      <c r="W267" s="9">
        <v>128173</v>
      </c>
      <c r="X267" s="6">
        <v>0.24</v>
      </c>
      <c r="Y267" s="8">
        <f>Table2[[#This Row],[DU sąnaudos]]*0.43</f>
        <v>89660.160000000003</v>
      </c>
      <c r="Z267" s="8">
        <f>Table2[[#This Row],[Apyvarta]]-Table2[[#This Row],[Ne-atlyginimų sąnaudos]]+Table2[[#This Row],[Fiks ir pelno mokestis]]</f>
        <v>426345.16000000003</v>
      </c>
    </row>
    <row r="268" spans="1:26" hidden="1" x14ac:dyDescent="0.2">
      <c r="A268" s="5" t="s">
        <v>1519</v>
      </c>
      <c r="B268" t="s">
        <v>1520</v>
      </c>
      <c r="C268">
        <v>2021</v>
      </c>
      <c r="D268" s="24" t="s">
        <v>1721</v>
      </c>
      <c r="E268" s="5" t="s">
        <v>1725</v>
      </c>
      <c r="F268" s="24" t="s">
        <v>1721</v>
      </c>
      <c r="G268" s="24" t="s">
        <v>1721</v>
      </c>
      <c r="H268" s="24" t="s">
        <v>1721</v>
      </c>
      <c r="I268" s="24" t="s">
        <v>1721</v>
      </c>
      <c r="J268" s="24" t="s">
        <v>1721</v>
      </c>
      <c r="K268" s="24" t="s">
        <v>1721</v>
      </c>
      <c r="L268" s="24" t="s">
        <v>1721</v>
      </c>
      <c r="M268" s="9">
        <v>14</v>
      </c>
      <c r="N268" s="6">
        <f>IFERROR(Table2[[#This Row],[Darbuotojų skaičius]]/M267-1,0)</f>
        <v>-0.125</v>
      </c>
      <c r="O268" s="9">
        <v>1485</v>
      </c>
      <c r="P268" s="6">
        <v>0.37</v>
      </c>
      <c r="Q268" s="9">
        <f>Table2[[#This Row],[Atlyginimo vidurkis]]*Table2[[#This Row],[Darbuotojų skaičius]]*12</f>
        <v>249480</v>
      </c>
      <c r="R268" s="49">
        <f>IFERROR(Table2[[#This Row],[DU sąnaudos]]/Q267-1,0)</f>
        <v>0.19647790055248615</v>
      </c>
      <c r="S268" s="9">
        <v>2392327</v>
      </c>
      <c r="T268" s="6">
        <v>0.14000000000000001</v>
      </c>
      <c r="U268" s="9">
        <f>IF(Table2[[#This Row],[DU sąnaudos]]=0,0,Table2[[#This Row],[Apyvarta]]-Table2[[#This Row],[DU sąnaudos]]-Table2[[#This Row],[Pelnas]])</f>
        <v>1949472</v>
      </c>
      <c r="V268" s="49">
        <f>IFERROR(Table2[[#This Row],[Ne-atlyginimų sąnaudos]]/U267-1,0)</f>
        <v>0.10403006493455003</v>
      </c>
      <c r="W268" s="9">
        <v>193375</v>
      </c>
      <c r="X268" s="6">
        <v>0.51</v>
      </c>
      <c r="Y268" s="8">
        <f>Table2[[#This Row],[DU sąnaudos]]*0.43</f>
        <v>107276.4</v>
      </c>
      <c r="Z268" s="8">
        <f>Table2[[#This Row],[Apyvarta]]-Table2[[#This Row],[Ne-atlyginimų sąnaudos]]+Table2[[#This Row],[Fiks ir pelno mokestis]]</f>
        <v>550131.4</v>
      </c>
    </row>
    <row r="269" spans="1:26" hidden="1" x14ac:dyDescent="0.2">
      <c r="A269" s="5" t="s">
        <v>1519</v>
      </c>
      <c r="B269" t="s">
        <v>1520</v>
      </c>
      <c r="C269">
        <v>2022</v>
      </c>
      <c r="D269" s="24" t="s">
        <v>1721</v>
      </c>
      <c r="E269" s="5" t="s">
        <v>1725</v>
      </c>
      <c r="F269" s="24" t="s">
        <v>1721</v>
      </c>
      <c r="G269" s="24" t="s">
        <v>1721</v>
      </c>
      <c r="H269" s="24" t="s">
        <v>1721</v>
      </c>
      <c r="I269" s="24" t="s">
        <v>1721</v>
      </c>
      <c r="J269" s="24" t="s">
        <v>1721</v>
      </c>
      <c r="K269" s="24" t="s">
        <v>1721</v>
      </c>
      <c r="L269" s="24" t="s">
        <v>1721</v>
      </c>
      <c r="M269" s="9">
        <v>14</v>
      </c>
      <c r="N269" s="6">
        <f>IFERROR(Table2[[#This Row],[Darbuotojų skaičius]]/M268-1,0)</f>
        <v>0</v>
      </c>
      <c r="O269" s="9">
        <v>2179</v>
      </c>
      <c r="P269" s="6">
        <v>0.47</v>
      </c>
      <c r="Q269" s="9">
        <f>Table2[[#This Row],[Atlyginimo vidurkis]]*Table2[[#This Row],[Darbuotojų skaičius]]*12</f>
        <v>366072</v>
      </c>
      <c r="R269" s="49">
        <f>IFERROR(Table2[[#This Row],[DU sąnaudos]]/Q268-1,0)</f>
        <v>0.46734006734006739</v>
      </c>
      <c r="S269" s="9">
        <v>3769383</v>
      </c>
      <c r="T269" s="6">
        <v>0.57999999999999996</v>
      </c>
      <c r="U269" s="9">
        <f>IF(Table2[[#This Row],[DU sąnaudos]]=0,0,Table2[[#This Row],[Apyvarta]]-Table2[[#This Row],[DU sąnaudos]]-Table2[[#This Row],[Pelnas]])</f>
        <v>3126396</v>
      </c>
      <c r="V269" s="49">
        <f>IFERROR(Table2[[#This Row],[Ne-atlyginimų sąnaudos]]/U268-1,0)</f>
        <v>0.60371423647018263</v>
      </c>
      <c r="W269" s="9">
        <v>276915</v>
      </c>
      <c r="X269" s="6">
        <v>0.43</v>
      </c>
      <c r="Y269" s="8">
        <f>Table2[[#This Row],[DU sąnaudos]]*0.43</f>
        <v>157410.96</v>
      </c>
      <c r="Z269" s="8">
        <f>Table2[[#This Row],[Apyvarta]]-Table2[[#This Row],[Ne-atlyginimų sąnaudos]]+Table2[[#This Row],[Fiks ir pelno mokestis]]</f>
        <v>800397.96</v>
      </c>
    </row>
    <row r="270" spans="1:26" hidden="1" x14ac:dyDescent="0.2">
      <c r="A270" s="5" t="s">
        <v>1519</v>
      </c>
      <c r="B270" t="s">
        <v>1520</v>
      </c>
      <c r="C270">
        <v>2023</v>
      </c>
      <c r="D270" s="24" t="s">
        <v>1721</v>
      </c>
      <c r="E270" s="5" t="s">
        <v>1725</v>
      </c>
      <c r="F270" s="24" t="s">
        <v>1721</v>
      </c>
      <c r="G270" s="24" t="s">
        <v>1721</v>
      </c>
      <c r="H270" s="24" t="s">
        <v>1721</v>
      </c>
      <c r="I270" s="24" t="s">
        <v>1721</v>
      </c>
      <c r="J270" s="24" t="s">
        <v>1721</v>
      </c>
      <c r="K270" s="24" t="s">
        <v>1721</v>
      </c>
      <c r="L270" s="24" t="s">
        <v>1721</v>
      </c>
      <c r="M270" s="9">
        <v>15</v>
      </c>
      <c r="N270" s="6">
        <f>IFERROR(Table2[[#This Row],[Darbuotojų skaičius]]/M269-1,0)</f>
        <v>7.1428571428571397E-2</v>
      </c>
      <c r="O270" s="9">
        <v>2456</v>
      </c>
      <c r="P270" s="6">
        <v>0.13</v>
      </c>
      <c r="Q270" s="9">
        <f>Table2[[#This Row],[Atlyginimo vidurkis]]*Table2[[#This Row],[Darbuotojų skaičius]]*12</f>
        <v>442080</v>
      </c>
      <c r="R270" s="49">
        <f>IFERROR(Table2[[#This Row],[DU sąnaudos]]/Q269-1,0)</f>
        <v>0.20763128564872479</v>
      </c>
      <c r="S270" s="9">
        <v>3334151</v>
      </c>
      <c r="T270" s="6">
        <v>-0.12</v>
      </c>
      <c r="U270" s="9">
        <f>IF(Table2[[#This Row],[DU sąnaudos]]=0,0,Table2[[#This Row],[Apyvarta]]-Table2[[#This Row],[DU sąnaudos]]-Table2[[#This Row],[Pelnas]])</f>
        <v>2783702</v>
      </c>
      <c r="V270" s="49">
        <f>IFERROR(Table2[[#This Row],[Ne-atlyginimų sąnaudos]]/U269-1,0)</f>
        <v>-0.10961311362987924</v>
      </c>
      <c r="W270" s="9">
        <v>108369</v>
      </c>
      <c r="X270" s="6">
        <v>-0.61</v>
      </c>
      <c r="Y270" s="8">
        <f>Table2[[#This Row],[DU sąnaudos]]*0.43</f>
        <v>190094.4</v>
      </c>
      <c r="Z270" s="8">
        <f>Table2[[#This Row],[Apyvarta]]-Table2[[#This Row],[Ne-atlyginimų sąnaudos]]+Table2[[#This Row],[Fiks ir pelno mokestis]]</f>
        <v>740543.4</v>
      </c>
    </row>
    <row r="271" spans="1:26" hidden="1" x14ac:dyDescent="0.2">
      <c r="A271" s="5" t="s">
        <v>1519</v>
      </c>
      <c r="B271" t="s">
        <v>1520</v>
      </c>
      <c r="C271">
        <v>2024</v>
      </c>
      <c r="D271" s="24" t="s">
        <v>1721</v>
      </c>
      <c r="E271" s="5" t="s">
        <v>1725</v>
      </c>
      <c r="F271" s="24" t="s">
        <v>1721</v>
      </c>
      <c r="G271" s="24" t="s">
        <v>1721</v>
      </c>
      <c r="H271" s="24" t="s">
        <v>1721</v>
      </c>
      <c r="I271" s="24" t="s">
        <v>1721</v>
      </c>
      <c r="J271" s="24" t="s">
        <v>1721</v>
      </c>
      <c r="K271" s="24" t="s">
        <v>1721</v>
      </c>
      <c r="L271" s="24" t="s">
        <v>1721</v>
      </c>
      <c r="M271" s="9">
        <v>14</v>
      </c>
      <c r="N271" s="6">
        <f>IFERROR(Table2[[#This Row],[Darbuotojų skaičius]]/M270-1,0)</f>
        <v>-6.6666666666666652E-2</v>
      </c>
      <c r="O271" s="9">
        <v>2899</v>
      </c>
      <c r="P271" s="6">
        <v>0.18</v>
      </c>
      <c r="Q271" s="9">
        <f>Table2[[#This Row],[Atlyginimo vidurkis]]*Table2[[#This Row],[Darbuotojų skaičius]]*12</f>
        <v>487032</v>
      </c>
      <c r="R271" s="49">
        <f>IFERROR(Table2[[#This Row],[DU sąnaudos]]/Q270-1,0)</f>
        <v>0.1016829533116177</v>
      </c>
      <c r="S271" s="9">
        <v>3604605</v>
      </c>
      <c r="T271" s="6">
        <v>0.08</v>
      </c>
      <c r="U271" s="9">
        <f>IF(Table2[[#This Row],[DU sąnaudos]]=0,0,Table2[[#This Row],[Apyvarta]]-Table2[[#This Row],[DU sąnaudos]]-Table2[[#This Row],[Pelnas]])</f>
        <v>2979828</v>
      </c>
      <c r="V271" s="49">
        <f>IFERROR(Table2[[#This Row],[Ne-atlyginimų sąnaudos]]/U270-1,0)</f>
        <v>7.0455099001258015E-2</v>
      </c>
      <c r="W271" s="9">
        <v>137745</v>
      </c>
      <c r="X271" s="6">
        <v>0.27</v>
      </c>
      <c r="Y271" s="8">
        <f>Table2[[#This Row],[DU sąnaudos]]*0.43</f>
        <v>209423.76</v>
      </c>
      <c r="Z271" s="8">
        <f>Table2[[#This Row],[Apyvarta]]-Table2[[#This Row],[Ne-atlyginimų sąnaudos]]+Table2[[#This Row],[Fiks ir pelno mokestis]]</f>
        <v>834200.76</v>
      </c>
    </row>
    <row r="272" spans="1:26" hidden="1" x14ac:dyDescent="0.2">
      <c r="A272" s="5" t="s">
        <v>506</v>
      </c>
      <c r="B272" s="5" t="s">
        <v>1521</v>
      </c>
      <c r="C272" s="5">
        <v>2019</v>
      </c>
      <c r="D272" s="5" t="s">
        <v>1721</v>
      </c>
      <c r="E272" s="5" t="s">
        <v>1721</v>
      </c>
      <c r="F272" s="5" t="s">
        <v>1721</v>
      </c>
      <c r="G272" s="5" t="s">
        <v>1721</v>
      </c>
      <c r="H272" s="5" t="s">
        <v>1721</v>
      </c>
      <c r="I272" s="5" t="s">
        <v>1721</v>
      </c>
      <c r="J272" s="5" t="s">
        <v>1721</v>
      </c>
      <c r="K272" s="5" t="s">
        <v>193</v>
      </c>
      <c r="L272" s="5" t="s">
        <v>1721</v>
      </c>
      <c r="M272" s="9">
        <v>3</v>
      </c>
      <c r="N272" s="6">
        <v>0</v>
      </c>
      <c r="O272" s="9">
        <v>1764</v>
      </c>
      <c r="P272" s="6">
        <v>0</v>
      </c>
      <c r="Q272" s="9">
        <f>Table2[[#This Row],[Atlyginimo vidurkis]]*Table2[[#This Row],[Darbuotojų skaičius]]*12</f>
        <v>63504</v>
      </c>
      <c r="R272" s="49">
        <v>0</v>
      </c>
      <c r="S272" s="9">
        <v>585857</v>
      </c>
      <c r="T272" s="6">
        <v>0</v>
      </c>
      <c r="U272" s="9">
        <f>IF(Table2[[#This Row],[DU sąnaudos]]=0,0,Table2[[#This Row],[Apyvarta]]-Table2[[#This Row],[DU sąnaudos]]-Table2[[#This Row],[Pelnas]])</f>
        <v>456475</v>
      </c>
      <c r="V272" s="49">
        <v>0</v>
      </c>
      <c r="W272" s="9">
        <v>65878</v>
      </c>
      <c r="X272" s="6">
        <v>0</v>
      </c>
      <c r="Y272" s="8">
        <f>Table2[[#This Row],[DU sąnaudos]]*0.43</f>
        <v>27306.720000000001</v>
      </c>
      <c r="Z272" s="8">
        <f>Table2[[#This Row],[Apyvarta]]-Table2[[#This Row],[Ne-atlyginimų sąnaudos]]+Table2[[#This Row],[Fiks ir pelno mokestis]]</f>
        <v>156688.72</v>
      </c>
    </row>
    <row r="273" spans="1:26" hidden="1" x14ac:dyDescent="0.2">
      <c r="A273" s="5" t="s">
        <v>506</v>
      </c>
      <c r="B273" s="5" t="s">
        <v>1521</v>
      </c>
      <c r="C273" s="5">
        <v>2020</v>
      </c>
      <c r="D273" s="5" t="s">
        <v>1721</v>
      </c>
      <c r="E273" s="5" t="s">
        <v>1721</v>
      </c>
      <c r="F273" s="5" t="s">
        <v>1721</v>
      </c>
      <c r="G273" s="5" t="s">
        <v>1721</v>
      </c>
      <c r="H273" s="5" t="s">
        <v>1721</v>
      </c>
      <c r="I273" s="5" t="s">
        <v>1721</v>
      </c>
      <c r="J273" s="5" t="s">
        <v>1721</v>
      </c>
      <c r="K273" s="5" t="s">
        <v>193</v>
      </c>
      <c r="L273" s="5" t="s">
        <v>1721</v>
      </c>
      <c r="M273" s="9">
        <v>5</v>
      </c>
      <c r="N273" s="6">
        <f>IFERROR(Table2[[#This Row],[Darbuotojų skaičius]]/M272-1,0)</f>
        <v>0.66666666666666674</v>
      </c>
      <c r="O273" s="9">
        <v>1914</v>
      </c>
      <c r="P273" s="6">
        <v>8.503401360544216E-2</v>
      </c>
      <c r="Q273" s="9">
        <f>Table2[[#This Row],[Atlyginimo vidurkis]]*Table2[[#This Row],[Darbuotojų skaičius]]*12</f>
        <v>114840</v>
      </c>
      <c r="R273" s="49">
        <f>IFERROR(Table2[[#This Row],[DU sąnaudos]]/Q272-1,0)</f>
        <v>0.80839002267573701</v>
      </c>
      <c r="S273" s="9">
        <v>1002530</v>
      </c>
      <c r="T273" s="6">
        <v>0.71121963209452144</v>
      </c>
      <c r="U273" s="9">
        <f>IF(Table2[[#This Row],[DU sąnaudos]]=0,0,Table2[[#This Row],[Apyvarta]]-Table2[[#This Row],[DU sąnaudos]]-Table2[[#This Row],[Pelnas]])</f>
        <v>805535</v>
      </c>
      <c r="V273" s="49">
        <f>IFERROR(Table2[[#This Row],[Ne-atlyginimų sąnaudos]]/U272-1,0)</f>
        <v>0.76468590831918504</v>
      </c>
      <c r="W273" s="9">
        <v>82155</v>
      </c>
      <c r="X273" s="6">
        <v>0.24707793193478839</v>
      </c>
      <c r="Y273" s="8">
        <f>Table2[[#This Row],[DU sąnaudos]]*0.43</f>
        <v>49381.2</v>
      </c>
      <c r="Z273" s="8">
        <f>Table2[[#This Row],[Apyvarta]]-Table2[[#This Row],[Ne-atlyginimų sąnaudos]]+Table2[[#This Row],[Fiks ir pelno mokestis]]</f>
        <v>246376.2</v>
      </c>
    </row>
    <row r="274" spans="1:26" hidden="1" x14ac:dyDescent="0.2">
      <c r="A274" s="5" t="s">
        <v>506</v>
      </c>
      <c r="B274" s="5" t="s">
        <v>1521</v>
      </c>
      <c r="C274" s="5">
        <v>2021</v>
      </c>
      <c r="D274" s="5" t="s">
        <v>1721</v>
      </c>
      <c r="E274" s="5" t="s">
        <v>1721</v>
      </c>
      <c r="F274" s="5" t="s">
        <v>1721</v>
      </c>
      <c r="G274" s="5" t="s">
        <v>1721</v>
      </c>
      <c r="H274" s="5" t="s">
        <v>1721</v>
      </c>
      <c r="I274" s="5" t="s">
        <v>1721</v>
      </c>
      <c r="J274" s="5" t="s">
        <v>1721</v>
      </c>
      <c r="K274" s="5" t="s">
        <v>193</v>
      </c>
      <c r="L274" s="5" t="s">
        <v>1721</v>
      </c>
      <c r="M274" s="9">
        <v>8</v>
      </c>
      <c r="N274" s="6">
        <f>IFERROR(Table2[[#This Row],[Darbuotojų skaičius]]/M273-1,0)</f>
        <v>0.60000000000000009</v>
      </c>
      <c r="O274" s="9">
        <v>2004</v>
      </c>
      <c r="P274" s="6">
        <v>4.7021943573667617E-2</v>
      </c>
      <c r="Q274" s="9">
        <f>Table2[[#This Row],[Atlyginimo vidurkis]]*Table2[[#This Row],[Darbuotojų skaičius]]*12</f>
        <v>192384</v>
      </c>
      <c r="R274" s="49">
        <f>IFERROR(Table2[[#This Row],[DU sąnaudos]]/Q273-1,0)</f>
        <v>0.67523510971786838</v>
      </c>
      <c r="S274" s="9">
        <v>1493124</v>
      </c>
      <c r="T274" s="6">
        <v>0.48935592949836909</v>
      </c>
      <c r="U274" s="9">
        <f>IF(Table2[[#This Row],[DU sąnaudos]]=0,0,Table2[[#This Row],[Apyvarta]]-Table2[[#This Row],[DU sąnaudos]]-Table2[[#This Row],[Pelnas]])</f>
        <v>1216227</v>
      </c>
      <c r="V274" s="49">
        <f>IFERROR(Table2[[#This Row],[Ne-atlyginimų sąnaudos]]/U273-1,0)</f>
        <v>0.50983756137225567</v>
      </c>
      <c r="W274" s="9">
        <v>84513</v>
      </c>
      <c r="X274" s="6">
        <v>2.8701844075223581E-2</v>
      </c>
      <c r="Y274" s="8">
        <f>Table2[[#This Row],[DU sąnaudos]]*0.43</f>
        <v>82725.119999999995</v>
      </c>
      <c r="Z274" s="8">
        <f>Table2[[#This Row],[Apyvarta]]-Table2[[#This Row],[Ne-atlyginimų sąnaudos]]+Table2[[#This Row],[Fiks ir pelno mokestis]]</f>
        <v>359622.12</v>
      </c>
    </row>
    <row r="275" spans="1:26" hidden="1" x14ac:dyDescent="0.2">
      <c r="A275" s="5" t="s">
        <v>506</v>
      </c>
      <c r="B275" s="5" t="s">
        <v>1521</v>
      </c>
      <c r="C275" s="5">
        <v>2022</v>
      </c>
      <c r="D275" s="5" t="s">
        <v>1721</v>
      </c>
      <c r="E275" s="5" t="s">
        <v>1721</v>
      </c>
      <c r="F275" s="5" t="s">
        <v>1721</v>
      </c>
      <c r="G275" s="5" t="s">
        <v>1721</v>
      </c>
      <c r="H275" s="5" t="s">
        <v>1721</v>
      </c>
      <c r="I275" s="5" t="s">
        <v>1721</v>
      </c>
      <c r="J275" s="5" t="s">
        <v>1721</v>
      </c>
      <c r="K275" s="5" t="s">
        <v>193</v>
      </c>
      <c r="L275" s="5" t="s">
        <v>1721</v>
      </c>
      <c r="M275" s="9">
        <v>12</v>
      </c>
      <c r="N275" s="6">
        <f>IFERROR(Table2[[#This Row],[Darbuotojų skaičius]]/M274-1,0)</f>
        <v>0.5</v>
      </c>
      <c r="O275" s="9">
        <v>2143</v>
      </c>
      <c r="P275" s="6">
        <v>6.9361277445109781E-2</v>
      </c>
      <c r="Q275" s="9">
        <f>Table2[[#This Row],[Atlyginimo vidurkis]]*Table2[[#This Row],[Darbuotojų skaičius]]*12</f>
        <v>308592</v>
      </c>
      <c r="R275" s="49">
        <f>IFERROR(Table2[[#This Row],[DU sąnaudos]]/Q274-1,0)</f>
        <v>0.60404191616766467</v>
      </c>
      <c r="S275" s="9">
        <v>1800902</v>
      </c>
      <c r="T275" s="6">
        <v>0.20613023432749039</v>
      </c>
      <c r="U275" s="9">
        <f>IF(Table2[[#This Row],[DU sąnaudos]]=0,0,Table2[[#This Row],[Apyvarta]]-Table2[[#This Row],[DU sąnaudos]]-Table2[[#This Row],[Pelnas]])</f>
        <v>1467095</v>
      </c>
      <c r="V275" s="49">
        <f>IFERROR(Table2[[#This Row],[Ne-atlyginimų sąnaudos]]/U274-1,0)</f>
        <v>0.20626741554002659</v>
      </c>
      <c r="W275" s="9">
        <v>25215</v>
      </c>
      <c r="X275" s="6">
        <v>-0.70164353413084379</v>
      </c>
      <c r="Y275" s="8">
        <f>Table2[[#This Row],[DU sąnaudos]]*0.43</f>
        <v>132694.56</v>
      </c>
      <c r="Z275" s="8">
        <f>Table2[[#This Row],[Apyvarta]]-Table2[[#This Row],[Ne-atlyginimų sąnaudos]]+Table2[[#This Row],[Fiks ir pelno mokestis]]</f>
        <v>466501.56</v>
      </c>
    </row>
    <row r="276" spans="1:26" hidden="1" x14ac:dyDescent="0.2">
      <c r="A276" s="5" t="s">
        <v>506</v>
      </c>
      <c r="B276" s="5" t="s">
        <v>1521</v>
      </c>
      <c r="C276" s="5">
        <v>2023</v>
      </c>
      <c r="D276" s="5" t="s">
        <v>1721</v>
      </c>
      <c r="E276" s="5" t="s">
        <v>1721</v>
      </c>
      <c r="F276" s="5" t="s">
        <v>1721</v>
      </c>
      <c r="G276" s="5" t="s">
        <v>1721</v>
      </c>
      <c r="H276" s="5" t="s">
        <v>1721</v>
      </c>
      <c r="I276" s="5" t="s">
        <v>1721</v>
      </c>
      <c r="J276" s="5" t="s">
        <v>1721</v>
      </c>
      <c r="K276" s="5" t="s">
        <v>193</v>
      </c>
      <c r="L276" s="5" t="s">
        <v>1721</v>
      </c>
      <c r="M276" s="9">
        <v>12</v>
      </c>
      <c r="N276" s="6">
        <f>IFERROR(Table2[[#This Row],[Darbuotojų skaičius]]/M275-1,0)</f>
        <v>0</v>
      </c>
      <c r="O276" s="9">
        <v>2169</v>
      </c>
      <c r="P276" s="6">
        <v>1.213252449836677E-2</v>
      </c>
      <c r="Q276" s="9">
        <f>Table2[[#This Row],[Atlyginimo vidurkis]]*Table2[[#This Row],[Darbuotojų skaičius]]*12</f>
        <v>312336</v>
      </c>
      <c r="R276" s="49">
        <f>IFERROR(Table2[[#This Row],[DU sąnaudos]]/Q275-1,0)</f>
        <v>1.213252449836677E-2</v>
      </c>
      <c r="S276" s="9">
        <v>1925562</v>
      </c>
      <c r="T276" s="6">
        <v>6.9220868209375119E-2</v>
      </c>
      <c r="U276" s="9">
        <f>IF(Table2[[#This Row],[DU sąnaudos]]=0,0,Table2[[#This Row],[Apyvarta]]-Table2[[#This Row],[DU sąnaudos]]-Table2[[#This Row],[Pelnas]])</f>
        <v>1530560</v>
      </c>
      <c r="V276" s="49">
        <f>IFERROR(Table2[[#This Row],[Ne-atlyginimų sąnaudos]]/U275-1,0)</f>
        <v>4.3258957327235059E-2</v>
      </c>
      <c r="W276" s="9">
        <v>82666</v>
      </c>
      <c r="X276" s="6">
        <v>2.2784453698195519</v>
      </c>
      <c r="Y276" s="8">
        <f>Table2[[#This Row],[DU sąnaudos]]*0.43</f>
        <v>134304.48000000001</v>
      </c>
      <c r="Z276" s="8">
        <f>Table2[[#This Row],[Apyvarta]]-Table2[[#This Row],[Ne-atlyginimų sąnaudos]]+Table2[[#This Row],[Fiks ir pelno mokestis]]</f>
        <v>529306.48</v>
      </c>
    </row>
    <row r="277" spans="1:26" hidden="1" x14ac:dyDescent="0.2">
      <c r="A277" s="5" t="s">
        <v>506</v>
      </c>
      <c r="B277" s="5" t="s">
        <v>1521</v>
      </c>
      <c r="C277" s="5">
        <v>2024</v>
      </c>
      <c r="D277" s="5" t="s">
        <v>1721</v>
      </c>
      <c r="E277" s="5" t="s">
        <v>1721</v>
      </c>
      <c r="F277" s="5" t="s">
        <v>1721</v>
      </c>
      <c r="G277" s="5" t="s">
        <v>1721</v>
      </c>
      <c r="H277" s="5" t="s">
        <v>1721</v>
      </c>
      <c r="I277" s="5" t="s">
        <v>1721</v>
      </c>
      <c r="J277" s="5" t="s">
        <v>1721</v>
      </c>
      <c r="K277" s="5" t="s">
        <v>193</v>
      </c>
      <c r="L277" s="5" t="s">
        <v>1721</v>
      </c>
      <c r="M277" s="9">
        <v>13</v>
      </c>
      <c r="N277" s="6">
        <f>IFERROR(Table2[[#This Row],[Darbuotojų skaičius]]/M276-1,0)</f>
        <v>8.3333333333333259E-2</v>
      </c>
      <c r="O277" s="9">
        <v>2452</v>
      </c>
      <c r="P277" s="6">
        <v>0.13047487321346241</v>
      </c>
      <c r="Q277" s="9">
        <f>Table2[[#This Row],[Atlyginimo vidurkis]]*Table2[[#This Row],[Darbuotojų skaičius]]*12</f>
        <v>382512</v>
      </c>
      <c r="R277" s="49">
        <f>IFERROR(Table2[[#This Row],[DU sąnaudos]]/Q276-1,0)</f>
        <v>0.22468111264791757</v>
      </c>
      <c r="S277" s="9">
        <v>2454743</v>
      </c>
      <c r="T277" s="6">
        <v>0.27481898791106191</v>
      </c>
      <c r="U277" s="9">
        <f>IF(Table2[[#This Row],[DU sąnaudos]]=0,0,Table2[[#This Row],[Apyvarta]]-Table2[[#This Row],[DU sąnaudos]]-Table2[[#This Row],[Pelnas]])</f>
        <v>1930905</v>
      </c>
      <c r="V277" s="49">
        <f>IFERROR(Table2[[#This Row],[Ne-atlyginimų sąnaudos]]/U276-1,0)</f>
        <v>0.26156766150951283</v>
      </c>
      <c r="W277" s="9">
        <v>141326</v>
      </c>
      <c r="X277" s="6">
        <v>0.70960249679432907</v>
      </c>
      <c r="Y277" s="8">
        <f>Table2[[#This Row],[DU sąnaudos]]*0.43</f>
        <v>164480.16</v>
      </c>
      <c r="Z277" s="8">
        <f>Table2[[#This Row],[Apyvarta]]-Table2[[#This Row],[Ne-atlyginimų sąnaudos]]+Table2[[#This Row],[Fiks ir pelno mokestis]]</f>
        <v>688318.16</v>
      </c>
    </row>
    <row r="278" spans="1:26" x14ac:dyDescent="0.2">
      <c r="A278" s="5" t="s">
        <v>455</v>
      </c>
      <c r="B278" s="5" t="s">
        <v>1525</v>
      </c>
      <c r="C278" s="5">
        <v>2019</v>
      </c>
      <c r="D278" s="5" t="s">
        <v>1721</v>
      </c>
      <c r="E278" s="5" t="s">
        <v>1721</v>
      </c>
      <c r="F278" s="5" t="s">
        <v>1721</v>
      </c>
      <c r="G278" s="5" t="s">
        <v>1721</v>
      </c>
      <c r="H278" s="5" t="s">
        <v>1721</v>
      </c>
      <c r="I278" s="5" t="s">
        <v>1721</v>
      </c>
      <c r="J278" s="5" t="s">
        <v>300</v>
      </c>
      <c r="K278" s="5" t="s">
        <v>193</v>
      </c>
      <c r="L278" s="5" t="s">
        <v>1721</v>
      </c>
      <c r="M278" s="9">
        <v>21</v>
      </c>
      <c r="N278" s="6">
        <v>0</v>
      </c>
      <c r="O278" s="9">
        <v>2641</v>
      </c>
      <c r="P278" s="6">
        <v>0</v>
      </c>
      <c r="Q278" s="9">
        <f>Table2[[#This Row],[Atlyginimo vidurkis]]*Table2[[#This Row],[Darbuotojų skaičius]]*12</f>
        <v>665532</v>
      </c>
      <c r="R278" s="49">
        <v>0</v>
      </c>
      <c r="S278" s="9">
        <v>1437630</v>
      </c>
      <c r="T278" s="6">
        <v>0</v>
      </c>
      <c r="U278" s="9">
        <f>IF(Table2[[#This Row],[DU sąnaudos]]=0,0,Table2[[#This Row],[Apyvarta]]-Table2[[#This Row],[DU sąnaudos]]-Table2[[#This Row],[Pelnas]])</f>
        <v>742599</v>
      </c>
      <c r="V278" s="49">
        <v>0</v>
      </c>
      <c r="W278" s="9">
        <v>29499</v>
      </c>
      <c r="X278" s="6">
        <v>0</v>
      </c>
      <c r="Y278" s="8">
        <f>Table2[[#This Row],[DU sąnaudos]]*0.43</f>
        <v>286178.76</v>
      </c>
      <c r="Z278" s="8">
        <f>Table2[[#This Row],[Apyvarta]]-Table2[[#This Row],[Ne-atlyginimų sąnaudos]]+Table2[[#This Row],[Fiks ir pelno mokestis]]</f>
        <v>981209.76</v>
      </c>
    </row>
    <row r="279" spans="1:26" x14ac:dyDescent="0.2">
      <c r="A279" s="5" t="s">
        <v>455</v>
      </c>
      <c r="B279" s="5" t="s">
        <v>1525</v>
      </c>
      <c r="C279" s="5">
        <v>2020</v>
      </c>
      <c r="D279" s="5" t="s">
        <v>1721</v>
      </c>
      <c r="E279" s="5" t="s">
        <v>1721</v>
      </c>
      <c r="F279" s="5" t="s">
        <v>1721</v>
      </c>
      <c r="G279" s="5" t="s">
        <v>1721</v>
      </c>
      <c r="H279" s="5" t="s">
        <v>1721</v>
      </c>
      <c r="I279" s="5" t="s">
        <v>1721</v>
      </c>
      <c r="J279" s="5" t="s">
        <v>300</v>
      </c>
      <c r="K279" s="5" t="s">
        <v>193</v>
      </c>
      <c r="L279" s="5" t="s">
        <v>1721</v>
      </c>
      <c r="M279" s="9">
        <v>19</v>
      </c>
      <c r="N279" s="6">
        <f>IFERROR(Table2[[#This Row],[Darbuotojų skaičius]]/M278-1,0)</f>
        <v>-9.5238095238095233E-2</v>
      </c>
      <c r="O279" s="9">
        <v>2472</v>
      </c>
      <c r="P279" s="6">
        <v>-6.3990912533131383E-2</v>
      </c>
      <c r="Q279" s="9">
        <f>Table2[[#This Row],[Atlyginimo vidurkis]]*Table2[[#This Row],[Darbuotojų skaičius]]*12</f>
        <v>563616</v>
      </c>
      <c r="R279" s="49">
        <f>IFERROR(Table2[[#This Row],[DU sąnaudos]]/Q278-1,0)</f>
        <v>-0.15313463514902359</v>
      </c>
      <c r="S279" s="9">
        <v>1657585</v>
      </c>
      <c r="T279" s="6">
        <v>0.1529983375416484</v>
      </c>
      <c r="U279" s="9">
        <f>IF(Table2[[#This Row],[DU sąnaudos]]=0,0,Table2[[#This Row],[Apyvarta]]-Table2[[#This Row],[DU sąnaudos]]-Table2[[#This Row],[Pelnas]])</f>
        <v>911880</v>
      </c>
      <c r="V279" s="49">
        <f>IFERROR(Table2[[#This Row],[Ne-atlyginimų sąnaudos]]/U278-1,0)</f>
        <v>0.2279574844566179</v>
      </c>
      <c r="W279" s="9">
        <v>182089</v>
      </c>
      <c r="X279" s="6">
        <v>5.1727177192447202</v>
      </c>
      <c r="Y279" s="8">
        <f>Table2[[#This Row],[DU sąnaudos]]*0.43</f>
        <v>242354.88</v>
      </c>
      <c r="Z279" s="8">
        <f>Table2[[#This Row],[Apyvarta]]-Table2[[#This Row],[Ne-atlyginimų sąnaudos]]+Table2[[#This Row],[Fiks ir pelno mokestis]]</f>
        <v>988059.88</v>
      </c>
    </row>
    <row r="280" spans="1:26" x14ac:dyDescent="0.2">
      <c r="A280" s="5" t="s">
        <v>455</v>
      </c>
      <c r="B280" s="5" t="s">
        <v>1525</v>
      </c>
      <c r="C280" s="5">
        <v>2021</v>
      </c>
      <c r="D280" s="5" t="s">
        <v>1721</v>
      </c>
      <c r="E280" s="5" t="s">
        <v>1721</v>
      </c>
      <c r="F280" s="5" t="s">
        <v>1721</v>
      </c>
      <c r="G280" s="5" t="s">
        <v>1721</v>
      </c>
      <c r="H280" s="5" t="s">
        <v>1721</v>
      </c>
      <c r="I280" s="5" t="s">
        <v>1721</v>
      </c>
      <c r="J280" s="5" t="s">
        <v>300</v>
      </c>
      <c r="K280" s="5" t="s">
        <v>193</v>
      </c>
      <c r="L280" s="5" t="s">
        <v>1721</v>
      </c>
      <c r="M280" s="9">
        <v>30</v>
      </c>
      <c r="N280" s="6">
        <f>IFERROR(Table2[[#This Row],[Darbuotojų skaičius]]/M279-1,0)</f>
        <v>0.57894736842105265</v>
      </c>
      <c r="O280" s="9">
        <v>2653</v>
      </c>
      <c r="P280" s="6">
        <v>7.3220064724919043E-2</v>
      </c>
      <c r="Q280" s="9">
        <f>Table2[[#This Row],[Atlyginimo vidurkis]]*Table2[[#This Row],[Darbuotojų skaičius]]*12</f>
        <v>955080</v>
      </c>
      <c r="R280" s="49">
        <f>IFERROR(Table2[[#This Row],[DU sąnaudos]]/Q279-1,0)</f>
        <v>0.69455799693408271</v>
      </c>
      <c r="S280" s="9">
        <v>2138268</v>
      </c>
      <c r="T280" s="6">
        <v>0.28998995526624571</v>
      </c>
      <c r="U280" s="9">
        <f>IF(Table2[[#This Row],[DU sąnaudos]]=0,0,Table2[[#This Row],[Apyvarta]]-Table2[[#This Row],[DU sąnaudos]]-Table2[[#This Row],[Pelnas]])</f>
        <v>1091157</v>
      </c>
      <c r="V280" s="49">
        <f>IFERROR(Table2[[#This Row],[Ne-atlyginimų sąnaudos]]/U279-1,0)</f>
        <v>0.19660152651664697</v>
      </c>
      <c r="W280" s="9">
        <v>92031</v>
      </c>
      <c r="X280" s="6">
        <v>-0.49458231963490379</v>
      </c>
      <c r="Y280" s="8">
        <f>Table2[[#This Row],[DU sąnaudos]]*0.43</f>
        <v>410684.39999999997</v>
      </c>
      <c r="Z280" s="8">
        <f>Table2[[#This Row],[Apyvarta]]-Table2[[#This Row],[Ne-atlyginimų sąnaudos]]+Table2[[#This Row],[Fiks ir pelno mokestis]]</f>
        <v>1457795.4</v>
      </c>
    </row>
    <row r="281" spans="1:26" x14ac:dyDescent="0.2">
      <c r="A281" s="5" t="s">
        <v>455</v>
      </c>
      <c r="B281" s="5" t="s">
        <v>1525</v>
      </c>
      <c r="C281" s="5">
        <v>2022</v>
      </c>
      <c r="D281" s="5" t="s">
        <v>1721</v>
      </c>
      <c r="E281" s="5" t="s">
        <v>1721</v>
      </c>
      <c r="F281" s="5" t="s">
        <v>1721</v>
      </c>
      <c r="G281" s="5" t="s">
        <v>1721</v>
      </c>
      <c r="H281" s="5" t="s">
        <v>1721</v>
      </c>
      <c r="I281" s="5" t="s">
        <v>1721</v>
      </c>
      <c r="J281" s="5" t="s">
        <v>300</v>
      </c>
      <c r="K281" s="5" t="s">
        <v>193</v>
      </c>
      <c r="L281" s="5" t="s">
        <v>1721</v>
      </c>
      <c r="M281" s="9">
        <v>23</v>
      </c>
      <c r="N281" s="6">
        <f>IFERROR(Table2[[#This Row],[Darbuotojų skaičius]]/M280-1,0)</f>
        <v>-0.23333333333333328</v>
      </c>
      <c r="O281" s="9">
        <v>3013</v>
      </c>
      <c r="P281" s="6">
        <v>0.13569543912551829</v>
      </c>
      <c r="Q281" s="9">
        <f>Table2[[#This Row],[Atlyginimo vidurkis]]*Table2[[#This Row],[Darbuotojų skaičius]]*12</f>
        <v>831588</v>
      </c>
      <c r="R281" s="49">
        <f>IFERROR(Table2[[#This Row],[DU sąnaudos]]/Q280-1,0)</f>
        <v>-0.1293001633371027</v>
      </c>
      <c r="S281" s="9">
        <v>2505905</v>
      </c>
      <c r="T281" s="6">
        <v>0.17193214321123459</v>
      </c>
      <c r="U281" s="9">
        <f>IF(Table2[[#This Row],[DU sąnaudos]]=0,0,Table2[[#This Row],[Apyvarta]]-Table2[[#This Row],[DU sąnaudos]]-Table2[[#This Row],[Pelnas]])</f>
        <v>1505264</v>
      </c>
      <c r="V281" s="49">
        <f>IFERROR(Table2[[#This Row],[Ne-atlyginimų sąnaudos]]/U280-1,0)</f>
        <v>0.37951183926785981</v>
      </c>
      <c r="W281" s="9">
        <v>169053</v>
      </c>
      <c r="X281" s="6">
        <v>0.83691364866186402</v>
      </c>
      <c r="Y281" s="8">
        <f>Table2[[#This Row],[DU sąnaudos]]*0.43</f>
        <v>357582.83999999997</v>
      </c>
      <c r="Z281" s="8">
        <f>Table2[[#This Row],[Apyvarta]]-Table2[[#This Row],[Ne-atlyginimų sąnaudos]]+Table2[[#This Row],[Fiks ir pelno mokestis]]</f>
        <v>1358223.8399999999</v>
      </c>
    </row>
    <row r="282" spans="1:26" x14ac:dyDescent="0.2">
      <c r="A282" s="5" t="s">
        <v>455</v>
      </c>
      <c r="B282" s="5" t="s">
        <v>1525</v>
      </c>
      <c r="C282" s="5">
        <v>2023</v>
      </c>
      <c r="D282" s="5" t="s">
        <v>1721</v>
      </c>
      <c r="E282" s="5" t="s">
        <v>1721</v>
      </c>
      <c r="F282" s="5" t="s">
        <v>1721</v>
      </c>
      <c r="G282" s="5" t="s">
        <v>1721</v>
      </c>
      <c r="H282" s="5" t="s">
        <v>1721</v>
      </c>
      <c r="I282" s="5" t="s">
        <v>1721</v>
      </c>
      <c r="J282" s="5" t="s">
        <v>300</v>
      </c>
      <c r="K282" s="5" t="s">
        <v>193</v>
      </c>
      <c r="L282" s="5" t="s">
        <v>1721</v>
      </c>
      <c r="M282" s="9">
        <v>19</v>
      </c>
      <c r="N282" s="6">
        <f>IFERROR(Table2[[#This Row],[Darbuotojų skaičius]]/M281-1,0)</f>
        <v>-0.17391304347826086</v>
      </c>
      <c r="O282" s="9">
        <v>3356</v>
      </c>
      <c r="P282" s="6">
        <v>0.1138400265516097</v>
      </c>
      <c r="Q282" s="9">
        <f>Table2[[#This Row],[Atlyginimo vidurkis]]*Table2[[#This Row],[Darbuotojų skaičius]]*12</f>
        <v>765168</v>
      </c>
      <c r="R282" s="49">
        <f>IFERROR(Table2[[#This Row],[DU sąnaudos]]/Q281-1,0)</f>
        <v>-7.9871282413887634E-2</v>
      </c>
      <c r="S282" s="9">
        <v>2356412</v>
      </c>
      <c r="T282" s="6">
        <v>-5.9656291838677038E-2</v>
      </c>
      <c r="U282" s="9">
        <f>IF(Table2[[#This Row],[DU sąnaudos]]=0,0,Table2[[#This Row],[Apyvarta]]-Table2[[#This Row],[DU sąnaudos]]-Table2[[#This Row],[Pelnas]])</f>
        <v>1419365</v>
      </c>
      <c r="V282" s="49">
        <f>IFERROR(Table2[[#This Row],[Ne-atlyginimų sąnaudos]]/U281-1,0)</f>
        <v>-5.706573730588127E-2</v>
      </c>
      <c r="W282" s="9">
        <v>171879</v>
      </c>
      <c r="X282" s="6">
        <v>1.6716650991109191E-2</v>
      </c>
      <c r="Y282" s="8">
        <f>Table2[[#This Row],[DU sąnaudos]]*0.43</f>
        <v>329022.24</v>
      </c>
      <c r="Z282" s="8">
        <f>Table2[[#This Row],[Apyvarta]]-Table2[[#This Row],[Ne-atlyginimų sąnaudos]]+Table2[[#This Row],[Fiks ir pelno mokestis]]</f>
        <v>1266069.24</v>
      </c>
    </row>
    <row r="283" spans="1:26" x14ac:dyDescent="0.2">
      <c r="A283" s="5" t="s">
        <v>455</v>
      </c>
      <c r="B283" s="5" t="s">
        <v>1525</v>
      </c>
      <c r="C283" s="5">
        <v>2024</v>
      </c>
      <c r="D283" s="5" t="s">
        <v>1721</v>
      </c>
      <c r="E283" s="5" t="s">
        <v>1721</v>
      </c>
      <c r="F283" s="5" t="s">
        <v>1721</v>
      </c>
      <c r="G283" s="5" t="s">
        <v>1721</v>
      </c>
      <c r="H283" s="5" t="s">
        <v>1721</v>
      </c>
      <c r="I283" s="5" t="s">
        <v>1721</v>
      </c>
      <c r="J283" s="5" t="s">
        <v>300</v>
      </c>
      <c r="K283" s="5" t="s">
        <v>193</v>
      </c>
      <c r="L283" s="5" t="s">
        <v>1721</v>
      </c>
      <c r="M283" s="9">
        <v>19</v>
      </c>
      <c r="N283" s="6">
        <f>IFERROR(Table2[[#This Row],[Darbuotojų skaičius]]/M282-1,0)</f>
        <v>0</v>
      </c>
      <c r="O283" s="9">
        <v>3590</v>
      </c>
      <c r="P283" s="6">
        <v>6.9725864123957093E-2</v>
      </c>
      <c r="Q283" s="9">
        <f>Table2[[#This Row],[Atlyginimo vidurkis]]*Table2[[#This Row],[Darbuotojų skaičius]]*12</f>
        <v>818520</v>
      </c>
      <c r="R283" s="49">
        <f>IFERROR(Table2[[#This Row],[DU sąnaudos]]/Q282-1,0)</f>
        <v>6.9725864123957093E-2</v>
      </c>
      <c r="S283" s="9">
        <v>2822488</v>
      </c>
      <c r="T283" s="6">
        <v>0.197790539175662</v>
      </c>
      <c r="U283" s="9">
        <f>IF(Table2[[#This Row],[DU sąnaudos]]=0,0,Table2[[#This Row],[Apyvarta]]-Table2[[#This Row],[DU sąnaudos]]-Table2[[#This Row],[Pelnas]])</f>
        <v>1869505</v>
      </c>
      <c r="V283" s="49">
        <f>IFERROR(Table2[[#This Row],[Ne-atlyginimų sąnaudos]]/U282-1,0)</f>
        <v>0.31714182046196715</v>
      </c>
      <c r="W283" s="9">
        <v>134463</v>
      </c>
      <c r="X283" s="6">
        <v>-0.21768802471506121</v>
      </c>
      <c r="Y283" s="8">
        <f>Table2[[#This Row],[DU sąnaudos]]*0.43</f>
        <v>351963.6</v>
      </c>
      <c r="Z283" s="8">
        <f>Table2[[#This Row],[Apyvarta]]-Table2[[#This Row],[Ne-atlyginimų sąnaudos]]+Table2[[#This Row],[Fiks ir pelno mokestis]]</f>
        <v>1304946.6000000001</v>
      </c>
    </row>
    <row r="284" spans="1:26" hidden="1" x14ac:dyDescent="0.2">
      <c r="A284" s="5" t="s">
        <v>97</v>
      </c>
      <c r="B284" s="5" t="s">
        <v>1529</v>
      </c>
      <c r="C284" s="5">
        <v>2019</v>
      </c>
      <c r="D284" s="5" t="s">
        <v>1721</v>
      </c>
      <c r="E284" s="5" t="s">
        <v>1721</v>
      </c>
      <c r="F284" s="5" t="s">
        <v>1721</v>
      </c>
      <c r="G284" s="5" t="s">
        <v>73</v>
      </c>
      <c r="H284" s="5" t="s">
        <v>1721</v>
      </c>
      <c r="I284" s="5" t="s">
        <v>1721</v>
      </c>
      <c r="J284" s="5" t="s">
        <v>1721</v>
      </c>
      <c r="K284" s="5" t="s">
        <v>1721</v>
      </c>
      <c r="L284" s="5" t="s">
        <v>1721</v>
      </c>
      <c r="M284" s="9">
        <v>49</v>
      </c>
      <c r="N284" s="6">
        <v>0</v>
      </c>
      <c r="O284" s="9">
        <v>2418</v>
      </c>
      <c r="P284" s="6">
        <v>0</v>
      </c>
      <c r="Q284" s="9">
        <f>Table2[[#This Row],[Atlyginimo vidurkis]]*Table2[[#This Row],[Darbuotojų skaičius]]*12</f>
        <v>1421784</v>
      </c>
      <c r="R284" s="49">
        <v>0</v>
      </c>
      <c r="S284" s="9">
        <v>19167730</v>
      </c>
      <c r="T284" s="6">
        <v>0</v>
      </c>
      <c r="U284" s="9">
        <f>IF(Table2[[#This Row],[DU sąnaudos]]=0,0,Table2[[#This Row],[Apyvarta]]-Table2[[#This Row],[DU sąnaudos]]-Table2[[#This Row],[Pelnas]])</f>
        <v>17042343</v>
      </c>
      <c r="V284" s="49">
        <v>0</v>
      </c>
      <c r="W284" s="9">
        <v>703603</v>
      </c>
      <c r="X284" s="6">
        <v>0</v>
      </c>
      <c r="Y284" s="8">
        <f>Table2[[#This Row],[DU sąnaudos]]*0.43</f>
        <v>611367.12</v>
      </c>
      <c r="Z284" s="8">
        <f>Table2[[#This Row],[Apyvarta]]-Table2[[#This Row],[Ne-atlyginimų sąnaudos]]+Table2[[#This Row],[Fiks ir pelno mokestis]]</f>
        <v>2736754.12</v>
      </c>
    </row>
    <row r="285" spans="1:26" hidden="1" x14ac:dyDescent="0.2">
      <c r="A285" s="5" t="s">
        <v>97</v>
      </c>
      <c r="B285" s="5" t="s">
        <v>1529</v>
      </c>
      <c r="C285" s="5">
        <v>2020</v>
      </c>
      <c r="D285" s="5" t="s">
        <v>1721</v>
      </c>
      <c r="E285" s="5" t="s">
        <v>1721</v>
      </c>
      <c r="F285" s="5" t="s">
        <v>1721</v>
      </c>
      <c r="G285" s="5" t="s">
        <v>73</v>
      </c>
      <c r="H285" s="5" t="s">
        <v>1721</v>
      </c>
      <c r="I285" s="5" t="s">
        <v>1721</v>
      </c>
      <c r="J285" s="5" t="s">
        <v>1721</v>
      </c>
      <c r="K285" s="5" t="s">
        <v>1721</v>
      </c>
      <c r="L285" s="5" t="s">
        <v>1721</v>
      </c>
      <c r="M285" s="9">
        <v>47</v>
      </c>
      <c r="N285" s="6">
        <f>IFERROR(Table2[[#This Row],[Darbuotojų skaičius]]/M284-1,0)</f>
        <v>-4.081632653061229E-2</v>
      </c>
      <c r="O285" s="9">
        <v>2300</v>
      </c>
      <c r="P285" s="6">
        <v>-4.8800661703887527E-2</v>
      </c>
      <c r="Q285" s="9">
        <f>Table2[[#This Row],[Atlyginimo vidurkis]]*Table2[[#This Row],[Darbuotojų skaičius]]*12</f>
        <v>1297200</v>
      </c>
      <c r="R285" s="49">
        <f>IFERROR(Table2[[#This Row],[DU sąnaudos]]/Q284-1,0)</f>
        <v>-8.7625124491483963E-2</v>
      </c>
      <c r="S285" s="9">
        <v>20518557</v>
      </c>
      <c r="T285" s="6">
        <v>7.0474020658680026E-2</v>
      </c>
      <c r="U285" s="9">
        <f>IF(Table2[[#This Row],[DU sąnaudos]]=0,0,Table2[[#This Row],[Apyvarta]]-Table2[[#This Row],[DU sąnaudos]]-Table2[[#This Row],[Pelnas]])</f>
        <v>18510279</v>
      </c>
      <c r="V285" s="49">
        <f>IFERROR(Table2[[#This Row],[Ne-atlyginimų sąnaudos]]/U284-1,0)</f>
        <v>8.6134635360877398E-2</v>
      </c>
      <c r="W285" s="9">
        <v>711078</v>
      </c>
      <c r="X285" s="6">
        <v>1.062388875544884E-2</v>
      </c>
      <c r="Y285" s="8">
        <f>Table2[[#This Row],[DU sąnaudos]]*0.43</f>
        <v>557796</v>
      </c>
      <c r="Z285" s="8">
        <f>Table2[[#This Row],[Apyvarta]]-Table2[[#This Row],[Ne-atlyginimų sąnaudos]]+Table2[[#This Row],[Fiks ir pelno mokestis]]</f>
        <v>2566074</v>
      </c>
    </row>
    <row r="286" spans="1:26" hidden="1" x14ac:dyDescent="0.2">
      <c r="A286" s="5" t="s">
        <v>97</v>
      </c>
      <c r="B286" s="5" t="s">
        <v>1529</v>
      </c>
      <c r="C286" s="5">
        <v>2021</v>
      </c>
      <c r="D286" s="5" t="s">
        <v>1721</v>
      </c>
      <c r="E286" s="5" t="s">
        <v>1721</v>
      </c>
      <c r="F286" s="5" t="s">
        <v>1721</v>
      </c>
      <c r="G286" s="5" t="s">
        <v>73</v>
      </c>
      <c r="H286" s="5" t="s">
        <v>1721</v>
      </c>
      <c r="I286" s="5" t="s">
        <v>1721</v>
      </c>
      <c r="J286" s="5" t="s">
        <v>1721</v>
      </c>
      <c r="K286" s="5" t="s">
        <v>1721</v>
      </c>
      <c r="L286" s="5" t="s">
        <v>1721</v>
      </c>
      <c r="M286" s="9">
        <v>51</v>
      </c>
      <c r="N286" s="6">
        <f>IFERROR(Table2[[#This Row],[Darbuotojų skaičius]]/M285-1,0)</f>
        <v>8.5106382978723305E-2</v>
      </c>
      <c r="O286" s="9">
        <v>2604</v>
      </c>
      <c r="P286" s="6">
        <v>0.13217391304347831</v>
      </c>
      <c r="Q286" s="9">
        <f>Table2[[#This Row],[Atlyginimo vidurkis]]*Table2[[#This Row],[Darbuotojų skaičius]]*12</f>
        <v>1593648</v>
      </c>
      <c r="R286" s="49">
        <f>IFERROR(Table2[[#This Row],[DU sąnaudos]]/Q285-1,0)</f>
        <v>0.2285291396854765</v>
      </c>
      <c r="S286" s="9">
        <v>19713947</v>
      </c>
      <c r="T286" s="6">
        <v>-3.9213771221826121E-2</v>
      </c>
      <c r="U286" s="9">
        <f>IF(Table2[[#This Row],[DU sąnaudos]]=0,0,Table2[[#This Row],[Apyvarta]]-Table2[[#This Row],[DU sąnaudos]]-Table2[[#This Row],[Pelnas]])</f>
        <v>17519286</v>
      </c>
      <c r="V286" s="49">
        <f>IFERROR(Table2[[#This Row],[Ne-atlyginimų sąnaudos]]/U285-1,0)</f>
        <v>-5.3537442628498466E-2</v>
      </c>
      <c r="W286" s="9">
        <v>601013</v>
      </c>
      <c r="X286" s="6">
        <v>-0.1547861134784089</v>
      </c>
      <c r="Y286" s="8">
        <f>Table2[[#This Row],[DU sąnaudos]]*0.43</f>
        <v>685268.64</v>
      </c>
      <c r="Z286" s="8">
        <f>Table2[[#This Row],[Apyvarta]]-Table2[[#This Row],[Ne-atlyginimų sąnaudos]]+Table2[[#This Row],[Fiks ir pelno mokestis]]</f>
        <v>2879929.64</v>
      </c>
    </row>
    <row r="287" spans="1:26" hidden="1" x14ac:dyDescent="0.2">
      <c r="A287" s="5" t="s">
        <v>97</v>
      </c>
      <c r="B287" s="5" t="s">
        <v>1529</v>
      </c>
      <c r="C287" s="5">
        <v>2022</v>
      </c>
      <c r="D287" s="5" t="s">
        <v>1721</v>
      </c>
      <c r="E287" s="5" t="s">
        <v>1721</v>
      </c>
      <c r="F287" s="5" t="s">
        <v>1721</v>
      </c>
      <c r="G287" s="5" t="s">
        <v>73</v>
      </c>
      <c r="H287" s="5" t="s">
        <v>1721</v>
      </c>
      <c r="I287" s="5" t="s">
        <v>1721</v>
      </c>
      <c r="J287" s="5" t="s">
        <v>1721</v>
      </c>
      <c r="K287" s="5" t="s">
        <v>1721</v>
      </c>
      <c r="L287" s="5" t="s">
        <v>1721</v>
      </c>
      <c r="M287" s="9">
        <v>40</v>
      </c>
      <c r="N287" s="6">
        <f>IFERROR(Table2[[#This Row],[Darbuotojų skaičius]]/M286-1,0)</f>
        <v>-0.21568627450980393</v>
      </c>
      <c r="O287" s="9">
        <v>2988</v>
      </c>
      <c r="P287" s="6">
        <v>0.14746543778801849</v>
      </c>
      <c r="Q287" s="9">
        <f>Table2[[#This Row],[Atlyginimo vidurkis]]*Table2[[#This Row],[Darbuotojų skaičius]]*12</f>
        <v>1434240</v>
      </c>
      <c r="R287" s="49">
        <f>IFERROR(Table2[[#This Row],[DU sąnaudos]]/Q286-1,0)</f>
        <v>-0.10002710761724043</v>
      </c>
      <c r="S287" s="9">
        <v>17453957</v>
      </c>
      <c r="T287" s="6">
        <v>-0.1146391435464446</v>
      </c>
      <c r="U287" s="9">
        <f>IF(Table2[[#This Row],[DU sąnaudos]]=0,0,Table2[[#This Row],[Apyvarta]]-Table2[[#This Row],[DU sąnaudos]]-Table2[[#This Row],[Pelnas]])</f>
        <v>15528872</v>
      </c>
      <c r="V287" s="49">
        <f>IFERROR(Table2[[#This Row],[Ne-atlyginimų sąnaudos]]/U286-1,0)</f>
        <v>-0.11361273513087233</v>
      </c>
      <c r="W287" s="9">
        <v>490845</v>
      </c>
      <c r="X287" s="6">
        <v>-0.18330385532426091</v>
      </c>
      <c r="Y287" s="8">
        <f>Table2[[#This Row],[DU sąnaudos]]*0.43</f>
        <v>616723.19999999995</v>
      </c>
      <c r="Z287" s="8">
        <f>Table2[[#This Row],[Apyvarta]]-Table2[[#This Row],[Ne-atlyginimų sąnaudos]]+Table2[[#This Row],[Fiks ir pelno mokestis]]</f>
        <v>2541808.2000000002</v>
      </c>
    </row>
    <row r="288" spans="1:26" hidden="1" x14ac:dyDescent="0.2">
      <c r="A288" s="5" t="s">
        <v>97</v>
      </c>
      <c r="B288" s="5" t="s">
        <v>1529</v>
      </c>
      <c r="C288" s="5">
        <v>2023</v>
      </c>
      <c r="D288" s="5" t="s">
        <v>1721</v>
      </c>
      <c r="E288" s="5" t="s">
        <v>1721</v>
      </c>
      <c r="F288" s="5" t="s">
        <v>1721</v>
      </c>
      <c r="G288" s="5" t="s">
        <v>73</v>
      </c>
      <c r="H288" s="5" t="s">
        <v>1721</v>
      </c>
      <c r="I288" s="5" t="s">
        <v>1721</v>
      </c>
      <c r="J288" s="5" t="s">
        <v>1721</v>
      </c>
      <c r="K288" s="5" t="s">
        <v>1721</v>
      </c>
      <c r="L288" s="5" t="s">
        <v>1721</v>
      </c>
      <c r="M288" s="9">
        <v>32</v>
      </c>
      <c r="N288" s="6">
        <f>IFERROR(Table2[[#This Row],[Darbuotojų skaičius]]/M287-1,0)</f>
        <v>-0.19999999999999996</v>
      </c>
      <c r="O288" s="9">
        <v>3726</v>
      </c>
      <c r="P288" s="6">
        <v>0.24698795180722891</v>
      </c>
      <c r="Q288" s="9">
        <f>Table2[[#This Row],[Atlyginimo vidurkis]]*Table2[[#This Row],[Darbuotojų skaičius]]*12</f>
        <v>1430784</v>
      </c>
      <c r="R288" s="49">
        <f>IFERROR(Table2[[#This Row],[DU sąnaudos]]/Q287-1,0)</f>
        <v>-2.4096385542168308E-3</v>
      </c>
      <c r="S288" s="9">
        <v>26945192</v>
      </c>
      <c r="T288" s="6">
        <v>0.54378700486084619</v>
      </c>
      <c r="U288" s="9">
        <f>IF(Table2[[#This Row],[DU sąnaudos]]=0,0,Table2[[#This Row],[Apyvarta]]-Table2[[#This Row],[DU sąnaudos]]-Table2[[#This Row],[Pelnas]])</f>
        <v>24856058</v>
      </c>
      <c r="V288" s="49">
        <f>IFERROR(Table2[[#This Row],[Ne-atlyginimų sąnaudos]]/U287-1,0)</f>
        <v>0.60063512662091623</v>
      </c>
      <c r="W288" s="9">
        <v>658350</v>
      </c>
      <c r="X288" s="6">
        <v>0.34125844207438177</v>
      </c>
      <c r="Y288" s="8">
        <f>Table2[[#This Row],[DU sąnaudos]]*0.43</f>
        <v>615237.12</v>
      </c>
      <c r="Z288" s="8">
        <f>Table2[[#This Row],[Apyvarta]]-Table2[[#This Row],[Ne-atlyginimų sąnaudos]]+Table2[[#This Row],[Fiks ir pelno mokestis]]</f>
        <v>2704371.12</v>
      </c>
    </row>
    <row r="289" spans="1:26" hidden="1" x14ac:dyDescent="0.2">
      <c r="A289" s="5" t="s">
        <v>97</v>
      </c>
      <c r="B289" s="5" t="s">
        <v>1529</v>
      </c>
      <c r="C289" s="5">
        <v>2024</v>
      </c>
      <c r="D289" s="5" t="s">
        <v>1721</v>
      </c>
      <c r="E289" s="5" t="s">
        <v>1721</v>
      </c>
      <c r="F289" s="5" t="s">
        <v>1721</v>
      </c>
      <c r="G289" s="5" t="s">
        <v>73</v>
      </c>
      <c r="H289" s="5" t="s">
        <v>1721</v>
      </c>
      <c r="I289" s="5" t="s">
        <v>1721</v>
      </c>
      <c r="J289" s="5" t="s">
        <v>1721</v>
      </c>
      <c r="K289" s="5" t="s">
        <v>1721</v>
      </c>
      <c r="L289" s="5" t="s">
        <v>1721</v>
      </c>
      <c r="M289" s="9">
        <v>33</v>
      </c>
      <c r="N289" s="6">
        <f>IFERROR(Table2[[#This Row],[Darbuotojų skaičius]]/M288-1,0)</f>
        <v>3.125E-2</v>
      </c>
      <c r="O289" s="9">
        <v>4330</v>
      </c>
      <c r="P289" s="6">
        <v>0.1621041331186259</v>
      </c>
      <c r="Q289" s="9">
        <f>Table2[[#This Row],[Atlyginimo vidurkis]]*Table2[[#This Row],[Darbuotojų skaičius]]*12</f>
        <v>1714680</v>
      </c>
      <c r="R289" s="49">
        <f>IFERROR(Table2[[#This Row],[DU sąnaudos]]/Q288-1,0)</f>
        <v>0.19841988727858295</v>
      </c>
      <c r="S289" s="9">
        <v>21601990</v>
      </c>
      <c r="T289" s="6">
        <v>-0.1982989024535434</v>
      </c>
      <c r="U289" s="9">
        <f>IF(Table2[[#This Row],[DU sąnaudos]]=0,0,Table2[[#This Row],[Apyvarta]]-Table2[[#This Row],[DU sąnaudos]]-Table2[[#This Row],[Pelnas]])</f>
        <v>19592438</v>
      </c>
      <c r="V289" s="49">
        <f>IFERROR(Table2[[#This Row],[Ne-atlyginimų sąnaudos]]/U288-1,0)</f>
        <v>-0.2117640697491131</v>
      </c>
      <c r="W289" s="9">
        <v>294872</v>
      </c>
      <c r="X289" s="6">
        <v>-0.5521045036834511</v>
      </c>
      <c r="Y289" s="8">
        <f>Table2[[#This Row],[DU sąnaudos]]*0.43</f>
        <v>737312.4</v>
      </c>
      <c r="Z289" s="8">
        <f>Table2[[#This Row],[Apyvarta]]-Table2[[#This Row],[Ne-atlyginimų sąnaudos]]+Table2[[#This Row],[Fiks ir pelno mokestis]]</f>
        <v>2746864.4</v>
      </c>
    </row>
    <row r="290" spans="1:26" x14ac:dyDescent="0.2">
      <c r="A290" s="5" t="s">
        <v>487</v>
      </c>
      <c r="B290" s="5" t="s">
        <v>1531</v>
      </c>
      <c r="C290" s="5">
        <v>2019</v>
      </c>
      <c r="D290" s="5" t="s">
        <v>1721</v>
      </c>
      <c r="E290" s="5" t="s">
        <v>1721</v>
      </c>
      <c r="F290" s="5" t="s">
        <v>1721</v>
      </c>
      <c r="G290" s="5" t="s">
        <v>1721</v>
      </c>
      <c r="H290" s="5" t="s">
        <v>1721</v>
      </c>
      <c r="I290" s="5" t="s">
        <v>1721</v>
      </c>
      <c r="J290" s="5" t="s">
        <v>300</v>
      </c>
      <c r="K290" s="5" t="s">
        <v>1721</v>
      </c>
      <c r="L290" s="5" t="s">
        <v>1721</v>
      </c>
      <c r="M290" s="9">
        <v>24</v>
      </c>
      <c r="N290" s="6">
        <v>0</v>
      </c>
      <c r="O290" s="9">
        <v>2463</v>
      </c>
      <c r="P290" s="6">
        <v>0</v>
      </c>
      <c r="Q290" s="9">
        <f>Table2[[#This Row],[Atlyginimo vidurkis]]*Table2[[#This Row],[Darbuotojų skaičius]]*12</f>
        <v>709344</v>
      </c>
      <c r="R290" s="49">
        <v>0</v>
      </c>
      <c r="S290" s="9">
        <v>1653501</v>
      </c>
      <c r="T290" s="6">
        <v>0</v>
      </c>
      <c r="U290" s="9">
        <f>IF(Table2[[#This Row],[DU sąnaudos]]=0,0,Table2[[#This Row],[Apyvarta]]-Table2[[#This Row],[DU sąnaudos]]-Table2[[#This Row],[Pelnas]])</f>
        <v>742762</v>
      </c>
      <c r="V290" s="49">
        <v>0</v>
      </c>
      <c r="W290" s="9">
        <v>201395</v>
      </c>
      <c r="X290" s="6">
        <v>0</v>
      </c>
      <c r="Y290" s="8">
        <f>Table2[[#This Row],[DU sąnaudos]]*0.43</f>
        <v>305017.92</v>
      </c>
      <c r="Z290" s="8">
        <f>Table2[[#This Row],[Apyvarta]]-Table2[[#This Row],[Ne-atlyginimų sąnaudos]]+Table2[[#This Row],[Fiks ir pelno mokestis]]</f>
        <v>1215756.92</v>
      </c>
    </row>
    <row r="291" spans="1:26" x14ac:dyDescent="0.2">
      <c r="A291" s="5" t="s">
        <v>487</v>
      </c>
      <c r="B291" s="5" t="s">
        <v>1531</v>
      </c>
      <c r="C291" s="5">
        <v>2020</v>
      </c>
      <c r="D291" s="5" t="s">
        <v>1721</v>
      </c>
      <c r="E291" s="5" t="s">
        <v>1721</v>
      </c>
      <c r="F291" s="5" t="s">
        <v>1721</v>
      </c>
      <c r="G291" s="5" t="s">
        <v>1721</v>
      </c>
      <c r="H291" s="5" t="s">
        <v>1721</v>
      </c>
      <c r="I291" s="5" t="s">
        <v>1721</v>
      </c>
      <c r="J291" s="5" t="s">
        <v>300</v>
      </c>
      <c r="K291" s="5" t="s">
        <v>1721</v>
      </c>
      <c r="L291" s="5" t="s">
        <v>1721</v>
      </c>
      <c r="M291" s="9">
        <v>25</v>
      </c>
      <c r="N291" s="6">
        <f>IFERROR(Table2[[#This Row],[Darbuotojų skaičius]]/M290-1,0)</f>
        <v>4.1666666666666741E-2</v>
      </c>
      <c r="O291" s="9">
        <v>2430</v>
      </c>
      <c r="P291" s="6">
        <v>-1.339829476248477E-2</v>
      </c>
      <c r="Q291" s="9">
        <f>Table2[[#This Row],[Atlyginimo vidurkis]]*Table2[[#This Row],[Darbuotojų skaičius]]*12</f>
        <v>729000</v>
      </c>
      <c r="R291" s="49">
        <f>IFERROR(Table2[[#This Row],[DU sąnaudos]]/Q290-1,0)</f>
        <v>2.7710109622411716E-2</v>
      </c>
      <c r="S291" s="9">
        <v>1636617</v>
      </c>
      <c r="T291" s="6">
        <v>-1.0211061257295871E-2</v>
      </c>
      <c r="U291" s="9">
        <f>IF(Table2[[#This Row],[DU sąnaudos]]=0,0,Table2[[#This Row],[Apyvarta]]-Table2[[#This Row],[DU sąnaudos]]-Table2[[#This Row],[Pelnas]])</f>
        <v>709069</v>
      </c>
      <c r="V291" s="49">
        <f>IFERROR(Table2[[#This Row],[Ne-atlyginimų sąnaudos]]/U290-1,0)</f>
        <v>-4.5361771334559431E-2</v>
      </c>
      <c r="W291" s="9">
        <v>198548</v>
      </c>
      <c r="X291" s="6">
        <v>-1.4136398619628119E-2</v>
      </c>
      <c r="Y291" s="8">
        <f>Table2[[#This Row],[DU sąnaudos]]*0.43</f>
        <v>313470</v>
      </c>
      <c r="Z291" s="8">
        <f>Table2[[#This Row],[Apyvarta]]-Table2[[#This Row],[Ne-atlyginimų sąnaudos]]+Table2[[#This Row],[Fiks ir pelno mokestis]]</f>
        <v>1241018</v>
      </c>
    </row>
    <row r="292" spans="1:26" x14ac:dyDescent="0.2">
      <c r="A292" s="5" t="s">
        <v>487</v>
      </c>
      <c r="B292" s="5" t="s">
        <v>1531</v>
      </c>
      <c r="C292" s="5">
        <v>2021</v>
      </c>
      <c r="D292" s="5" t="s">
        <v>1721</v>
      </c>
      <c r="E292" s="5" t="s">
        <v>1721</v>
      </c>
      <c r="F292" s="5" t="s">
        <v>1721</v>
      </c>
      <c r="G292" s="5" t="s">
        <v>1721</v>
      </c>
      <c r="H292" s="5" t="s">
        <v>1721</v>
      </c>
      <c r="I292" s="5" t="s">
        <v>1721</v>
      </c>
      <c r="J292" s="5" t="s">
        <v>300</v>
      </c>
      <c r="K292" s="5" t="s">
        <v>1721</v>
      </c>
      <c r="L292" s="5" t="s">
        <v>1721</v>
      </c>
      <c r="M292" s="9">
        <v>25</v>
      </c>
      <c r="N292" s="6">
        <f>IFERROR(Table2[[#This Row],[Darbuotojų skaičius]]/M291-1,0)</f>
        <v>0</v>
      </c>
      <c r="O292" s="9">
        <v>3043</v>
      </c>
      <c r="P292" s="6">
        <v>0.25226337448559671</v>
      </c>
      <c r="Q292" s="9">
        <f>Table2[[#This Row],[Atlyginimo vidurkis]]*Table2[[#This Row],[Darbuotojų skaičius]]*12</f>
        <v>912900</v>
      </c>
      <c r="R292" s="49">
        <f>IFERROR(Table2[[#This Row],[DU sąnaudos]]/Q291-1,0)</f>
        <v>0.25226337448559666</v>
      </c>
      <c r="S292" s="9">
        <v>2400631</v>
      </c>
      <c r="T292" s="6">
        <v>0.46682516434816451</v>
      </c>
      <c r="U292" s="9">
        <f>IF(Table2[[#This Row],[DU sąnaudos]]=0,0,Table2[[#This Row],[Apyvarta]]-Table2[[#This Row],[DU sąnaudos]]-Table2[[#This Row],[Pelnas]])</f>
        <v>1318874</v>
      </c>
      <c r="V292" s="49">
        <f>IFERROR(Table2[[#This Row],[Ne-atlyginimų sąnaudos]]/U291-1,0)</f>
        <v>0.86000798229791453</v>
      </c>
      <c r="W292" s="9">
        <v>168857</v>
      </c>
      <c r="X292" s="6">
        <v>-0.14954066522956669</v>
      </c>
      <c r="Y292" s="8">
        <f>Table2[[#This Row],[DU sąnaudos]]*0.43</f>
        <v>392547</v>
      </c>
      <c r="Z292" s="8">
        <f>Table2[[#This Row],[Apyvarta]]-Table2[[#This Row],[Ne-atlyginimų sąnaudos]]+Table2[[#This Row],[Fiks ir pelno mokestis]]</f>
        <v>1474304</v>
      </c>
    </row>
    <row r="293" spans="1:26" x14ac:dyDescent="0.2">
      <c r="A293" s="5" t="s">
        <v>487</v>
      </c>
      <c r="B293" s="5" t="s">
        <v>1531</v>
      </c>
      <c r="C293" s="5">
        <v>2022</v>
      </c>
      <c r="D293" s="5" t="s">
        <v>1721</v>
      </c>
      <c r="E293" s="5" t="s">
        <v>1721</v>
      </c>
      <c r="F293" s="5" t="s">
        <v>1721</v>
      </c>
      <c r="G293" s="5" t="s">
        <v>1721</v>
      </c>
      <c r="H293" s="5" t="s">
        <v>1721</v>
      </c>
      <c r="I293" s="5" t="s">
        <v>1721</v>
      </c>
      <c r="J293" s="5" t="s">
        <v>300</v>
      </c>
      <c r="K293" s="5" t="s">
        <v>1721</v>
      </c>
      <c r="L293" s="5" t="s">
        <v>1721</v>
      </c>
      <c r="M293" s="9">
        <v>26</v>
      </c>
      <c r="N293" s="6">
        <f>IFERROR(Table2[[#This Row],[Darbuotojų skaičius]]/M292-1,0)</f>
        <v>4.0000000000000036E-2</v>
      </c>
      <c r="O293" s="9">
        <v>2910</v>
      </c>
      <c r="P293" s="6">
        <v>-4.3706868222149198E-2</v>
      </c>
      <c r="Q293" s="9">
        <f>Table2[[#This Row],[Atlyginimo vidurkis]]*Table2[[#This Row],[Darbuotojų skaičius]]*12</f>
        <v>907920</v>
      </c>
      <c r="R293" s="49">
        <f>IFERROR(Table2[[#This Row],[DU sąnaudos]]/Q292-1,0)</f>
        <v>-5.4551429510351079E-3</v>
      </c>
      <c r="S293" s="9">
        <v>2555494</v>
      </c>
      <c r="T293" s="6">
        <v>6.4509289432653327E-2</v>
      </c>
      <c r="U293" s="9">
        <f>IF(Table2[[#This Row],[DU sąnaudos]]=0,0,Table2[[#This Row],[Apyvarta]]-Table2[[#This Row],[DU sąnaudos]]-Table2[[#This Row],[Pelnas]])</f>
        <v>1407028</v>
      </c>
      <c r="V293" s="49">
        <f>IFERROR(Table2[[#This Row],[Ne-atlyginimų sąnaudos]]/U292-1,0)</f>
        <v>6.6840350177499896E-2</v>
      </c>
      <c r="W293" s="9">
        <v>240546</v>
      </c>
      <c r="X293" s="6">
        <v>0.4245545046992425</v>
      </c>
      <c r="Y293" s="8">
        <f>Table2[[#This Row],[DU sąnaudos]]*0.43</f>
        <v>390405.6</v>
      </c>
      <c r="Z293" s="8">
        <f>Table2[[#This Row],[Apyvarta]]-Table2[[#This Row],[Ne-atlyginimų sąnaudos]]+Table2[[#This Row],[Fiks ir pelno mokestis]]</f>
        <v>1538871.6</v>
      </c>
    </row>
    <row r="294" spans="1:26" x14ac:dyDescent="0.2">
      <c r="A294" s="5" t="s">
        <v>487</v>
      </c>
      <c r="B294" s="5" t="s">
        <v>1531</v>
      </c>
      <c r="C294" s="5">
        <v>2023</v>
      </c>
      <c r="D294" s="5" t="s">
        <v>1721</v>
      </c>
      <c r="E294" s="5" t="s">
        <v>1721</v>
      </c>
      <c r="F294" s="5" t="s">
        <v>1721</v>
      </c>
      <c r="G294" s="5" t="s">
        <v>1721</v>
      </c>
      <c r="H294" s="5" t="s">
        <v>1721</v>
      </c>
      <c r="I294" s="5" t="s">
        <v>1721</v>
      </c>
      <c r="J294" s="5" t="s">
        <v>300</v>
      </c>
      <c r="K294" s="5" t="s">
        <v>1721</v>
      </c>
      <c r="L294" s="5" t="s">
        <v>1721</v>
      </c>
      <c r="M294" s="9">
        <v>25</v>
      </c>
      <c r="N294" s="6">
        <f>IFERROR(Table2[[#This Row],[Darbuotojų skaičius]]/M293-1,0)</f>
        <v>-3.8461538461538436E-2</v>
      </c>
      <c r="O294" s="9">
        <v>3402</v>
      </c>
      <c r="P294" s="6">
        <v>0.1690721649484537</v>
      </c>
      <c r="Q294" s="9">
        <f>Table2[[#This Row],[Atlyginimo vidurkis]]*Table2[[#This Row],[Darbuotojų skaičius]]*12</f>
        <v>1020600</v>
      </c>
      <c r="R294" s="49">
        <f>IFERROR(Table2[[#This Row],[DU sąnaudos]]/Q293-1,0)</f>
        <v>0.12410785091197463</v>
      </c>
      <c r="S294" s="9">
        <v>2714172</v>
      </c>
      <c r="T294" s="6">
        <v>6.2092886933015727E-2</v>
      </c>
      <c r="U294" s="9">
        <f>IF(Table2[[#This Row],[DU sąnaudos]]=0,0,Table2[[#This Row],[Apyvarta]]-Table2[[#This Row],[DU sąnaudos]]-Table2[[#This Row],[Pelnas]])</f>
        <v>1457258</v>
      </c>
      <c r="V294" s="49">
        <f>IFERROR(Table2[[#This Row],[Ne-atlyginimų sąnaudos]]/U293-1,0)</f>
        <v>3.5699360638167921E-2</v>
      </c>
      <c r="W294" s="9">
        <v>236314</v>
      </c>
      <c r="X294" s="6">
        <v>-1.7593308556367648E-2</v>
      </c>
      <c r="Y294" s="8">
        <f>Table2[[#This Row],[DU sąnaudos]]*0.43</f>
        <v>438858</v>
      </c>
      <c r="Z294" s="8">
        <f>Table2[[#This Row],[Apyvarta]]-Table2[[#This Row],[Ne-atlyginimų sąnaudos]]+Table2[[#This Row],[Fiks ir pelno mokestis]]</f>
        <v>1695772</v>
      </c>
    </row>
    <row r="295" spans="1:26" x14ac:dyDescent="0.2">
      <c r="A295" s="5" t="s">
        <v>487</v>
      </c>
      <c r="B295" s="5" t="s">
        <v>1531</v>
      </c>
      <c r="C295" s="5">
        <v>2024</v>
      </c>
      <c r="D295" s="5" t="s">
        <v>1721</v>
      </c>
      <c r="E295" s="5" t="s">
        <v>1721</v>
      </c>
      <c r="F295" s="5" t="s">
        <v>1721</v>
      </c>
      <c r="G295" s="5" t="s">
        <v>1721</v>
      </c>
      <c r="H295" s="5" t="s">
        <v>1721</v>
      </c>
      <c r="I295" s="5" t="s">
        <v>1721</v>
      </c>
      <c r="J295" s="5" t="s">
        <v>300</v>
      </c>
      <c r="K295" s="5" t="s">
        <v>1721</v>
      </c>
      <c r="L295" s="5" t="s">
        <v>1721</v>
      </c>
      <c r="M295" s="9">
        <v>25</v>
      </c>
      <c r="N295" s="6">
        <f>IFERROR(Table2[[#This Row],[Darbuotojų skaičius]]/M294-1,0)</f>
        <v>0</v>
      </c>
      <c r="O295" s="9">
        <v>3253</v>
      </c>
      <c r="P295" s="6">
        <v>-4.3797766019988187E-2</v>
      </c>
      <c r="Q295" s="9">
        <f>Table2[[#This Row],[Atlyginimo vidurkis]]*Table2[[#This Row],[Darbuotojų skaičius]]*12</f>
        <v>975900</v>
      </c>
      <c r="R295" s="49">
        <f>IFERROR(Table2[[#This Row],[DU sąnaudos]]/Q294-1,0)</f>
        <v>-4.3797766019988194E-2</v>
      </c>
      <c r="S295" s="9">
        <v>2679018</v>
      </c>
      <c r="T295" s="6">
        <v>-1.295201630552523E-2</v>
      </c>
      <c r="U295" s="9">
        <f>IF(Table2[[#This Row],[DU sąnaudos]]=0,0,Table2[[#This Row],[Apyvarta]]-Table2[[#This Row],[DU sąnaudos]]-Table2[[#This Row],[Pelnas]])</f>
        <v>1473832</v>
      </c>
      <c r="V295" s="49">
        <f>IFERROR(Table2[[#This Row],[Ne-atlyginimų sąnaudos]]/U294-1,0)</f>
        <v>1.1373415002696952E-2</v>
      </c>
      <c r="W295" s="9">
        <v>229286</v>
      </c>
      <c r="X295" s="6">
        <v>-2.9740091573076551E-2</v>
      </c>
      <c r="Y295" s="8">
        <f>Table2[[#This Row],[DU sąnaudos]]*0.43</f>
        <v>419637</v>
      </c>
      <c r="Z295" s="8">
        <f>Table2[[#This Row],[Apyvarta]]-Table2[[#This Row],[Ne-atlyginimų sąnaudos]]+Table2[[#This Row],[Fiks ir pelno mokestis]]</f>
        <v>1624823</v>
      </c>
    </row>
    <row r="296" spans="1:26" x14ac:dyDescent="0.2">
      <c r="A296" s="5" t="s">
        <v>1534</v>
      </c>
      <c r="B296" s="5" t="s">
        <v>1533</v>
      </c>
      <c r="C296" s="5">
        <v>2019</v>
      </c>
      <c r="D296" s="5" t="s">
        <v>1721</v>
      </c>
      <c r="E296" s="5" t="s">
        <v>1721</v>
      </c>
      <c r="F296" s="5" t="s">
        <v>1721</v>
      </c>
      <c r="G296" s="5" t="s">
        <v>1721</v>
      </c>
      <c r="H296" s="5" t="s">
        <v>1721</v>
      </c>
      <c r="I296" s="5" t="s">
        <v>1721</v>
      </c>
      <c r="J296" s="5" t="s">
        <v>300</v>
      </c>
      <c r="K296" s="5" t="s">
        <v>1721</v>
      </c>
      <c r="L296" s="5" t="s">
        <v>1721</v>
      </c>
      <c r="M296" s="9">
        <v>3</v>
      </c>
      <c r="N296" s="6">
        <v>0</v>
      </c>
      <c r="O296" s="9">
        <v>0</v>
      </c>
      <c r="P296" s="6">
        <v>0</v>
      </c>
      <c r="Q296" s="9">
        <f>Table2[[#This Row],[Atlyginimo vidurkis]]*Table2[[#This Row],[Darbuotojų skaičius]]*12</f>
        <v>0</v>
      </c>
      <c r="R296" s="49">
        <v>0</v>
      </c>
      <c r="S296" s="9">
        <v>179773</v>
      </c>
      <c r="T296" s="6">
        <v>0</v>
      </c>
      <c r="U296" s="9">
        <f>IF(Table2[[#This Row],[DU sąnaudos]]=0,0,Table2[[#This Row],[Apyvarta]]-Table2[[#This Row],[DU sąnaudos]]-Table2[[#This Row],[Pelnas]])</f>
        <v>0</v>
      </c>
      <c r="V296" s="49">
        <v>0</v>
      </c>
      <c r="W296" s="9">
        <v>-8843</v>
      </c>
      <c r="X296" s="6">
        <v>0</v>
      </c>
      <c r="Y296" s="8">
        <f>Table2[[#This Row],[DU sąnaudos]]*0.43</f>
        <v>0</v>
      </c>
      <c r="Z296" s="8">
        <f>Table2[[#This Row],[Apyvarta]]-Table2[[#This Row],[Ne-atlyginimų sąnaudos]]+Table2[[#This Row],[Fiks ir pelno mokestis]]</f>
        <v>179773</v>
      </c>
    </row>
    <row r="297" spans="1:26" x14ac:dyDescent="0.2">
      <c r="A297" s="5" t="s">
        <v>1534</v>
      </c>
      <c r="B297" s="5" t="s">
        <v>1533</v>
      </c>
      <c r="C297" s="5">
        <v>2020</v>
      </c>
      <c r="D297" s="5" t="s">
        <v>1721</v>
      </c>
      <c r="E297" s="5" t="s">
        <v>1721</v>
      </c>
      <c r="F297" s="5" t="s">
        <v>1721</v>
      </c>
      <c r="G297" s="5" t="s">
        <v>1721</v>
      </c>
      <c r="H297" s="5" t="s">
        <v>1721</v>
      </c>
      <c r="I297" s="5" t="s">
        <v>1721</v>
      </c>
      <c r="J297" s="5" t="s">
        <v>300</v>
      </c>
      <c r="K297" s="5" t="s">
        <v>1721</v>
      </c>
      <c r="L297" s="5" t="s">
        <v>1721</v>
      </c>
      <c r="M297" s="9">
        <v>3</v>
      </c>
      <c r="N297" s="6">
        <f>IFERROR(Table2[[#This Row],[Darbuotojų skaičius]]/M296-1,0)</f>
        <v>0</v>
      </c>
      <c r="O297" s="9">
        <v>0</v>
      </c>
      <c r="P297" s="6">
        <v>0</v>
      </c>
      <c r="Q297" s="9">
        <f>Table2[[#This Row],[Atlyginimo vidurkis]]*Table2[[#This Row],[Darbuotojų skaičius]]*12</f>
        <v>0</v>
      </c>
      <c r="R297" s="49">
        <f>IFERROR(Table2[[#This Row],[DU sąnaudos]]/Q296-1,0)</f>
        <v>0</v>
      </c>
      <c r="S297" s="9">
        <v>155093</v>
      </c>
      <c r="T297" s="6">
        <v>-0.13728424179381771</v>
      </c>
      <c r="U297" s="9">
        <f>IF(Table2[[#This Row],[DU sąnaudos]]=0,0,Table2[[#This Row],[Apyvarta]]-Table2[[#This Row],[DU sąnaudos]]-Table2[[#This Row],[Pelnas]])</f>
        <v>0</v>
      </c>
      <c r="V297" s="49">
        <f>IFERROR(Table2[[#This Row],[Ne-atlyginimų sąnaudos]]/U296-1,0)</f>
        <v>0</v>
      </c>
      <c r="W297" s="9">
        <v>14832</v>
      </c>
      <c r="X297" s="6">
        <v>-2.6772588488069662</v>
      </c>
      <c r="Y297" s="8">
        <f>Table2[[#This Row],[DU sąnaudos]]*0.43</f>
        <v>0</v>
      </c>
      <c r="Z297" s="8">
        <f>Table2[[#This Row],[Apyvarta]]-Table2[[#This Row],[Ne-atlyginimų sąnaudos]]+Table2[[#This Row],[Fiks ir pelno mokestis]]</f>
        <v>155093</v>
      </c>
    </row>
    <row r="298" spans="1:26" x14ac:dyDescent="0.2">
      <c r="A298" s="5" t="s">
        <v>1534</v>
      </c>
      <c r="B298" s="5" t="s">
        <v>1533</v>
      </c>
      <c r="C298" s="5">
        <v>2021</v>
      </c>
      <c r="D298" s="5" t="s">
        <v>1721</v>
      </c>
      <c r="E298" s="5" t="s">
        <v>1721</v>
      </c>
      <c r="F298" s="5" t="s">
        <v>1721</v>
      </c>
      <c r="G298" s="5" t="s">
        <v>1721</v>
      </c>
      <c r="H298" s="5" t="s">
        <v>1721</v>
      </c>
      <c r="I298" s="5" t="s">
        <v>1721</v>
      </c>
      <c r="J298" s="5" t="s">
        <v>300</v>
      </c>
      <c r="K298" s="5" t="s">
        <v>1721</v>
      </c>
      <c r="L298" s="5" t="s">
        <v>1721</v>
      </c>
      <c r="M298" s="9">
        <v>3</v>
      </c>
      <c r="N298" s="6">
        <f>IFERROR(Table2[[#This Row],[Darbuotojų skaičius]]/M297-1,0)</f>
        <v>0</v>
      </c>
      <c r="O298" s="9">
        <v>0</v>
      </c>
      <c r="P298" s="6">
        <v>0</v>
      </c>
      <c r="Q298" s="9">
        <f>Table2[[#This Row],[Atlyginimo vidurkis]]*Table2[[#This Row],[Darbuotojų skaičius]]*12</f>
        <v>0</v>
      </c>
      <c r="R298" s="49">
        <f>IFERROR(Table2[[#This Row],[DU sąnaudos]]/Q297-1,0)</f>
        <v>0</v>
      </c>
      <c r="S298" s="9">
        <v>159105</v>
      </c>
      <c r="T298" s="6">
        <v>2.5868349957767212E-2</v>
      </c>
      <c r="U298" s="9">
        <f>IF(Table2[[#This Row],[DU sąnaudos]]=0,0,Table2[[#This Row],[Apyvarta]]-Table2[[#This Row],[DU sąnaudos]]-Table2[[#This Row],[Pelnas]])</f>
        <v>0</v>
      </c>
      <c r="V298" s="49">
        <f>IFERROR(Table2[[#This Row],[Ne-atlyginimų sąnaudos]]/U297-1,0)</f>
        <v>0</v>
      </c>
      <c r="W298" s="9">
        <v>2492</v>
      </c>
      <c r="X298" s="6">
        <v>-0.83198489751887816</v>
      </c>
      <c r="Y298" s="8">
        <f>Table2[[#This Row],[DU sąnaudos]]*0.43</f>
        <v>0</v>
      </c>
      <c r="Z298" s="8">
        <f>Table2[[#This Row],[Apyvarta]]-Table2[[#This Row],[Ne-atlyginimų sąnaudos]]+Table2[[#This Row],[Fiks ir pelno mokestis]]</f>
        <v>159105</v>
      </c>
    </row>
    <row r="299" spans="1:26" x14ac:dyDescent="0.2">
      <c r="A299" s="5" t="s">
        <v>1534</v>
      </c>
      <c r="B299" s="5" t="s">
        <v>1533</v>
      </c>
      <c r="C299" s="5">
        <v>2022</v>
      </c>
      <c r="D299" s="5" t="s">
        <v>1721</v>
      </c>
      <c r="E299" s="5" t="s">
        <v>1721</v>
      </c>
      <c r="F299" s="5" t="s">
        <v>1721</v>
      </c>
      <c r="G299" s="5" t="s">
        <v>1721</v>
      </c>
      <c r="H299" s="5" t="s">
        <v>1721</v>
      </c>
      <c r="I299" s="5" t="s">
        <v>1721</v>
      </c>
      <c r="J299" s="5" t="s">
        <v>300</v>
      </c>
      <c r="K299" s="5" t="s">
        <v>1721</v>
      </c>
      <c r="L299" s="5" t="s">
        <v>1721</v>
      </c>
      <c r="M299" s="9">
        <v>3</v>
      </c>
      <c r="N299" s="6">
        <f>IFERROR(Table2[[#This Row],[Darbuotojų skaičius]]/M298-1,0)</f>
        <v>0</v>
      </c>
      <c r="O299" s="9">
        <v>0</v>
      </c>
      <c r="P299" s="6">
        <v>0</v>
      </c>
      <c r="Q299" s="9">
        <f>Table2[[#This Row],[Atlyginimo vidurkis]]*Table2[[#This Row],[Darbuotojų skaičius]]*12</f>
        <v>0</v>
      </c>
      <c r="R299" s="49">
        <f>IFERROR(Table2[[#This Row],[DU sąnaudos]]/Q298-1,0)</f>
        <v>0</v>
      </c>
      <c r="S299" s="9">
        <v>167838</v>
      </c>
      <c r="T299" s="6">
        <v>5.4888281323654198E-2</v>
      </c>
      <c r="U299" s="9">
        <f>IF(Table2[[#This Row],[DU sąnaudos]]=0,0,Table2[[#This Row],[Apyvarta]]-Table2[[#This Row],[DU sąnaudos]]-Table2[[#This Row],[Pelnas]])</f>
        <v>0</v>
      </c>
      <c r="V299" s="49">
        <f>IFERROR(Table2[[#This Row],[Ne-atlyginimų sąnaudos]]/U298-1,0)</f>
        <v>0</v>
      </c>
      <c r="W299" s="9">
        <v>-4052</v>
      </c>
      <c r="X299" s="6">
        <v>-2.6260032102728732</v>
      </c>
      <c r="Y299" s="8">
        <f>Table2[[#This Row],[DU sąnaudos]]*0.43</f>
        <v>0</v>
      </c>
      <c r="Z299" s="8">
        <f>Table2[[#This Row],[Apyvarta]]-Table2[[#This Row],[Ne-atlyginimų sąnaudos]]+Table2[[#This Row],[Fiks ir pelno mokestis]]</f>
        <v>167838</v>
      </c>
    </row>
    <row r="300" spans="1:26" x14ac:dyDescent="0.2">
      <c r="A300" s="5" t="s">
        <v>1534</v>
      </c>
      <c r="B300" s="5" t="s">
        <v>1533</v>
      </c>
      <c r="C300" s="5">
        <v>2023</v>
      </c>
      <c r="D300" s="5" t="s">
        <v>1721</v>
      </c>
      <c r="E300" s="5" t="s">
        <v>1721</v>
      </c>
      <c r="F300" s="5" t="s">
        <v>1721</v>
      </c>
      <c r="G300" s="5" t="s">
        <v>1721</v>
      </c>
      <c r="H300" s="5" t="s">
        <v>1721</v>
      </c>
      <c r="I300" s="5" t="s">
        <v>1721</v>
      </c>
      <c r="J300" s="5" t="s">
        <v>300</v>
      </c>
      <c r="K300" s="5" t="s">
        <v>1721</v>
      </c>
      <c r="L300" s="5" t="s">
        <v>1721</v>
      </c>
      <c r="M300" s="9">
        <v>2</v>
      </c>
      <c r="N300" s="6">
        <f>IFERROR(Table2[[#This Row],[Darbuotojų skaičius]]/M299-1,0)</f>
        <v>-0.33333333333333337</v>
      </c>
      <c r="O300" s="9">
        <v>0</v>
      </c>
      <c r="P300" s="6">
        <v>0</v>
      </c>
      <c r="Q300" s="9">
        <f>Table2[[#This Row],[Atlyginimo vidurkis]]*Table2[[#This Row],[Darbuotojų skaičius]]*12</f>
        <v>0</v>
      </c>
      <c r="R300" s="49">
        <f>IFERROR(Table2[[#This Row],[DU sąnaudos]]/Q299-1,0)</f>
        <v>0</v>
      </c>
      <c r="S300" s="9">
        <v>177479</v>
      </c>
      <c r="T300" s="6">
        <v>5.7442295546896498E-2</v>
      </c>
      <c r="U300" s="9">
        <f>IF(Table2[[#This Row],[DU sąnaudos]]=0,0,Table2[[#This Row],[Apyvarta]]-Table2[[#This Row],[DU sąnaudos]]-Table2[[#This Row],[Pelnas]])</f>
        <v>0</v>
      </c>
      <c r="V300" s="49">
        <f>IFERROR(Table2[[#This Row],[Ne-atlyginimų sąnaudos]]/U299-1,0)</f>
        <v>0</v>
      </c>
      <c r="W300" s="9">
        <v>6521</v>
      </c>
      <c r="X300" s="6">
        <v>-2.609328726554788</v>
      </c>
      <c r="Y300" s="8">
        <f>Table2[[#This Row],[DU sąnaudos]]*0.43</f>
        <v>0</v>
      </c>
      <c r="Z300" s="8">
        <f>Table2[[#This Row],[Apyvarta]]-Table2[[#This Row],[Ne-atlyginimų sąnaudos]]+Table2[[#This Row],[Fiks ir pelno mokestis]]</f>
        <v>177479</v>
      </c>
    </row>
    <row r="301" spans="1:26" x14ac:dyDescent="0.2">
      <c r="A301" s="5" t="s">
        <v>1534</v>
      </c>
      <c r="B301" s="5" t="s">
        <v>1533</v>
      </c>
      <c r="C301" s="5">
        <v>2024</v>
      </c>
      <c r="D301" s="5" t="s">
        <v>1721</v>
      </c>
      <c r="E301" s="5" t="s">
        <v>1721</v>
      </c>
      <c r="F301" s="5" t="s">
        <v>1721</v>
      </c>
      <c r="G301" s="5" t="s">
        <v>1721</v>
      </c>
      <c r="H301" s="5" t="s">
        <v>1721</v>
      </c>
      <c r="I301" s="5" t="s">
        <v>1721</v>
      </c>
      <c r="J301" s="5" t="s">
        <v>300</v>
      </c>
      <c r="K301" s="5" t="s">
        <v>1721</v>
      </c>
      <c r="L301" s="5" t="s">
        <v>1721</v>
      </c>
      <c r="M301" s="9">
        <v>2</v>
      </c>
      <c r="N301" s="6">
        <f>IFERROR(Table2[[#This Row],[Darbuotojų skaičius]]/M300-1,0)</f>
        <v>0</v>
      </c>
      <c r="O301" s="9">
        <v>0</v>
      </c>
      <c r="P301" s="6">
        <v>0</v>
      </c>
      <c r="Q301" s="9">
        <f>Table2[[#This Row],[Atlyginimo vidurkis]]*Table2[[#This Row],[Darbuotojų skaičius]]*12</f>
        <v>0</v>
      </c>
      <c r="R301" s="49">
        <f>IFERROR(Table2[[#This Row],[DU sąnaudos]]/Q300-1,0)</f>
        <v>0</v>
      </c>
      <c r="S301" s="9">
        <v>193289</v>
      </c>
      <c r="T301" s="6">
        <v>8.9080961691242244E-2</v>
      </c>
      <c r="U301" s="9">
        <f>IF(Table2[[#This Row],[DU sąnaudos]]=0,0,Table2[[#This Row],[Apyvarta]]-Table2[[#This Row],[DU sąnaudos]]-Table2[[#This Row],[Pelnas]])</f>
        <v>0</v>
      </c>
      <c r="V301" s="49">
        <f>IFERROR(Table2[[#This Row],[Ne-atlyginimų sąnaudos]]/U300-1,0)</f>
        <v>0</v>
      </c>
      <c r="W301" s="9">
        <v>9873</v>
      </c>
      <c r="X301" s="6">
        <v>0.5140315902468946</v>
      </c>
      <c r="Y301" s="8">
        <f>Table2[[#This Row],[DU sąnaudos]]*0.43</f>
        <v>0</v>
      </c>
      <c r="Z301" s="8">
        <f>Table2[[#This Row],[Apyvarta]]-Table2[[#This Row],[Ne-atlyginimų sąnaudos]]+Table2[[#This Row],[Fiks ir pelno mokestis]]</f>
        <v>193289</v>
      </c>
    </row>
    <row r="302" spans="1:26" hidden="1" x14ac:dyDescent="0.2">
      <c r="A302" s="5" t="s">
        <v>1535</v>
      </c>
      <c r="B302" t="s">
        <v>1536</v>
      </c>
      <c r="C302">
        <v>2019</v>
      </c>
      <c r="D302" s="5" t="s">
        <v>1721</v>
      </c>
      <c r="E302" s="5" t="s">
        <v>1721</v>
      </c>
      <c r="F302" s="5" t="s">
        <v>1721</v>
      </c>
      <c r="G302" s="5" t="s">
        <v>1721</v>
      </c>
      <c r="H302" s="5" t="s">
        <v>1721</v>
      </c>
      <c r="I302" t="s">
        <v>280</v>
      </c>
      <c r="J302" s="5" t="s">
        <v>1721</v>
      </c>
      <c r="K302" s="5" t="s">
        <v>1721</v>
      </c>
      <c r="L302" s="5" t="s">
        <v>1721</v>
      </c>
      <c r="M302" s="9">
        <v>7</v>
      </c>
      <c r="N302" s="6">
        <v>0</v>
      </c>
      <c r="O302" s="9">
        <v>2072</v>
      </c>
      <c r="P302" s="6">
        <v>0</v>
      </c>
      <c r="Q302" s="9">
        <f>Table2[[#This Row],[Atlyginimo vidurkis]]*Table2[[#This Row],[Darbuotojų skaičius]]*12</f>
        <v>174048</v>
      </c>
      <c r="R302" s="49">
        <v>0</v>
      </c>
      <c r="S302" s="9">
        <v>320551</v>
      </c>
      <c r="T302" s="6">
        <v>0</v>
      </c>
      <c r="U302" s="9">
        <f>IF(Table2[[#This Row],[DU sąnaudos]]=0,0,Table2[[#This Row],[Apyvarta]]-Table2[[#This Row],[DU sąnaudos]]-Table2[[#This Row],[Pelnas]])</f>
        <v>194407</v>
      </c>
      <c r="V302" s="49">
        <v>0</v>
      </c>
      <c r="W302" s="9">
        <v>-47904</v>
      </c>
      <c r="X302" s="6">
        <v>0</v>
      </c>
      <c r="Y302" s="8">
        <f>Table2[[#This Row],[DU sąnaudos]]*0.43</f>
        <v>74840.639999999999</v>
      </c>
      <c r="Z302" s="8">
        <f>Table2[[#This Row],[Apyvarta]]-Table2[[#This Row],[Ne-atlyginimų sąnaudos]]+Table2[[#This Row],[Fiks ir pelno mokestis]]</f>
        <v>200984.64</v>
      </c>
    </row>
    <row r="303" spans="1:26" hidden="1" x14ac:dyDescent="0.2">
      <c r="A303" s="5" t="s">
        <v>1535</v>
      </c>
      <c r="B303" t="s">
        <v>1536</v>
      </c>
      <c r="C303">
        <v>2020</v>
      </c>
      <c r="D303" s="5" t="s">
        <v>1721</v>
      </c>
      <c r="E303" s="5" t="s">
        <v>1721</v>
      </c>
      <c r="F303" s="5" t="s">
        <v>1721</v>
      </c>
      <c r="G303" s="5" t="s">
        <v>1721</v>
      </c>
      <c r="H303" s="5" t="s">
        <v>1721</v>
      </c>
      <c r="I303" t="s">
        <v>280</v>
      </c>
      <c r="J303" s="5" t="s">
        <v>1721</v>
      </c>
      <c r="K303" s="5" t="s">
        <v>1721</v>
      </c>
      <c r="L303" s="5" t="s">
        <v>1721</v>
      </c>
      <c r="M303" s="9">
        <v>3</v>
      </c>
      <c r="N303" s="6">
        <f>IFERROR(Table2[[#This Row],[Darbuotojų skaičius]]/M302-1,0)</f>
        <v>-0.5714285714285714</v>
      </c>
      <c r="O303" s="9">
        <v>0</v>
      </c>
      <c r="P303" s="6">
        <v>0</v>
      </c>
      <c r="Q303" s="9">
        <f>Table2[[#This Row],[Atlyginimo vidurkis]]*Table2[[#This Row],[Darbuotojų skaičius]]*12</f>
        <v>0</v>
      </c>
      <c r="R303" s="49">
        <f>IFERROR(Table2[[#This Row],[DU sąnaudos]]/Q302-1,0)</f>
        <v>-1</v>
      </c>
      <c r="S303" s="9">
        <v>379917</v>
      </c>
      <c r="T303" s="6">
        <v>0.19</v>
      </c>
      <c r="U303" s="9">
        <f>IF(Table2[[#This Row],[DU sąnaudos]]=0,0,Table2[[#This Row],[Apyvarta]]-Table2[[#This Row],[DU sąnaudos]]-Table2[[#This Row],[Pelnas]])</f>
        <v>0</v>
      </c>
      <c r="V303" s="49">
        <f>IFERROR(Table2[[#This Row],[Ne-atlyginimų sąnaudos]]/U302-1,0)</f>
        <v>-1</v>
      </c>
      <c r="W303" s="9">
        <v>31094</v>
      </c>
      <c r="X303" s="6">
        <v>1.65</v>
      </c>
      <c r="Y303" s="8">
        <f>Table2[[#This Row],[DU sąnaudos]]*0.43</f>
        <v>0</v>
      </c>
      <c r="Z303" s="8">
        <f>Table2[[#This Row],[Apyvarta]]-Table2[[#This Row],[Ne-atlyginimų sąnaudos]]+Table2[[#This Row],[Fiks ir pelno mokestis]]</f>
        <v>379917</v>
      </c>
    </row>
    <row r="304" spans="1:26" hidden="1" x14ac:dyDescent="0.2">
      <c r="A304" s="5" t="s">
        <v>1535</v>
      </c>
      <c r="B304" t="s">
        <v>1536</v>
      </c>
      <c r="C304">
        <v>2021</v>
      </c>
      <c r="D304" s="5" t="s">
        <v>1721</v>
      </c>
      <c r="E304" s="5" t="s">
        <v>1721</v>
      </c>
      <c r="F304" s="5" t="s">
        <v>1721</v>
      </c>
      <c r="G304" s="5" t="s">
        <v>1721</v>
      </c>
      <c r="H304" s="5" t="s">
        <v>1721</v>
      </c>
      <c r="I304" t="s">
        <v>280</v>
      </c>
      <c r="J304" s="5" t="s">
        <v>1721</v>
      </c>
      <c r="K304" s="5" t="s">
        <v>1721</v>
      </c>
      <c r="L304" s="5" t="s">
        <v>1721</v>
      </c>
      <c r="M304" s="9">
        <v>4</v>
      </c>
      <c r="N304" s="6">
        <f>IFERROR(Table2[[#This Row],[Darbuotojų skaičius]]/M303-1,0)</f>
        <v>0.33333333333333326</v>
      </c>
      <c r="O304" s="9">
        <v>2520</v>
      </c>
      <c r="P304" s="6">
        <v>0</v>
      </c>
      <c r="Q304" s="9">
        <f>Table2[[#This Row],[Atlyginimo vidurkis]]*Table2[[#This Row],[Darbuotojų skaičius]]*12</f>
        <v>120960</v>
      </c>
      <c r="R304" s="49">
        <f>IFERROR(Table2[[#This Row],[DU sąnaudos]]/Q303-1,0)</f>
        <v>0</v>
      </c>
      <c r="S304" s="9">
        <v>299630</v>
      </c>
      <c r="T304" s="6">
        <v>-0.21</v>
      </c>
      <c r="U304" s="9">
        <f>IF(Table2[[#This Row],[DU sąnaudos]]=0,0,Table2[[#This Row],[Apyvarta]]-Table2[[#This Row],[DU sąnaudos]]-Table2[[#This Row],[Pelnas]])</f>
        <v>163553</v>
      </c>
      <c r="V304" s="49">
        <f>IFERROR(Table2[[#This Row],[Ne-atlyginimų sąnaudos]]/U303-1,0)</f>
        <v>0</v>
      </c>
      <c r="W304" s="9">
        <v>15117</v>
      </c>
      <c r="X304" s="6">
        <v>-0.51</v>
      </c>
      <c r="Y304" s="8">
        <f>Table2[[#This Row],[DU sąnaudos]]*0.43</f>
        <v>52012.799999999996</v>
      </c>
      <c r="Z304" s="8">
        <f>Table2[[#This Row],[Apyvarta]]-Table2[[#This Row],[Ne-atlyginimų sąnaudos]]+Table2[[#This Row],[Fiks ir pelno mokestis]]</f>
        <v>188089.8</v>
      </c>
    </row>
    <row r="305" spans="1:26" hidden="1" x14ac:dyDescent="0.2">
      <c r="A305" s="5" t="s">
        <v>1535</v>
      </c>
      <c r="B305" t="s">
        <v>1536</v>
      </c>
      <c r="C305">
        <v>2022</v>
      </c>
      <c r="D305" s="5" t="s">
        <v>1721</v>
      </c>
      <c r="E305" s="5" t="s">
        <v>1721</v>
      </c>
      <c r="F305" s="5" t="s">
        <v>1721</v>
      </c>
      <c r="G305" s="5" t="s">
        <v>1721</v>
      </c>
      <c r="H305" s="5" t="s">
        <v>1721</v>
      </c>
      <c r="I305" t="s">
        <v>280</v>
      </c>
      <c r="J305" s="5" t="s">
        <v>1721</v>
      </c>
      <c r="K305" s="5" t="s">
        <v>1721</v>
      </c>
      <c r="L305" s="5" t="s">
        <v>1721</v>
      </c>
      <c r="M305" s="9">
        <v>5</v>
      </c>
      <c r="N305" s="6">
        <f>IFERROR(Table2[[#This Row],[Darbuotojų skaičius]]/M304-1,0)</f>
        <v>0.25</v>
      </c>
      <c r="O305" s="9">
        <v>2431</v>
      </c>
      <c r="P305" s="6">
        <v>-0.04</v>
      </c>
      <c r="Q305" s="9">
        <f>Table2[[#This Row],[Atlyginimo vidurkis]]*Table2[[#This Row],[Darbuotojų skaičius]]*12</f>
        <v>145860</v>
      </c>
      <c r="R305" s="49">
        <f>IFERROR(Table2[[#This Row],[DU sąnaudos]]/Q304-1,0)</f>
        <v>0.20585317460317465</v>
      </c>
      <c r="S305" s="9">
        <v>276081</v>
      </c>
      <c r="T305" s="6">
        <v>-0.08</v>
      </c>
      <c r="U305" s="9">
        <f>IF(Table2[[#This Row],[DU sąnaudos]]=0,0,Table2[[#This Row],[Apyvarta]]-Table2[[#This Row],[DU sąnaudos]]-Table2[[#This Row],[Pelnas]])</f>
        <v>139105</v>
      </c>
      <c r="V305" s="49">
        <f>IFERROR(Table2[[#This Row],[Ne-atlyginimų sąnaudos]]/U304-1,0)</f>
        <v>-0.14948059650388557</v>
      </c>
      <c r="W305" s="9">
        <v>-8884</v>
      </c>
      <c r="X305" s="6">
        <v>-1.59</v>
      </c>
      <c r="Y305" s="8">
        <f>Table2[[#This Row],[DU sąnaudos]]*0.43</f>
        <v>62719.799999999996</v>
      </c>
      <c r="Z305" s="8">
        <f>Table2[[#This Row],[Apyvarta]]-Table2[[#This Row],[Ne-atlyginimų sąnaudos]]+Table2[[#This Row],[Fiks ir pelno mokestis]]</f>
        <v>199695.8</v>
      </c>
    </row>
    <row r="306" spans="1:26" hidden="1" x14ac:dyDescent="0.2">
      <c r="A306" s="5" t="s">
        <v>1535</v>
      </c>
      <c r="B306" t="s">
        <v>1536</v>
      </c>
      <c r="C306">
        <v>2023</v>
      </c>
      <c r="D306" s="5" t="s">
        <v>1721</v>
      </c>
      <c r="E306" s="5" t="s">
        <v>1721</v>
      </c>
      <c r="F306" s="5" t="s">
        <v>1721</v>
      </c>
      <c r="G306" s="5" t="s">
        <v>1721</v>
      </c>
      <c r="H306" s="5" t="s">
        <v>1721</v>
      </c>
      <c r="I306" t="s">
        <v>280</v>
      </c>
      <c r="J306" s="5" t="s">
        <v>1721</v>
      </c>
      <c r="K306" s="5" t="s">
        <v>1721</v>
      </c>
      <c r="L306" s="5" t="s">
        <v>1721</v>
      </c>
      <c r="M306" s="9">
        <v>5</v>
      </c>
      <c r="N306" s="6">
        <f>IFERROR(Table2[[#This Row],[Darbuotojų skaičius]]/M305-1,0)</f>
        <v>0</v>
      </c>
      <c r="O306" s="9">
        <v>2207</v>
      </c>
      <c r="P306" s="6">
        <v>-0.09</v>
      </c>
      <c r="Q306" s="9">
        <f>Table2[[#This Row],[Atlyginimo vidurkis]]*Table2[[#This Row],[Darbuotojų skaičius]]*12</f>
        <v>132420</v>
      </c>
      <c r="R306" s="49">
        <f>IFERROR(Table2[[#This Row],[DU sąnaudos]]/Q305-1,0)</f>
        <v>-9.2143150966680354E-2</v>
      </c>
      <c r="S306" s="9">
        <v>294768</v>
      </c>
      <c r="T306" s="6">
        <v>7.0000000000000007E-2</v>
      </c>
      <c r="U306" s="9">
        <f>IF(Table2[[#This Row],[DU sąnaudos]]=0,0,Table2[[#This Row],[Apyvarta]]-Table2[[#This Row],[DU sąnaudos]]-Table2[[#This Row],[Pelnas]])</f>
        <v>131488</v>
      </c>
      <c r="V306" s="49">
        <f>IFERROR(Table2[[#This Row],[Ne-atlyginimų sąnaudos]]/U305-1,0)</f>
        <v>-5.4757197800222812E-2</v>
      </c>
      <c r="W306" s="9">
        <v>30860</v>
      </c>
      <c r="X306" s="6">
        <v>4.47</v>
      </c>
      <c r="Y306" s="8">
        <f>Table2[[#This Row],[DU sąnaudos]]*0.43</f>
        <v>56940.6</v>
      </c>
      <c r="Z306" s="8">
        <f>Table2[[#This Row],[Apyvarta]]-Table2[[#This Row],[Ne-atlyginimų sąnaudos]]+Table2[[#This Row],[Fiks ir pelno mokestis]]</f>
        <v>220220.6</v>
      </c>
    </row>
    <row r="307" spans="1:26" hidden="1" x14ac:dyDescent="0.2">
      <c r="A307" s="5" t="s">
        <v>1535</v>
      </c>
      <c r="B307" t="s">
        <v>1536</v>
      </c>
      <c r="C307">
        <v>2024</v>
      </c>
      <c r="D307" s="5" t="s">
        <v>1721</v>
      </c>
      <c r="E307" s="5" t="s">
        <v>1721</v>
      </c>
      <c r="F307" s="5" t="s">
        <v>1721</v>
      </c>
      <c r="G307" s="5" t="s">
        <v>1721</v>
      </c>
      <c r="H307" s="5" t="s">
        <v>1721</v>
      </c>
      <c r="I307" t="s">
        <v>280</v>
      </c>
      <c r="J307" s="5" t="s">
        <v>1721</v>
      </c>
      <c r="K307" s="5" t="s">
        <v>1721</v>
      </c>
      <c r="L307" s="5" t="s">
        <v>1721</v>
      </c>
      <c r="M307" s="9">
        <v>5</v>
      </c>
      <c r="N307" s="6">
        <f>IFERROR(Table2[[#This Row],[Darbuotojų skaičius]]/M306-1,0)</f>
        <v>0</v>
      </c>
      <c r="O307" s="9">
        <v>2277</v>
      </c>
      <c r="P307" s="6">
        <v>0.03</v>
      </c>
      <c r="Q307" s="9">
        <f>Table2[[#This Row],[Atlyginimo vidurkis]]*Table2[[#This Row],[Darbuotojų skaičius]]*12</f>
        <v>136620</v>
      </c>
      <c r="R307" s="49">
        <f>IFERROR(Table2[[#This Row],[DU sąnaudos]]/Q306-1,0)</f>
        <v>3.1717263253284944E-2</v>
      </c>
      <c r="S307" s="9">
        <v>299800</v>
      </c>
      <c r="T307" s="6">
        <v>0.02</v>
      </c>
      <c r="U307" s="9">
        <f>IF(Table2[[#This Row],[DU sąnaudos]]=0,0,Table2[[#This Row],[Apyvarta]]-Table2[[#This Row],[DU sąnaudos]]-Table2[[#This Row],[Pelnas]])</f>
        <v>150893</v>
      </c>
      <c r="V307" s="49">
        <f>IFERROR(Table2[[#This Row],[Ne-atlyginimų sąnaudos]]/U306-1,0)</f>
        <v>0.14758000730104648</v>
      </c>
      <c r="W307" s="9">
        <v>12287</v>
      </c>
      <c r="X307" s="6">
        <v>-0.6</v>
      </c>
      <c r="Y307" s="8">
        <f>Table2[[#This Row],[DU sąnaudos]]*0.43</f>
        <v>58746.6</v>
      </c>
      <c r="Z307" s="8">
        <f>Table2[[#This Row],[Apyvarta]]-Table2[[#This Row],[Ne-atlyginimų sąnaudos]]+Table2[[#This Row],[Fiks ir pelno mokestis]]</f>
        <v>207653.6</v>
      </c>
    </row>
    <row r="308" spans="1:26" hidden="1" x14ac:dyDescent="0.2">
      <c r="A308" t="s">
        <v>1537</v>
      </c>
      <c r="B308" t="s">
        <v>1538</v>
      </c>
      <c r="C308">
        <v>2019</v>
      </c>
      <c r="D308" s="5" t="s">
        <v>1721</v>
      </c>
      <c r="E308" s="5" t="s">
        <v>1721</v>
      </c>
      <c r="F308" s="5" t="s">
        <v>1721</v>
      </c>
      <c r="G308" s="5" t="s">
        <v>1721</v>
      </c>
      <c r="H308" s="5" t="s">
        <v>1724</v>
      </c>
      <c r="I308" s="5" t="s">
        <v>1721</v>
      </c>
      <c r="J308" s="5" t="s">
        <v>1721</v>
      </c>
      <c r="K308" s="5" t="s">
        <v>1721</v>
      </c>
      <c r="L308" s="5" t="s">
        <v>1721</v>
      </c>
      <c r="M308" s="9">
        <v>10</v>
      </c>
      <c r="N308" s="6">
        <v>0</v>
      </c>
      <c r="O308" s="9">
        <v>885</v>
      </c>
      <c r="P308" s="6">
        <v>0</v>
      </c>
      <c r="Q308" s="9">
        <f>Table2[[#This Row],[Atlyginimo vidurkis]]*Table2[[#This Row],[Darbuotojų skaičius]]*12</f>
        <v>106200</v>
      </c>
      <c r="R308" s="49">
        <v>0</v>
      </c>
      <c r="S308" s="9">
        <v>577489</v>
      </c>
      <c r="T308" s="6">
        <v>0</v>
      </c>
      <c r="U308" s="9">
        <f>IF(Table2[[#This Row],[DU sąnaudos]]=0,0,Table2[[#This Row],[Apyvarta]]-Table2[[#This Row],[DU sąnaudos]]-Table2[[#This Row],[Pelnas]])</f>
        <v>401167</v>
      </c>
      <c r="V308" s="49">
        <v>0</v>
      </c>
      <c r="W308" s="9">
        <v>70122</v>
      </c>
      <c r="X308" s="6">
        <v>0</v>
      </c>
      <c r="Y308" s="8">
        <f>Table2[[#This Row],[DU sąnaudos]]*0.43</f>
        <v>45666</v>
      </c>
      <c r="Z308" s="8">
        <f>Table2[[#This Row],[Apyvarta]]-Table2[[#This Row],[Ne-atlyginimų sąnaudos]]+Table2[[#This Row],[Fiks ir pelno mokestis]]</f>
        <v>221988</v>
      </c>
    </row>
    <row r="309" spans="1:26" hidden="1" x14ac:dyDescent="0.2">
      <c r="A309" t="s">
        <v>1537</v>
      </c>
      <c r="B309" t="s">
        <v>1538</v>
      </c>
      <c r="C309">
        <v>2020</v>
      </c>
      <c r="D309" s="5" t="s">
        <v>1721</v>
      </c>
      <c r="E309" s="5" t="s">
        <v>1721</v>
      </c>
      <c r="F309" s="5" t="s">
        <v>1721</v>
      </c>
      <c r="G309" s="5" t="s">
        <v>1721</v>
      </c>
      <c r="H309" s="5" t="s">
        <v>1724</v>
      </c>
      <c r="I309" s="5" t="s">
        <v>1721</v>
      </c>
      <c r="J309" s="5" t="s">
        <v>1721</v>
      </c>
      <c r="K309" s="5" t="s">
        <v>1721</v>
      </c>
      <c r="L309" s="5" t="s">
        <v>1721</v>
      </c>
      <c r="M309" s="9">
        <v>10</v>
      </c>
      <c r="N309" s="6">
        <f>IFERROR(Table2[[#This Row],[Darbuotojų skaičius]]/M308-1,0)</f>
        <v>0</v>
      </c>
      <c r="O309" s="9">
        <v>951</v>
      </c>
      <c r="P309" s="6">
        <v>7.0000000000000007E-2</v>
      </c>
      <c r="Q309" s="9">
        <f>Table2[[#This Row],[Atlyginimo vidurkis]]*Table2[[#This Row],[Darbuotojų skaičius]]*12</f>
        <v>114120</v>
      </c>
      <c r="R309" s="49">
        <f>IFERROR(Table2[[#This Row],[DU sąnaudos]]/Q308-1,0)</f>
        <v>7.4576271186440612E-2</v>
      </c>
      <c r="S309" s="9">
        <v>464698</v>
      </c>
      <c r="T309" s="6">
        <v>-0.2</v>
      </c>
      <c r="U309" s="9">
        <f>IF(Table2[[#This Row],[DU sąnaudos]]=0,0,Table2[[#This Row],[Apyvarta]]-Table2[[#This Row],[DU sąnaudos]]-Table2[[#This Row],[Pelnas]])</f>
        <v>296920</v>
      </c>
      <c r="V309" s="49">
        <f>IFERROR(Table2[[#This Row],[Ne-atlyginimų sąnaudos]]/U308-1,0)</f>
        <v>-0.25985936031627721</v>
      </c>
      <c r="W309" s="9">
        <v>53658</v>
      </c>
      <c r="X309" s="6">
        <v>-0.23</v>
      </c>
      <c r="Y309" s="8">
        <f>Table2[[#This Row],[DU sąnaudos]]*0.43</f>
        <v>49071.6</v>
      </c>
      <c r="Z309" s="8">
        <f>Table2[[#This Row],[Apyvarta]]-Table2[[#This Row],[Ne-atlyginimų sąnaudos]]+Table2[[#This Row],[Fiks ir pelno mokestis]]</f>
        <v>216849.6</v>
      </c>
    </row>
    <row r="310" spans="1:26" hidden="1" x14ac:dyDescent="0.2">
      <c r="A310" t="s">
        <v>1537</v>
      </c>
      <c r="B310" t="s">
        <v>1538</v>
      </c>
      <c r="C310">
        <v>2021</v>
      </c>
      <c r="D310" s="5" t="s">
        <v>1721</v>
      </c>
      <c r="E310" s="5" t="s">
        <v>1721</v>
      </c>
      <c r="F310" s="5" t="s">
        <v>1721</v>
      </c>
      <c r="G310" s="5" t="s">
        <v>1721</v>
      </c>
      <c r="H310" s="5" t="s">
        <v>1724</v>
      </c>
      <c r="I310" s="5" t="s">
        <v>1721</v>
      </c>
      <c r="J310" s="5" t="s">
        <v>1721</v>
      </c>
      <c r="K310" s="5" t="s">
        <v>1721</v>
      </c>
      <c r="L310" s="5" t="s">
        <v>1721</v>
      </c>
      <c r="M310" s="9">
        <v>10</v>
      </c>
      <c r="N310" s="6">
        <f>IFERROR(Table2[[#This Row],[Darbuotojų skaičius]]/M309-1,0)</f>
        <v>0</v>
      </c>
      <c r="O310" s="9">
        <v>1469</v>
      </c>
      <c r="P310" s="6">
        <v>0.54</v>
      </c>
      <c r="Q310" s="9">
        <f>Table2[[#This Row],[Atlyginimo vidurkis]]*Table2[[#This Row],[Darbuotojų skaičius]]*12</f>
        <v>176280</v>
      </c>
      <c r="R310" s="49">
        <f>IFERROR(Table2[[#This Row],[DU sąnaudos]]/Q309-1,0)</f>
        <v>0.54468980021030489</v>
      </c>
      <c r="S310" s="9">
        <v>690337</v>
      </c>
      <c r="T310" s="6">
        <v>0.49</v>
      </c>
      <c r="U310" s="9">
        <f>IF(Table2[[#This Row],[DU sąnaudos]]=0,0,Table2[[#This Row],[Apyvarta]]-Table2[[#This Row],[DU sąnaudos]]-Table2[[#This Row],[Pelnas]])</f>
        <v>443166</v>
      </c>
      <c r="V310" s="49">
        <f>IFERROR(Table2[[#This Row],[Ne-atlyginimų sąnaudos]]/U309-1,0)</f>
        <v>0.49254344604607292</v>
      </c>
      <c r="W310" s="9">
        <v>70891</v>
      </c>
      <c r="X310" s="6">
        <v>0.32</v>
      </c>
      <c r="Y310" s="8">
        <f>Table2[[#This Row],[DU sąnaudos]]*0.43</f>
        <v>75800.399999999994</v>
      </c>
      <c r="Z310" s="8">
        <f>Table2[[#This Row],[Apyvarta]]-Table2[[#This Row],[Ne-atlyginimų sąnaudos]]+Table2[[#This Row],[Fiks ir pelno mokestis]]</f>
        <v>322971.40000000002</v>
      </c>
    </row>
    <row r="311" spans="1:26" hidden="1" x14ac:dyDescent="0.2">
      <c r="A311" t="s">
        <v>1537</v>
      </c>
      <c r="B311" t="s">
        <v>1538</v>
      </c>
      <c r="C311">
        <v>2022</v>
      </c>
      <c r="D311" s="5" t="s">
        <v>1721</v>
      </c>
      <c r="E311" s="5" t="s">
        <v>1721</v>
      </c>
      <c r="F311" s="5" t="s">
        <v>1721</v>
      </c>
      <c r="G311" s="5" t="s">
        <v>1721</v>
      </c>
      <c r="H311" s="5" t="s">
        <v>1724</v>
      </c>
      <c r="I311" s="5" t="s">
        <v>1721</v>
      </c>
      <c r="J311" s="5" t="s">
        <v>1721</v>
      </c>
      <c r="K311" s="5" t="s">
        <v>1721</v>
      </c>
      <c r="L311" s="5" t="s">
        <v>1721</v>
      </c>
      <c r="M311" s="9">
        <v>7</v>
      </c>
      <c r="N311" s="6">
        <f>IFERROR(Table2[[#This Row],[Darbuotojų skaičius]]/M310-1,0)</f>
        <v>-0.30000000000000004</v>
      </c>
      <c r="O311" s="9">
        <v>1752</v>
      </c>
      <c r="P311" s="6">
        <v>0.19</v>
      </c>
      <c r="Q311" s="9">
        <f>Table2[[#This Row],[Atlyginimo vidurkis]]*Table2[[#This Row],[Darbuotojų skaičius]]*12</f>
        <v>147168</v>
      </c>
      <c r="R311" s="49">
        <f>IFERROR(Table2[[#This Row],[DU sąnaudos]]/Q310-1,0)</f>
        <v>-0.16514635806671207</v>
      </c>
      <c r="S311" s="9">
        <v>410820</v>
      </c>
      <c r="T311" s="6">
        <v>-0.4</v>
      </c>
      <c r="U311" s="9">
        <f>IF(Table2[[#This Row],[DU sąnaudos]]=0,0,Table2[[#This Row],[Apyvarta]]-Table2[[#This Row],[DU sąnaudos]]-Table2[[#This Row],[Pelnas]])</f>
        <v>246867</v>
      </c>
      <c r="V311" s="49">
        <f>IFERROR(Table2[[#This Row],[Ne-atlyginimų sąnaudos]]/U310-1,0)</f>
        <v>-0.4429468867196491</v>
      </c>
      <c r="W311" s="9">
        <v>16785</v>
      </c>
      <c r="X311" s="6">
        <v>-0.76</v>
      </c>
      <c r="Y311" s="8">
        <f>Table2[[#This Row],[DU sąnaudos]]*0.43</f>
        <v>63282.239999999998</v>
      </c>
      <c r="Z311" s="8">
        <f>Table2[[#This Row],[Apyvarta]]-Table2[[#This Row],[Ne-atlyginimų sąnaudos]]+Table2[[#This Row],[Fiks ir pelno mokestis]]</f>
        <v>227235.24</v>
      </c>
    </row>
    <row r="312" spans="1:26" hidden="1" x14ac:dyDescent="0.2">
      <c r="A312" t="s">
        <v>1537</v>
      </c>
      <c r="B312" t="s">
        <v>1538</v>
      </c>
      <c r="C312">
        <v>2023</v>
      </c>
      <c r="D312" s="5" t="s">
        <v>1721</v>
      </c>
      <c r="E312" s="5" t="s">
        <v>1721</v>
      </c>
      <c r="F312" s="5" t="s">
        <v>1721</v>
      </c>
      <c r="G312" s="5" t="s">
        <v>1721</v>
      </c>
      <c r="H312" s="5" t="s">
        <v>1724</v>
      </c>
      <c r="I312" s="5" t="s">
        <v>1721</v>
      </c>
      <c r="J312" s="5" t="s">
        <v>1721</v>
      </c>
      <c r="K312" s="5" t="s">
        <v>1721</v>
      </c>
      <c r="L312" s="5" t="s">
        <v>1721</v>
      </c>
      <c r="M312" s="9">
        <v>2</v>
      </c>
      <c r="N312" s="6">
        <f>IFERROR(Table2[[#This Row],[Darbuotojų skaičius]]/M311-1,0)</f>
        <v>-0.7142857142857143</v>
      </c>
      <c r="O312" s="9">
        <v>0</v>
      </c>
      <c r="P312" s="6">
        <v>0</v>
      </c>
      <c r="Q312" s="9">
        <f>Table2[[#This Row],[Atlyginimo vidurkis]]*Table2[[#This Row],[Darbuotojų skaičius]]*12</f>
        <v>0</v>
      </c>
      <c r="R312" s="49">
        <f>IFERROR(Table2[[#This Row],[DU sąnaudos]]/Q311-1,0)</f>
        <v>-1</v>
      </c>
      <c r="S312" s="9">
        <v>451779</v>
      </c>
      <c r="T312" s="6">
        <v>0.1</v>
      </c>
      <c r="U312" s="9">
        <f>IF(Table2[[#This Row],[DU sąnaudos]]=0,0,Table2[[#This Row],[Apyvarta]]-Table2[[#This Row],[DU sąnaudos]]-Table2[[#This Row],[Pelnas]])</f>
        <v>0</v>
      </c>
      <c r="V312" s="49">
        <f>IFERROR(Table2[[#This Row],[Ne-atlyginimų sąnaudos]]/U311-1,0)</f>
        <v>-1</v>
      </c>
      <c r="W312" s="9">
        <v>583</v>
      </c>
      <c r="X312" s="6">
        <v>-0.97</v>
      </c>
      <c r="Y312" s="8">
        <f>Table2[[#This Row],[DU sąnaudos]]*0.43</f>
        <v>0</v>
      </c>
      <c r="Z312" s="8">
        <f>Table2[[#This Row],[Apyvarta]]-Table2[[#This Row],[Ne-atlyginimų sąnaudos]]+Table2[[#This Row],[Fiks ir pelno mokestis]]</f>
        <v>451779</v>
      </c>
    </row>
    <row r="313" spans="1:26" hidden="1" x14ac:dyDescent="0.2">
      <c r="A313" t="s">
        <v>1537</v>
      </c>
      <c r="B313" t="s">
        <v>1538</v>
      </c>
      <c r="C313">
        <v>2024</v>
      </c>
      <c r="D313" s="5" t="s">
        <v>1721</v>
      </c>
      <c r="E313" s="5" t="s">
        <v>1721</v>
      </c>
      <c r="F313" s="5" t="s">
        <v>1721</v>
      </c>
      <c r="G313" s="5" t="s">
        <v>1721</v>
      </c>
      <c r="H313" s="5" t="s">
        <v>1724</v>
      </c>
      <c r="I313" s="5" t="s">
        <v>1721</v>
      </c>
      <c r="J313" s="5" t="s">
        <v>1721</v>
      </c>
      <c r="K313" s="5" t="s">
        <v>1721</v>
      </c>
      <c r="L313" s="5" t="s">
        <v>1721</v>
      </c>
      <c r="M313" s="9">
        <v>2</v>
      </c>
      <c r="N313" s="6">
        <f>IFERROR(Table2[[#This Row],[Darbuotojų skaičius]]/M312-1,0)</f>
        <v>0</v>
      </c>
      <c r="O313" s="9">
        <v>0</v>
      </c>
      <c r="P313" s="6">
        <v>0</v>
      </c>
      <c r="Q313" s="9">
        <f>Table2[[#This Row],[Atlyginimo vidurkis]]*Table2[[#This Row],[Darbuotojų skaičius]]*12</f>
        <v>0</v>
      </c>
      <c r="R313" s="49">
        <f>IFERROR(Table2[[#This Row],[DU sąnaudos]]/Q312-1,0)</f>
        <v>0</v>
      </c>
      <c r="S313" s="9">
        <v>477010</v>
      </c>
      <c r="T313" s="6">
        <v>0.06</v>
      </c>
      <c r="U313" s="9">
        <f>IF(Table2[[#This Row],[DU sąnaudos]]=0,0,Table2[[#This Row],[Apyvarta]]-Table2[[#This Row],[DU sąnaudos]]-Table2[[#This Row],[Pelnas]])</f>
        <v>0</v>
      </c>
      <c r="V313" s="49">
        <f>IFERROR(Table2[[#This Row],[Ne-atlyginimų sąnaudos]]/U312-1,0)</f>
        <v>0</v>
      </c>
      <c r="W313" s="9">
        <v>21248</v>
      </c>
      <c r="X313" s="6">
        <v>35.450000000000003</v>
      </c>
      <c r="Y313" s="8">
        <f>Table2[[#This Row],[DU sąnaudos]]*0.43</f>
        <v>0</v>
      </c>
      <c r="Z313" s="8">
        <f>Table2[[#This Row],[Apyvarta]]-Table2[[#This Row],[Ne-atlyginimų sąnaudos]]+Table2[[#This Row],[Fiks ir pelno mokestis]]</f>
        <v>477010</v>
      </c>
    </row>
    <row r="314" spans="1:26" hidden="1" x14ac:dyDescent="0.2">
      <c r="A314" t="s">
        <v>1539</v>
      </c>
      <c r="B314" t="s">
        <v>1540</v>
      </c>
      <c r="C314">
        <v>2020</v>
      </c>
      <c r="D314" s="5" t="s">
        <v>1721</v>
      </c>
      <c r="E314" s="5" t="s">
        <v>1721</v>
      </c>
      <c r="F314" s="5" t="s">
        <v>1721</v>
      </c>
      <c r="G314" s="5" t="s">
        <v>1721</v>
      </c>
      <c r="H314" s="5" t="s">
        <v>1724</v>
      </c>
      <c r="I314" s="5" t="s">
        <v>1721</v>
      </c>
      <c r="J314" s="5" t="s">
        <v>1721</v>
      </c>
      <c r="K314" s="5" t="s">
        <v>1721</v>
      </c>
      <c r="L314" s="5" t="s">
        <v>1721</v>
      </c>
      <c r="M314" s="9">
        <v>3</v>
      </c>
      <c r="N314" s="6">
        <f>IFERROR(Table2[[#This Row],[Darbuotojų skaičius]]/M313-1,0)</f>
        <v>0.5</v>
      </c>
      <c r="O314" s="9">
        <v>0</v>
      </c>
      <c r="P314" s="6">
        <v>0</v>
      </c>
      <c r="Q314" s="9">
        <f>Table2[[#This Row],[Atlyginimo vidurkis]]*Table2[[#This Row],[Darbuotojų skaičius]]*12</f>
        <v>0</v>
      </c>
      <c r="R314" s="49">
        <f>IFERROR(Table2[[#This Row],[DU sąnaudos]]/Q313-1,0)</f>
        <v>0</v>
      </c>
      <c r="S314" s="9">
        <v>239230</v>
      </c>
      <c r="T314" s="6">
        <v>0</v>
      </c>
      <c r="U314" s="9">
        <f>IF(Table2[[#This Row],[DU sąnaudos]]=0,0,Table2[[#This Row],[Apyvarta]]-Table2[[#This Row],[DU sąnaudos]]-Table2[[#This Row],[Pelnas]])</f>
        <v>0</v>
      </c>
      <c r="V314" s="49">
        <f>IFERROR(Table2[[#This Row],[Ne-atlyginimų sąnaudos]]/U313-1,0)</f>
        <v>0</v>
      </c>
      <c r="W314" s="9">
        <v>27406</v>
      </c>
      <c r="X314" s="6">
        <v>0</v>
      </c>
      <c r="Y314" s="8">
        <f>Table2[[#This Row],[DU sąnaudos]]*0.43</f>
        <v>0</v>
      </c>
      <c r="Z314" s="8">
        <f>Table2[[#This Row],[Apyvarta]]-Table2[[#This Row],[Ne-atlyginimų sąnaudos]]+Table2[[#This Row],[Fiks ir pelno mokestis]]</f>
        <v>239230</v>
      </c>
    </row>
    <row r="315" spans="1:26" hidden="1" x14ac:dyDescent="0.2">
      <c r="A315" t="s">
        <v>1539</v>
      </c>
      <c r="B315" t="s">
        <v>1540</v>
      </c>
      <c r="C315">
        <v>2021</v>
      </c>
      <c r="D315" s="5" t="s">
        <v>1721</v>
      </c>
      <c r="E315" s="5" t="s">
        <v>1721</v>
      </c>
      <c r="F315" s="5" t="s">
        <v>1721</v>
      </c>
      <c r="G315" s="5" t="s">
        <v>1721</v>
      </c>
      <c r="H315" s="5" t="s">
        <v>1724</v>
      </c>
      <c r="I315" s="5" t="s">
        <v>1721</v>
      </c>
      <c r="J315" s="5" t="s">
        <v>1721</v>
      </c>
      <c r="K315" s="5" t="s">
        <v>1721</v>
      </c>
      <c r="L315" s="5" t="s">
        <v>1721</v>
      </c>
      <c r="M315" s="9">
        <v>3</v>
      </c>
      <c r="N315" s="6">
        <f>IFERROR(Table2[[#This Row],[Darbuotojų skaičius]]/M314-1,0)</f>
        <v>0</v>
      </c>
      <c r="O315" s="9">
        <v>0</v>
      </c>
      <c r="P315" s="6">
        <v>0</v>
      </c>
      <c r="Q315" s="9">
        <f>Table2[[#This Row],[Atlyginimo vidurkis]]*Table2[[#This Row],[Darbuotojų skaičius]]*12</f>
        <v>0</v>
      </c>
      <c r="R315" s="49">
        <f>IFERROR(Table2[[#This Row],[DU sąnaudos]]/Q314-1,0)</f>
        <v>0</v>
      </c>
      <c r="S315" s="9">
        <v>447002</v>
      </c>
      <c r="T315" s="6">
        <v>0.87</v>
      </c>
      <c r="U315" s="9">
        <f>IF(Table2[[#This Row],[DU sąnaudos]]=0,0,Table2[[#This Row],[Apyvarta]]-Table2[[#This Row],[DU sąnaudos]]-Table2[[#This Row],[Pelnas]])</f>
        <v>0</v>
      </c>
      <c r="V315" s="49">
        <f>IFERROR(Table2[[#This Row],[Ne-atlyginimų sąnaudos]]/U314-1,0)</f>
        <v>0</v>
      </c>
      <c r="W315" s="9">
        <v>59375</v>
      </c>
      <c r="X315" s="6">
        <v>1.17</v>
      </c>
      <c r="Y315" s="8">
        <f>Table2[[#This Row],[DU sąnaudos]]*0.43</f>
        <v>0</v>
      </c>
      <c r="Z315" s="8">
        <f>Table2[[#This Row],[Apyvarta]]-Table2[[#This Row],[Ne-atlyginimų sąnaudos]]+Table2[[#This Row],[Fiks ir pelno mokestis]]</f>
        <v>447002</v>
      </c>
    </row>
    <row r="316" spans="1:26" hidden="1" x14ac:dyDescent="0.2">
      <c r="A316" t="s">
        <v>1539</v>
      </c>
      <c r="B316" t="s">
        <v>1540</v>
      </c>
      <c r="C316">
        <v>2022</v>
      </c>
      <c r="D316" s="5" t="s">
        <v>1721</v>
      </c>
      <c r="E316" s="5" t="s">
        <v>1721</v>
      </c>
      <c r="F316" s="5" t="s">
        <v>1721</v>
      </c>
      <c r="G316" s="5" t="s">
        <v>1721</v>
      </c>
      <c r="H316" s="5" t="s">
        <v>1724</v>
      </c>
      <c r="I316" s="5" t="s">
        <v>1721</v>
      </c>
      <c r="J316" s="5" t="s">
        <v>1721</v>
      </c>
      <c r="K316" s="5" t="s">
        <v>1721</v>
      </c>
      <c r="L316" s="5" t="s">
        <v>1721</v>
      </c>
      <c r="M316" s="9">
        <v>3</v>
      </c>
      <c r="N316" s="6">
        <f>IFERROR(Table2[[#This Row],[Darbuotojų skaičius]]/M315-1,0)</f>
        <v>0</v>
      </c>
      <c r="O316" s="9">
        <v>1568</v>
      </c>
      <c r="P316" s="6">
        <v>0</v>
      </c>
      <c r="Q316" s="9">
        <f>Table2[[#This Row],[Atlyginimo vidurkis]]*Table2[[#This Row],[Darbuotojų skaičius]]*12</f>
        <v>56448</v>
      </c>
      <c r="R316" s="49">
        <f>IFERROR(Table2[[#This Row],[DU sąnaudos]]/Q315-1,0)</f>
        <v>0</v>
      </c>
      <c r="S316" s="9">
        <v>291190</v>
      </c>
      <c r="T316" s="6">
        <v>-0.35</v>
      </c>
      <c r="U316" s="9">
        <f>IF(Table2[[#This Row],[DU sąnaudos]]=0,0,Table2[[#This Row],[Apyvarta]]-Table2[[#This Row],[DU sąnaudos]]-Table2[[#This Row],[Pelnas]])</f>
        <v>212398</v>
      </c>
      <c r="V316" s="49">
        <f>IFERROR(Table2[[#This Row],[Ne-atlyginimų sąnaudos]]/U315-1,0)</f>
        <v>0</v>
      </c>
      <c r="W316" s="9">
        <v>22344</v>
      </c>
      <c r="X316" s="6">
        <v>-0.62</v>
      </c>
      <c r="Y316" s="8">
        <f>Table2[[#This Row],[DU sąnaudos]]*0.43</f>
        <v>24272.639999999999</v>
      </c>
      <c r="Z316" s="8">
        <f>Table2[[#This Row],[Apyvarta]]-Table2[[#This Row],[Ne-atlyginimų sąnaudos]]+Table2[[#This Row],[Fiks ir pelno mokestis]]</f>
        <v>103064.64</v>
      </c>
    </row>
    <row r="317" spans="1:26" hidden="1" x14ac:dyDescent="0.2">
      <c r="A317" t="s">
        <v>1539</v>
      </c>
      <c r="B317" t="s">
        <v>1540</v>
      </c>
      <c r="C317">
        <v>2023</v>
      </c>
      <c r="D317" s="5" t="s">
        <v>1721</v>
      </c>
      <c r="E317" s="5" t="s">
        <v>1721</v>
      </c>
      <c r="F317" s="5" t="s">
        <v>1721</v>
      </c>
      <c r="G317" s="5" t="s">
        <v>1721</v>
      </c>
      <c r="H317" s="5" t="s">
        <v>1724</v>
      </c>
      <c r="I317" s="5" t="s">
        <v>1721</v>
      </c>
      <c r="J317" s="5" t="s">
        <v>1721</v>
      </c>
      <c r="K317" s="5" t="s">
        <v>1721</v>
      </c>
      <c r="L317" s="5" t="s">
        <v>1721</v>
      </c>
      <c r="M317" s="9">
        <v>4</v>
      </c>
      <c r="N317" s="6">
        <f>IFERROR(Table2[[#This Row],[Darbuotojų skaičius]]/M316-1,0)</f>
        <v>0.33333333333333326</v>
      </c>
      <c r="O317" s="9">
        <v>1594</v>
      </c>
      <c r="P317" s="6">
        <v>0.02</v>
      </c>
      <c r="Q317" s="9">
        <f>Table2[[#This Row],[Atlyginimo vidurkis]]*Table2[[#This Row],[Darbuotojų skaičius]]*12</f>
        <v>76512</v>
      </c>
      <c r="R317" s="49">
        <f>IFERROR(Table2[[#This Row],[DU sąnaudos]]/Q316-1,0)</f>
        <v>0.35544217687074831</v>
      </c>
      <c r="S317" s="9">
        <v>491988</v>
      </c>
      <c r="T317" s="6">
        <v>0.69</v>
      </c>
      <c r="U317" s="9">
        <f>IF(Table2[[#This Row],[DU sąnaudos]]=0,0,Table2[[#This Row],[Apyvarta]]-Table2[[#This Row],[DU sąnaudos]]-Table2[[#This Row],[Pelnas]])</f>
        <v>334222</v>
      </c>
      <c r="V317" s="49">
        <f>IFERROR(Table2[[#This Row],[Ne-atlyginimų sąnaudos]]/U316-1,0)</f>
        <v>0.57356472283166515</v>
      </c>
      <c r="W317" s="9">
        <v>81254</v>
      </c>
      <c r="X317" s="6">
        <v>2.64</v>
      </c>
      <c r="Y317" s="8">
        <f>Table2[[#This Row],[DU sąnaudos]]*0.43</f>
        <v>32900.159999999996</v>
      </c>
      <c r="Z317" s="8">
        <f>Table2[[#This Row],[Apyvarta]]-Table2[[#This Row],[Ne-atlyginimų sąnaudos]]+Table2[[#This Row],[Fiks ir pelno mokestis]]</f>
        <v>190666.16</v>
      </c>
    </row>
    <row r="318" spans="1:26" hidden="1" x14ac:dyDescent="0.2">
      <c r="A318" t="s">
        <v>1539</v>
      </c>
      <c r="B318" t="s">
        <v>1540</v>
      </c>
      <c r="C318">
        <v>2024</v>
      </c>
      <c r="D318" s="5" t="s">
        <v>1721</v>
      </c>
      <c r="E318" s="5" t="s">
        <v>1721</v>
      </c>
      <c r="F318" s="5" t="s">
        <v>1721</v>
      </c>
      <c r="G318" s="5" t="s">
        <v>1721</v>
      </c>
      <c r="H318" s="5" t="s">
        <v>1724</v>
      </c>
      <c r="I318" s="5" t="s">
        <v>1721</v>
      </c>
      <c r="J318" s="5" t="s">
        <v>1721</v>
      </c>
      <c r="K318" s="5" t="s">
        <v>1721</v>
      </c>
      <c r="L318" s="5" t="s">
        <v>1721</v>
      </c>
      <c r="M318" s="9">
        <v>3</v>
      </c>
      <c r="N318" s="6">
        <f>IFERROR(Table2[[#This Row],[Darbuotojų skaičius]]/M317-1,0)</f>
        <v>-0.25</v>
      </c>
      <c r="O318" s="9">
        <v>0</v>
      </c>
      <c r="P318" s="6">
        <v>0</v>
      </c>
      <c r="Q318" s="9">
        <f>Table2[[#This Row],[Atlyginimo vidurkis]]*Table2[[#This Row],[Darbuotojų skaičius]]*12</f>
        <v>0</v>
      </c>
      <c r="R318" s="49">
        <f>IFERROR(Table2[[#This Row],[DU sąnaudos]]/Q317-1,0)</f>
        <v>-1</v>
      </c>
      <c r="S318" s="9">
        <v>891608</v>
      </c>
      <c r="T318" s="6">
        <v>0.81</v>
      </c>
      <c r="U318" s="9">
        <f>IF(Table2[[#This Row],[DU sąnaudos]]=0,0,Table2[[#This Row],[Apyvarta]]-Table2[[#This Row],[DU sąnaudos]]-Table2[[#This Row],[Pelnas]])</f>
        <v>0</v>
      </c>
      <c r="V318" s="49">
        <f>IFERROR(Table2[[#This Row],[Ne-atlyginimų sąnaudos]]/U317-1,0)</f>
        <v>-1</v>
      </c>
      <c r="W318" s="9">
        <v>126884</v>
      </c>
      <c r="X318" s="6">
        <v>0.56000000000000005</v>
      </c>
      <c r="Y318" s="8">
        <f>Table2[[#This Row],[DU sąnaudos]]*0.43</f>
        <v>0</v>
      </c>
      <c r="Z318" s="8">
        <f>Table2[[#This Row],[Apyvarta]]-Table2[[#This Row],[Ne-atlyginimų sąnaudos]]+Table2[[#This Row],[Fiks ir pelno mokestis]]</f>
        <v>891608</v>
      </c>
    </row>
    <row r="319" spans="1:26" hidden="1" x14ac:dyDescent="0.2">
      <c r="A319" s="5" t="s">
        <v>965</v>
      </c>
      <c r="B319" s="5" t="s">
        <v>1541</v>
      </c>
      <c r="C319" s="5">
        <v>2019</v>
      </c>
      <c r="D319" s="5" t="s">
        <v>1721</v>
      </c>
      <c r="E319" s="5" t="s">
        <v>1721</v>
      </c>
      <c r="F319" s="5" t="s">
        <v>1721</v>
      </c>
      <c r="G319" s="5" t="s">
        <v>73</v>
      </c>
      <c r="H319" s="5" t="s">
        <v>1721</v>
      </c>
      <c r="I319" s="5" t="s">
        <v>1721</v>
      </c>
      <c r="J319" s="5" t="s">
        <v>1721</v>
      </c>
      <c r="K319" s="5" t="s">
        <v>1721</v>
      </c>
      <c r="L319" s="5" t="s">
        <v>1721</v>
      </c>
      <c r="M319" s="9">
        <v>19</v>
      </c>
      <c r="N319" s="6">
        <v>0</v>
      </c>
      <c r="O319" s="9">
        <v>2594</v>
      </c>
      <c r="P319" s="6">
        <v>0</v>
      </c>
      <c r="Q319" s="9">
        <f>Table2[[#This Row],[Atlyginimo vidurkis]]*Table2[[#This Row],[Darbuotojų skaičius]]*12</f>
        <v>591432</v>
      </c>
      <c r="R319" s="49">
        <v>0</v>
      </c>
      <c r="S319" s="9">
        <v>9111300</v>
      </c>
      <c r="T319" s="6">
        <v>0</v>
      </c>
      <c r="U319" s="9">
        <f>IF(Table2[[#This Row],[DU sąnaudos]]=0,0,Table2[[#This Row],[Apyvarta]]-Table2[[#This Row],[DU sąnaudos]]-Table2[[#This Row],[Pelnas]])</f>
        <v>8182498</v>
      </c>
      <c r="V319" s="49">
        <v>0</v>
      </c>
      <c r="W319" s="9">
        <v>337370</v>
      </c>
      <c r="X319" s="6">
        <v>0</v>
      </c>
      <c r="Y319" s="8">
        <f>Table2[[#This Row],[DU sąnaudos]]*0.43</f>
        <v>254315.76</v>
      </c>
      <c r="Z319" s="8">
        <f>Table2[[#This Row],[Apyvarta]]-Table2[[#This Row],[Ne-atlyginimų sąnaudos]]+Table2[[#This Row],[Fiks ir pelno mokestis]]</f>
        <v>1183117.76</v>
      </c>
    </row>
    <row r="320" spans="1:26" hidden="1" x14ac:dyDescent="0.2">
      <c r="A320" s="5" t="s">
        <v>965</v>
      </c>
      <c r="B320" s="5" t="s">
        <v>1541</v>
      </c>
      <c r="C320" s="5">
        <v>2020</v>
      </c>
      <c r="D320" s="5" t="s">
        <v>1721</v>
      </c>
      <c r="E320" s="5" t="s">
        <v>1721</v>
      </c>
      <c r="F320" s="5" t="s">
        <v>1721</v>
      </c>
      <c r="G320" s="5" t="s">
        <v>73</v>
      </c>
      <c r="H320" s="5" t="s">
        <v>1721</v>
      </c>
      <c r="I320" s="5" t="s">
        <v>1721</v>
      </c>
      <c r="J320" s="5" t="s">
        <v>1721</v>
      </c>
      <c r="K320" s="5" t="s">
        <v>1721</v>
      </c>
      <c r="L320" s="5" t="s">
        <v>1721</v>
      </c>
      <c r="M320" s="9">
        <v>19</v>
      </c>
      <c r="N320" s="6">
        <f>IFERROR(Table2[[#This Row],[Darbuotojų skaičius]]/M319-1,0)</f>
        <v>0</v>
      </c>
      <c r="O320" s="9">
        <v>3022</v>
      </c>
      <c r="P320" s="6">
        <v>0.16499614494988421</v>
      </c>
      <c r="Q320" s="9">
        <f>Table2[[#This Row],[Atlyginimo vidurkis]]*Table2[[#This Row],[Darbuotojų skaičius]]*12</f>
        <v>689016</v>
      </c>
      <c r="R320" s="49">
        <f>IFERROR(Table2[[#This Row],[DU sąnaudos]]/Q319-1,0)</f>
        <v>0.16499614494988424</v>
      </c>
      <c r="S320" s="9">
        <v>7980395</v>
      </c>
      <c r="T320" s="6">
        <v>-0.12412114626891881</v>
      </c>
      <c r="U320" s="9">
        <f>IF(Table2[[#This Row],[DU sąnaudos]]=0,0,Table2[[#This Row],[Apyvarta]]-Table2[[#This Row],[DU sąnaudos]]-Table2[[#This Row],[Pelnas]])</f>
        <v>6944129</v>
      </c>
      <c r="V320" s="49">
        <f>IFERROR(Table2[[#This Row],[Ne-atlyginimų sąnaudos]]/U319-1,0)</f>
        <v>-0.15134363613654411</v>
      </c>
      <c r="W320" s="9">
        <v>347250</v>
      </c>
      <c r="X320" s="6">
        <v>2.9285354358715932E-2</v>
      </c>
      <c r="Y320" s="8">
        <f>Table2[[#This Row],[DU sąnaudos]]*0.43</f>
        <v>296276.88</v>
      </c>
      <c r="Z320" s="8">
        <f>Table2[[#This Row],[Apyvarta]]-Table2[[#This Row],[Ne-atlyginimų sąnaudos]]+Table2[[#This Row],[Fiks ir pelno mokestis]]</f>
        <v>1332542.8799999999</v>
      </c>
    </row>
    <row r="321" spans="1:26" hidden="1" x14ac:dyDescent="0.2">
      <c r="A321" s="5" t="s">
        <v>965</v>
      </c>
      <c r="B321" s="5" t="s">
        <v>1541</v>
      </c>
      <c r="C321" s="5">
        <v>2021</v>
      </c>
      <c r="D321" s="5" t="s">
        <v>1721</v>
      </c>
      <c r="E321" s="5" t="s">
        <v>1721</v>
      </c>
      <c r="F321" s="5" t="s">
        <v>1721</v>
      </c>
      <c r="G321" s="5" t="s">
        <v>73</v>
      </c>
      <c r="H321" s="5" t="s">
        <v>1721</v>
      </c>
      <c r="I321" s="5" t="s">
        <v>1721</v>
      </c>
      <c r="J321" s="5" t="s">
        <v>1721</v>
      </c>
      <c r="K321" s="5" t="s">
        <v>1721</v>
      </c>
      <c r="L321" s="5" t="s">
        <v>1721</v>
      </c>
      <c r="M321" s="9">
        <v>19</v>
      </c>
      <c r="N321" s="6">
        <f>IFERROR(Table2[[#This Row],[Darbuotojų skaičius]]/M320-1,0)</f>
        <v>0</v>
      </c>
      <c r="O321" s="9">
        <v>3122</v>
      </c>
      <c r="P321" s="6">
        <v>3.3090668431502213E-2</v>
      </c>
      <c r="Q321" s="9">
        <f>Table2[[#This Row],[Atlyginimo vidurkis]]*Table2[[#This Row],[Darbuotojų skaičius]]*12</f>
        <v>711816</v>
      </c>
      <c r="R321" s="49">
        <f>IFERROR(Table2[[#This Row],[DU sąnaudos]]/Q320-1,0)</f>
        <v>3.3090668431502213E-2</v>
      </c>
      <c r="S321" s="9">
        <v>14985680</v>
      </c>
      <c r="T321" s="6">
        <v>0.87781181257318708</v>
      </c>
      <c r="U321" s="9">
        <f>IF(Table2[[#This Row],[DU sąnaudos]]=0,0,Table2[[#This Row],[Apyvarta]]-Table2[[#This Row],[DU sąnaudos]]-Table2[[#This Row],[Pelnas]])</f>
        <v>13815400</v>
      </c>
      <c r="V321" s="49">
        <f>IFERROR(Table2[[#This Row],[Ne-atlyginimų sąnaudos]]/U320-1,0)</f>
        <v>0.98950797141009339</v>
      </c>
      <c r="W321" s="9">
        <v>458464</v>
      </c>
      <c r="X321" s="6">
        <v>0.32027069834413258</v>
      </c>
      <c r="Y321" s="8">
        <f>Table2[[#This Row],[DU sąnaudos]]*0.43</f>
        <v>306080.88</v>
      </c>
      <c r="Z321" s="8">
        <f>Table2[[#This Row],[Apyvarta]]-Table2[[#This Row],[Ne-atlyginimų sąnaudos]]+Table2[[#This Row],[Fiks ir pelno mokestis]]</f>
        <v>1476360.88</v>
      </c>
    </row>
    <row r="322" spans="1:26" hidden="1" x14ac:dyDescent="0.2">
      <c r="A322" s="5" t="s">
        <v>965</v>
      </c>
      <c r="B322" s="5" t="s">
        <v>1541</v>
      </c>
      <c r="C322" s="5">
        <v>2022</v>
      </c>
      <c r="D322" s="5" t="s">
        <v>1721</v>
      </c>
      <c r="E322" s="5" t="s">
        <v>1721</v>
      </c>
      <c r="F322" s="5" t="s">
        <v>1721</v>
      </c>
      <c r="G322" s="5" t="s">
        <v>73</v>
      </c>
      <c r="H322" s="5" t="s">
        <v>1721</v>
      </c>
      <c r="I322" s="5" t="s">
        <v>1721</v>
      </c>
      <c r="J322" s="5" t="s">
        <v>1721</v>
      </c>
      <c r="K322" s="5" t="s">
        <v>1721</v>
      </c>
      <c r="L322" s="5" t="s">
        <v>1721</v>
      </c>
      <c r="M322" s="9">
        <v>23</v>
      </c>
      <c r="N322" s="6">
        <f>IFERROR(Table2[[#This Row],[Darbuotojų skaičius]]/M321-1,0)</f>
        <v>0.21052631578947367</v>
      </c>
      <c r="O322" s="9">
        <v>3347</v>
      </c>
      <c r="P322" s="6">
        <v>7.2069186418962206E-2</v>
      </c>
      <c r="Q322" s="9">
        <f>Table2[[#This Row],[Atlyginimo vidurkis]]*Table2[[#This Row],[Darbuotojų skaičius]]*12</f>
        <v>923772</v>
      </c>
      <c r="R322" s="49">
        <f>IFERROR(Table2[[#This Row],[DU sąnaudos]]/Q321-1,0)</f>
        <v>0.29776796250716475</v>
      </c>
      <c r="S322" s="9">
        <v>11936797</v>
      </c>
      <c r="T322" s="6">
        <v>-0.20345309655617891</v>
      </c>
      <c r="U322" s="9">
        <f>IF(Table2[[#This Row],[DU sąnaudos]]=0,0,Table2[[#This Row],[Apyvarta]]-Table2[[#This Row],[DU sąnaudos]]-Table2[[#This Row],[Pelnas]])</f>
        <v>10750026</v>
      </c>
      <c r="V322" s="49">
        <f>IFERROR(Table2[[#This Row],[Ne-atlyginimų sąnaudos]]/U321-1,0)</f>
        <v>-0.22188094445329121</v>
      </c>
      <c r="W322" s="9">
        <v>262999</v>
      </c>
      <c r="X322" s="6">
        <v>-0.42634754310043982</v>
      </c>
      <c r="Y322" s="8">
        <f>Table2[[#This Row],[DU sąnaudos]]*0.43</f>
        <v>397221.96</v>
      </c>
      <c r="Z322" s="8">
        <f>Table2[[#This Row],[Apyvarta]]-Table2[[#This Row],[Ne-atlyginimų sąnaudos]]+Table2[[#This Row],[Fiks ir pelno mokestis]]</f>
        <v>1583992.96</v>
      </c>
    </row>
    <row r="323" spans="1:26" hidden="1" x14ac:dyDescent="0.2">
      <c r="A323" s="5" t="s">
        <v>965</v>
      </c>
      <c r="B323" s="5" t="s">
        <v>1541</v>
      </c>
      <c r="C323" s="5">
        <v>2023</v>
      </c>
      <c r="D323" s="5" t="s">
        <v>1721</v>
      </c>
      <c r="E323" s="5" t="s">
        <v>1721</v>
      </c>
      <c r="F323" s="5" t="s">
        <v>1721</v>
      </c>
      <c r="G323" s="5" t="s">
        <v>73</v>
      </c>
      <c r="H323" s="5" t="s">
        <v>1721</v>
      </c>
      <c r="I323" s="5" t="s">
        <v>1721</v>
      </c>
      <c r="J323" s="5" t="s">
        <v>1721</v>
      </c>
      <c r="K323" s="5" t="s">
        <v>1721</v>
      </c>
      <c r="L323" s="5" t="s">
        <v>1721</v>
      </c>
      <c r="M323" s="9">
        <v>23</v>
      </c>
      <c r="N323" s="6">
        <f>IFERROR(Table2[[#This Row],[Darbuotojų skaičius]]/M322-1,0)</f>
        <v>0</v>
      </c>
      <c r="O323" s="9">
        <v>3551</v>
      </c>
      <c r="P323" s="6">
        <v>6.0950104571257928E-2</v>
      </c>
      <c r="Q323" s="9">
        <f>Table2[[#This Row],[Atlyginimo vidurkis]]*Table2[[#This Row],[Darbuotojų skaičius]]*12</f>
        <v>980076</v>
      </c>
      <c r="R323" s="49">
        <f>IFERROR(Table2[[#This Row],[DU sąnaudos]]/Q322-1,0)</f>
        <v>6.0950104571257935E-2</v>
      </c>
      <c r="S323" s="9">
        <v>17409970</v>
      </c>
      <c r="T323" s="6">
        <v>0.45851269817187967</v>
      </c>
      <c r="U323" s="9">
        <f>IF(Table2[[#This Row],[DU sąnaudos]]=0,0,Table2[[#This Row],[Apyvarta]]-Table2[[#This Row],[DU sąnaudos]]-Table2[[#This Row],[Pelnas]])</f>
        <v>16169777</v>
      </c>
      <c r="V323" s="49">
        <f>IFERROR(Table2[[#This Row],[Ne-atlyginimų sąnaudos]]/U322-1,0)</f>
        <v>0.50416166435318388</v>
      </c>
      <c r="W323" s="9">
        <v>260117</v>
      </c>
      <c r="X323" s="6">
        <v>-1.0958216571165689E-2</v>
      </c>
      <c r="Y323" s="8">
        <f>Table2[[#This Row],[DU sąnaudos]]*0.43</f>
        <v>421432.68</v>
      </c>
      <c r="Z323" s="8">
        <f>Table2[[#This Row],[Apyvarta]]-Table2[[#This Row],[Ne-atlyginimų sąnaudos]]+Table2[[#This Row],[Fiks ir pelno mokestis]]</f>
        <v>1661625.68</v>
      </c>
    </row>
    <row r="324" spans="1:26" hidden="1" x14ac:dyDescent="0.2">
      <c r="A324" s="5" t="s">
        <v>965</v>
      </c>
      <c r="B324" s="5" t="s">
        <v>1541</v>
      </c>
      <c r="C324" s="5">
        <v>2024</v>
      </c>
      <c r="D324" s="5" t="s">
        <v>1721</v>
      </c>
      <c r="E324" s="5" t="s">
        <v>1721</v>
      </c>
      <c r="F324" s="5" t="s">
        <v>1721</v>
      </c>
      <c r="G324" s="5" t="s">
        <v>73</v>
      </c>
      <c r="H324" s="5" t="s">
        <v>1721</v>
      </c>
      <c r="I324" s="5" t="s">
        <v>1721</v>
      </c>
      <c r="J324" s="5" t="s">
        <v>1721</v>
      </c>
      <c r="K324" s="5" t="s">
        <v>1721</v>
      </c>
      <c r="L324" s="5" t="s">
        <v>1721</v>
      </c>
      <c r="M324" s="9">
        <v>26</v>
      </c>
      <c r="N324" s="6">
        <f>IFERROR(Table2[[#This Row],[Darbuotojų skaičius]]/M323-1,0)</f>
        <v>0.13043478260869557</v>
      </c>
      <c r="O324" s="9">
        <v>3880</v>
      </c>
      <c r="P324" s="6">
        <v>9.2649957758377921E-2</v>
      </c>
      <c r="Q324" s="9">
        <f>Table2[[#This Row],[Atlyginimo vidurkis]]*Table2[[#This Row],[Darbuotojų skaičius]]*12</f>
        <v>1210560</v>
      </c>
      <c r="R324" s="49">
        <f>IFERROR(Table2[[#This Row],[DU sąnaudos]]/Q323-1,0)</f>
        <v>0.23516951746599246</v>
      </c>
      <c r="S324" s="20">
        <v>20721932</v>
      </c>
      <c r="T324" s="6">
        <v>0.19023364198789539</v>
      </c>
      <c r="U324" s="9">
        <f>IF(Table2[[#This Row],[DU sąnaudos]]=0,0,Table2[[#This Row],[Apyvarta]]-Table2[[#This Row],[DU sąnaudos]]-Table2[[#This Row],[Pelnas]])</f>
        <v>19220484</v>
      </c>
      <c r="V324" s="49">
        <f>IFERROR(Table2[[#This Row],[Ne-atlyginimų sąnaudos]]/U323-1,0)</f>
        <v>0.18866722775459421</v>
      </c>
      <c r="W324" s="9">
        <v>290888</v>
      </c>
      <c r="X324" s="6">
        <v>0.11829676645509513</v>
      </c>
      <c r="Y324" s="8">
        <f>Table2[[#This Row],[DU sąnaudos]]*0.43</f>
        <v>520540.8</v>
      </c>
      <c r="Z324" s="8">
        <f>Table2[[#This Row],[Apyvarta]]-Table2[[#This Row],[Ne-atlyginimų sąnaudos]]+Table2[[#This Row],[Fiks ir pelno mokestis]]</f>
        <v>2021988.8</v>
      </c>
    </row>
    <row r="325" spans="1:26" hidden="1" x14ac:dyDescent="0.2">
      <c r="A325" s="5" t="s">
        <v>1545</v>
      </c>
      <c r="B325" s="5" t="s">
        <v>1546</v>
      </c>
      <c r="C325" s="5">
        <v>2021</v>
      </c>
      <c r="D325" s="5" t="s">
        <v>1721</v>
      </c>
      <c r="E325" s="5" t="s">
        <v>1721</v>
      </c>
      <c r="F325" s="5" t="s">
        <v>1721</v>
      </c>
      <c r="G325" s="5" t="s">
        <v>1721</v>
      </c>
      <c r="H325" s="5" t="s">
        <v>1721</v>
      </c>
      <c r="I325" s="5" t="s">
        <v>1721</v>
      </c>
      <c r="J325" s="5" t="s">
        <v>1721</v>
      </c>
      <c r="K325" s="5" t="s">
        <v>193</v>
      </c>
      <c r="L325" s="5" t="s">
        <v>1721</v>
      </c>
      <c r="M325" s="9">
        <v>2</v>
      </c>
      <c r="N325" s="6">
        <f>IFERROR(Table2[[#This Row],[Darbuotojų skaičius]]/M324-1,0)</f>
        <v>-0.92307692307692313</v>
      </c>
      <c r="O325" s="9">
        <v>0</v>
      </c>
      <c r="P325" s="6">
        <v>0</v>
      </c>
      <c r="Q325" s="9">
        <f>Table2[[#This Row],[Atlyginimo vidurkis]]*Table2[[#This Row],[Darbuotojų skaičius]]*12</f>
        <v>0</v>
      </c>
      <c r="R325" s="49">
        <f>IFERROR(Table2[[#This Row],[DU sąnaudos]]/Q324-1,0)</f>
        <v>-1</v>
      </c>
      <c r="S325" s="9">
        <v>92781</v>
      </c>
      <c r="T325" s="6">
        <v>0</v>
      </c>
      <c r="U325" s="9">
        <f>IF(Table2[[#This Row],[DU sąnaudos]]=0,0,Table2[[#This Row],[Apyvarta]]-Table2[[#This Row],[DU sąnaudos]]-Table2[[#This Row],[Pelnas]])</f>
        <v>0</v>
      </c>
      <c r="V325" s="49">
        <f>IFERROR(Table2[[#This Row],[Ne-atlyginimų sąnaudos]]/U324-1,0)</f>
        <v>-1</v>
      </c>
      <c r="W325" s="9">
        <v>10703</v>
      </c>
      <c r="X325" s="6">
        <v>0</v>
      </c>
      <c r="Y325" s="8">
        <f>Table2[[#This Row],[DU sąnaudos]]*0.43</f>
        <v>0</v>
      </c>
      <c r="Z325" s="8">
        <f>Table2[[#This Row],[Apyvarta]]-Table2[[#This Row],[Ne-atlyginimų sąnaudos]]+Table2[[#This Row],[Fiks ir pelno mokestis]]</f>
        <v>92781</v>
      </c>
    </row>
    <row r="326" spans="1:26" hidden="1" x14ac:dyDescent="0.2">
      <c r="A326" s="5" t="s">
        <v>1545</v>
      </c>
      <c r="B326" s="5" t="s">
        <v>1546</v>
      </c>
      <c r="C326" s="5">
        <v>2022</v>
      </c>
      <c r="D326" s="5" t="s">
        <v>1721</v>
      </c>
      <c r="E326" s="5" t="s">
        <v>1721</v>
      </c>
      <c r="F326" s="5" t="s">
        <v>1721</v>
      </c>
      <c r="G326" s="5" t="s">
        <v>1721</v>
      </c>
      <c r="H326" s="5" t="s">
        <v>1721</v>
      </c>
      <c r="I326" s="5" t="s">
        <v>1721</v>
      </c>
      <c r="J326" s="5" t="s">
        <v>1721</v>
      </c>
      <c r="K326" s="5" t="s">
        <v>193</v>
      </c>
      <c r="L326" s="5" t="s">
        <v>1721</v>
      </c>
      <c r="M326" s="9">
        <v>4</v>
      </c>
      <c r="N326" s="6">
        <f>IFERROR(Table2[[#This Row],[Darbuotojų skaičius]]/M325-1,0)</f>
        <v>1</v>
      </c>
      <c r="O326" s="9">
        <v>2893</v>
      </c>
      <c r="P326" s="6">
        <v>0</v>
      </c>
      <c r="Q326" s="9">
        <f>Table2[[#This Row],[Atlyginimo vidurkis]]*Table2[[#This Row],[Darbuotojų skaičius]]*12</f>
        <v>138864</v>
      </c>
      <c r="R326" s="49">
        <f>IFERROR(Table2[[#This Row],[DU sąnaudos]]/Q325-1,0)</f>
        <v>0</v>
      </c>
      <c r="S326" s="9">
        <v>135073</v>
      </c>
      <c r="T326" s="6">
        <v>0.46</v>
      </c>
      <c r="U326" s="9">
        <f>IF(Table2[[#This Row],[DU sąnaudos]]=0,0,Table2[[#This Row],[Apyvarta]]-Table2[[#This Row],[DU sąnaudos]]-Table2[[#This Row],[Pelnas]])</f>
        <v>1015</v>
      </c>
      <c r="V326" s="49">
        <f>IFERROR(Table2[[#This Row],[Ne-atlyginimų sąnaudos]]/U325-1,0)</f>
        <v>0</v>
      </c>
      <c r="W326" s="9">
        <v>-4806</v>
      </c>
      <c r="X326" s="6">
        <v>-1.45</v>
      </c>
      <c r="Y326" s="8">
        <f>Table2[[#This Row],[DU sąnaudos]]*0.43</f>
        <v>59711.519999999997</v>
      </c>
      <c r="Z326" s="8">
        <f>Table2[[#This Row],[Apyvarta]]-Table2[[#This Row],[Ne-atlyginimų sąnaudos]]+Table2[[#This Row],[Fiks ir pelno mokestis]]</f>
        <v>193769.52</v>
      </c>
    </row>
    <row r="327" spans="1:26" hidden="1" x14ac:dyDescent="0.2">
      <c r="A327" s="5" t="s">
        <v>1545</v>
      </c>
      <c r="B327" s="5" t="s">
        <v>1546</v>
      </c>
      <c r="C327" s="5">
        <v>2023</v>
      </c>
      <c r="D327" s="5" t="s">
        <v>1721</v>
      </c>
      <c r="E327" s="5" t="s">
        <v>1721</v>
      </c>
      <c r="F327" s="5" t="s">
        <v>1721</v>
      </c>
      <c r="G327" s="5" t="s">
        <v>1721</v>
      </c>
      <c r="H327" s="5" t="s">
        <v>1721</v>
      </c>
      <c r="I327" s="5" t="s">
        <v>1721</v>
      </c>
      <c r="J327" s="5" t="s">
        <v>1721</v>
      </c>
      <c r="K327" s="5" t="s">
        <v>193</v>
      </c>
      <c r="L327" s="5" t="s">
        <v>1721</v>
      </c>
      <c r="M327" s="9">
        <v>2</v>
      </c>
      <c r="N327" s="6">
        <f>IFERROR(Table2[[#This Row],[Darbuotojų skaičius]]/M326-1,0)</f>
        <v>-0.5</v>
      </c>
      <c r="O327" s="9">
        <v>0</v>
      </c>
      <c r="P327" s="6">
        <v>0</v>
      </c>
      <c r="Q327" s="9">
        <f>Table2[[#This Row],[Atlyginimo vidurkis]]*Table2[[#This Row],[Darbuotojų skaičius]]*12</f>
        <v>0</v>
      </c>
      <c r="R327" s="49">
        <f>IFERROR(Table2[[#This Row],[DU sąnaudos]]/Q326-1,0)</f>
        <v>-1</v>
      </c>
      <c r="S327" s="9">
        <v>48292</v>
      </c>
      <c r="T327" s="6">
        <v>-0.64</v>
      </c>
      <c r="U327" s="9">
        <f>IF(Table2[[#This Row],[DU sąnaudos]]=0,0,Table2[[#This Row],[Apyvarta]]-Table2[[#This Row],[DU sąnaudos]]-Table2[[#This Row],[Pelnas]])</f>
        <v>0</v>
      </c>
      <c r="V327" s="49">
        <f>IFERROR(Table2[[#This Row],[Ne-atlyginimų sąnaudos]]/U326-1,0)</f>
        <v>-1</v>
      </c>
      <c r="W327" s="9">
        <v>7197</v>
      </c>
      <c r="X327" s="6">
        <v>2.5</v>
      </c>
      <c r="Y327" s="8">
        <f>Table2[[#This Row],[DU sąnaudos]]*0.43</f>
        <v>0</v>
      </c>
      <c r="Z327" s="8">
        <f>Table2[[#This Row],[Apyvarta]]-Table2[[#This Row],[Ne-atlyginimų sąnaudos]]+Table2[[#This Row],[Fiks ir pelno mokestis]]</f>
        <v>48292</v>
      </c>
    </row>
    <row r="328" spans="1:26" hidden="1" x14ac:dyDescent="0.2">
      <c r="A328" s="5" t="s">
        <v>1545</v>
      </c>
      <c r="B328" s="5" t="s">
        <v>1546</v>
      </c>
      <c r="C328" s="5">
        <v>2024</v>
      </c>
      <c r="D328" s="5" t="s">
        <v>1721</v>
      </c>
      <c r="E328" s="5" t="s">
        <v>1721</v>
      </c>
      <c r="F328" s="5" t="s">
        <v>1721</v>
      </c>
      <c r="G328" s="5" t="s">
        <v>1721</v>
      </c>
      <c r="H328" s="5" t="s">
        <v>1721</v>
      </c>
      <c r="I328" s="5" t="s">
        <v>1721</v>
      </c>
      <c r="J328" s="5" t="s">
        <v>1721</v>
      </c>
      <c r="K328" s="5" t="s">
        <v>193</v>
      </c>
      <c r="L328" s="5" t="s">
        <v>1721</v>
      </c>
      <c r="M328" s="9">
        <v>1</v>
      </c>
      <c r="N328" s="6">
        <f>IFERROR(Table2[[#This Row],[Darbuotojų skaičius]]/M327-1,0)</f>
        <v>-0.5</v>
      </c>
      <c r="O328" s="9">
        <v>0</v>
      </c>
      <c r="P328" s="6">
        <v>0</v>
      </c>
      <c r="Q328" s="9">
        <f>Table2[[#This Row],[Atlyginimo vidurkis]]*Table2[[#This Row],[Darbuotojų skaičius]]*12</f>
        <v>0</v>
      </c>
      <c r="R328" s="49">
        <f>IFERROR(Table2[[#This Row],[DU sąnaudos]]/Q327-1,0)</f>
        <v>0</v>
      </c>
      <c r="S328" s="9">
        <v>44366</v>
      </c>
      <c r="T328" s="6">
        <v>-0.08</v>
      </c>
      <c r="U328" s="9">
        <f>IF(Table2[[#This Row],[DU sąnaudos]]=0,0,Table2[[#This Row],[Apyvarta]]-Table2[[#This Row],[DU sąnaudos]]-Table2[[#This Row],[Pelnas]])</f>
        <v>0</v>
      </c>
      <c r="V328" s="49">
        <f>IFERROR(Table2[[#This Row],[Ne-atlyginimų sąnaudos]]/U327-1,0)</f>
        <v>0</v>
      </c>
      <c r="W328" s="9">
        <v>4534</v>
      </c>
      <c r="X328" s="6">
        <v>-0.37</v>
      </c>
      <c r="Y328" s="8">
        <f>Table2[[#This Row],[DU sąnaudos]]*0.43</f>
        <v>0</v>
      </c>
      <c r="Z328" s="8">
        <f>Table2[[#This Row],[Apyvarta]]-Table2[[#This Row],[Ne-atlyginimų sąnaudos]]+Table2[[#This Row],[Fiks ir pelno mokestis]]</f>
        <v>44366</v>
      </c>
    </row>
    <row r="329" spans="1:26" x14ac:dyDescent="0.2">
      <c r="A329" s="5" t="s">
        <v>1077</v>
      </c>
      <c r="B329" s="5" t="s">
        <v>1547</v>
      </c>
      <c r="C329" s="5">
        <v>2019</v>
      </c>
      <c r="D329" s="5" t="s">
        <v>1721</v>
      </c>
      <c r="E329" s="5" t="s">
        <v>1721</v>
      </c>
      <c r="F329" s="5" t="s">
        <v>1721</v>
      </c>
      <c r="G329" s="5" t="s">
        <v>1721</v>
      </c>
      <c r="H329" s="5" t="s">
        <v>1721</v>
      </c>
      <c r="I329" s="5" t="s">
        <v>1721</v>
      </c>
      <c r="J329" s="5" t="s">
        <v>300</v>
      </c>
      <c r="K329" s="5" t="s">
        <v>193</v>
      </c>
      <c r="L329" s="5" t="s">
        <v>1721</v>
      </c>
      <c r="M329" s="9">
        <v>3</v>
      </c>
      <c r="N329" s="6">
        <v>0</v>
      </c>
      <c r="O329" s="9">
        <v>0</v>
      </c>
      <c r="P329" s="6">
        <v>0</v>
      </c>
      <c r="Q329" s="9">
        <f>Table2[[#This Row],[Atlyginimo vidurkis]]*Table2[[#This Row],[Darbuotojų skaičius]]*12</f>
        <v>0</v>
      </c>
      <c r="R329" s="49">
        <v>0</v>
      </c>
      <c r="S329" s="9">
        <v>272062</v>
      </c>
      <c r="T329" s="6">
        <v>0</v>
      </c>
      <c r="U329" s="9">
        <f>IF(Table2[[#This Row],[DU sąnaudos]]=0,0,Table2[[#This Row],[Apyvarta]]-Table2[[#This Row],[DU sąnaudos]]-Table2[[#This Row],[Pelnas]])</f>
        <v>0</v>
      </c>
      <c r="V329" s="49">
        <v>0</v>
      </c>
      <c r="W329" s="9">
        <v>-5710</v>
      </c>
      <c r="X329" s="6">
        <v>0</v>
      </c>
      <c r="Y329" s="8">
        <f>Table2[[#This Row],[DU sąnaudos]]*0.43</f>
        <v>0</v>
      </c>
      <c r="Z329" s="8">
        <f>Table2[[#This Row],[Apyvarta]]-Table2[[#This Row],[Ne-atlyginimų sąnaudos]]+Table2[[#This Row],[Fiks ir pelno mokestis]]</f>
        <v>272062</v>
      </c>
    </row>
    <row r="330" spans="1:26" x14ac:dyDescent="0.2">
      <c r="A330" s="5" t="s">
        <v>1077</v>
      </c>
      <c r="B330" s="5" t="s">
        <v>1547</v>
      </c>
      <c r="C330" s="5">
        <v>2020</v>
      </c>
      <c r="D330" s="5" t="s">
        <v>1721</v>
      </c>
      <c r="E330" s="5" t="s">
        <v>1721</v>
      </c>
      <c r="F330" s="5" t="s">
        <v>1721</v>
      </c>
      <c r="G330" s="5" t="s">
        <v>1721</v>
      </c>
      <c r="H330" s="5" t="s">
        <v>1721</v>
      </c>
      <c r="I330" s="5" t="s">
        <v>1721</v>
      </c>
      <c r="J330" s="5" t="s">
        <v>300</v>
      </c>
      <c r="K330" s="5" t="s">
        <v>193</v>
      </c>
      <c r="L330" s="5" t="s">
        <v>1721</v>
      </c>
      <c r="M330" s="9">
        <v>3</v>
      </c>
      <c r="N330" s="6">
        <f>IFERROR(Table2[[#This Row],[Darbuotojų skaičius]]/M329-1,0)</f>
        <v>0</v>
      </c>
      <c r="O330" s="9">
        <v>0</v>
      </c>
      <c r="P330" s="6">
        <v>0</v>
      </c>
      <c r="Q330" s="9">
        <f>Table2[[#This Row],[Atlyginimo vidurkis]]*Table2[[#This Row],[Darbuotojų skaičius]]*12</f>
        <v>0</v>
      </c>
      <c r="R330" s="49">
        <f>IFERROR(Table2[[#This Row],[DU sąnaudos]]/Q329-1,0)</f>
        <v>0</v>
      </c>
      <c r="S330" s="9">
        <v>260028</v>
      </c>
      <c r="T330" s="6">
        <v>-4.4232564636002107E-2</v>
      </c>
      <c r="U330" s="9">
        <f>IF(Table2[[#This Row],[DU sąnaudos]]=0,0,Table2[[#This Row],[Apyvarta]]-Table2[[#This Row],[DU sąnaudos]]-Table2[[#This Row],[Pelnas]])</f>
        <v>0</v>
      </c>
      <c r="V330" s="49">
        <f>IFERROR(Table2[[#This Row],[Ne-atlyginimų sąnaudos]]/U329-1,0)</f>
        <v>0</v>
      </c>
      <c r="W330" s="9">
        <v>26466</v>
      </c>
      <c r="X330" s="6">
        <v>-5.6350262697022764</v>
      </c>
      <c r="Y330" s="8">
        <f>Table2[[#This Row],[DU sąnaudos]]*0.43</f>
        <v>0</v>
      </c>
      <c r="Z330" s="8">
        <f>Table2[[#This Row],[Apyvarta]]-Table2[[#This Row],[Ne-atlyginimų sąnaudos]]+Table2[[#This Row],[Fiks ir pelno mokestis]]</f>
        <v>260028</v>
      </c>
    </row>
    <row r="331" spans="1:26" x14ac:dyDescent="0.2">
      <c r="A331" s="5" t="s">
        <v>1077</v>
      </c>
      <c r="B331" s="5" t="s">
        <v>1547</v>
      </c>
      <c r="C331" s="5">
        <v>2021</v>
      </c>
      <c r="D331" s="5" t="s">
        <v>1721</v>
      </c>
      <c r="E331" s="5" t="s">
        <v>1721</v>
      </c>
      <c r="F331" s="5" t="s">
        <v>1721</v>
      </c>
      <c r="G331" s="5" t="s">
        <v>1721</v>
      </c>
      <c r="H331" s="5" t="s">
        <v>1721</v>
      </c>
      <c r="I331" s="5" t="s">
        <v>1721</v>
      </c>
      <c r="J331" s="5" t="s">
        <v>300</v>
      </c>
      <c r="K331" s="5" t="s">
        <v>193</v>
      </c>
      <c r="L331" s="5" t="s">
        <v>1721</v>
      </c>
      <c r="M331" s="9">
        <v>3</v>
      </c>
      <c r="N331" s="6">
        <f>IFERROR(Table2[[#This Row],[Darbuotojų skaičius]]/M330-1,0)</f>
        <v>0</v>
      </c>
      <c r="O331" s="9">
        <v>1105</v>
      </c>
      <c r="P331" s="6">
        <v>0</v>
      </c>
      <c r="Q331" s="9">
        <f>Table2[[#This Row],[Atlyginimo vidurkis]]*Table2[[#This Row],[Darbuotojų skaičius]]*12</f>
        <v>39780</v>
      </c>
      <c r="R331" s="49">
        <f>IFERROR(Table2[[#This Row],[DU sąnaudos]]/Q330-1,0)</f>
        <v>0</v>
      </c>
      <c r="S331" s="9">
        <v>390004</v>
      </c>
      <c r="T331" s="6">
        <v>0.49985386189179631</v>
      </c>
      <c r="U331" s="9">
        <f>IF(Table2[[#This Row],[DU sąnaudos]]=0,0,Table2[[#This Row],[Apyvarta]]-Table2[[#This Row],[DU sąnaudos]]-Table2[[#This Row],[Pelnas]])</f>
        <v>287656</v>
      </c>
      <c r="V331" s="49">
        <f>IFERROR(Table2[[#This Row],[Ne-atlyginimų sąnaudos]]/U330-1,0)</f>
        <v>0</v>
      </c>
      <c r="W331" s="9">
        <v>62568</v>
      </c>
      <c r="X331" s="6">
        <v>1.364089775561097</v>
      </c>
      <c r="Y331" s="8">
        <f>Table2[[#This Row],[DU sąnaudos]]*0.43</f>
        <v>17105.400000000001</v>
      </c>
      <c r="Z331" s="8">
        <f>Table2[[#This Row],[Apyvarta]]-Table2[[#This Row],[Ne-atlyginimų sąnaudos]]+Table2[[#This Row],[Fiks ir pelno mokestis]]</f>
        <v>119453.4</v>
      </c>
    </row>
    <row r="332" spans="1:26" x14ac:dyDescent="0.2">
      <c r="A332" s="5" t="s">
        <v>1077</v>
      </c>
      <c r="B332" s="5" t="s">
        <v>1547</v>
      </c>
      <c r="C332" s="5">
        <v>2022</v>
      </c>
      <c r="D332" s="5" t="s">
        <v>1721</v>
      </c>
      <c r="E332" s="5" t="s">
        <v>1721</v>
      </c>
      <c r="F332" s="5" t="s">
        <v>1721</v>
      </c>
      <c r="G332" s="5" t="s">
        <v>1721</v>
      </c>
      <c r="H332" s="5" t="s">
        <v>1721</v>
      </c>
      <c r="I332" s="5" t="s">
        <v>1721</v>
      </c>
      <c r="J332" s="5" t="s">
        <v>300</v>
      </c>
      <c r="K332" s="5" t="s">
        <v>193</v>
      </c>
      <c r="L332" s="5" t="s">
        <v>1721</v>
      </c>
      <c r="M332" s="9">
        <v>5</v>
      </c>
      <c r="N332" s="6">
        <f>IFERROR(Table2[[#This Row],[Darbuotojų skaičius]]/M331-1,0)</f>
        <v>0.66666666666666674</v>
      </c>
      <c r="O332" s="9">
        <v>1306</v>
      </c>
      <c r="P332" s="6">
        <v>0.1819004524886878</v>
      </c>
      <c r="Q332" s="9">
        <f>Table2[[#This Row],[Atlyginimo vidurkis]]*Table2[[#This Row],[Darbuotojų skaičius]]*12</f>
        <v>78360</v>
      </c>
      <c r="R332" s="49">
        <f>IFERROR(Table2[[#This Row],[DU sąnaudos]]/Q331-1,0)</f>
        <v>0.96983408748114641</v>
      </c>
      <c r="S332" s="9">
        <v>435751</v>
      </c>
      <c r="T332" s="6">
        <v>0.11729879693541601</v>
      </c>
      <c r="U332" s="9">
        <f>IF(Table2[[#This Row],[DU sąnaudos]]=0,0,Table2[[#This Row],[Apyvarta]]-Table2[[#This Row],[DU sąnaudos]]-Table2[[#This Row],[Pelnas]])</f>
        <v>300589</v>
      </c>
      <c r="V332" s="49">
        <f>IFERROR(Table2[[#This Row],[Ne-atlyginimų sąnaudos]]/U331-1,0)</f>
        <v>4.4959952165086081E-2</v>
      </c>
      <c r="W332" s="9">
        <v>56802</v>
      </c>
      <c r="X332" s="6">
        <v>-9.2155734560797842E-2</v>
      </c>
      <c r="Y332" s="8">
        <f>Table2[[#This Row],[DU sąnaudos]]*0.43</f>
        <v>33694.800000000003</v>
      </c>
      <c r="Z332" s="8">
        <f>Table2[[#This Row],[Apyvarta]]-Table2[[#This Row],[Ne-atlyginimų sąnaudos]]+Table2[[#This Row],[Fiks ir pelno mokestis]]</f>
        <v>168856.8</v>
      </c>
    </row>
    <row r="333" spans="1:26" x14ac:dyDescent="0.2">
      <c r="A333" s="5" t="s">
        <v>1077</v>
      </c>
      <c r="B333" s="5" t="s">
        <v>1547</v>
      </c>
      <c r="C333" s="5">
        <v>2023</v>
      </c>
      <c r="D333" s="5" t="s">
        <v>1721</v>
      </c>
      <c r="E333" s="5" t="s">
        <v>1721</v>
      </c>
      <c r="F333" s="5" t="s">
        <v>1721</v>
      </c>
      <c r="G333" s="5" t="s">
        <v>1721</v>
      </c>
      <c r="H333" s="5" t="s">
        <v>1721</v>
      </c>
      <c r="I333" s="5" t="s">
        <v>1721</v>
      </c>
      <c r="J333" s="5" t="s">
        <v>300</v>
      </c>
      <c r="K333" s="5" t="s">
        <v>193</v>
      </c>
      <c r="L333" s="5" t="s">
        <v>1721</v>
      </c>
      <c r="M333" s="9">
        <v>6</v>
      </c>
      <c r="N333" s="6">
        <f>IFERROR(Table2[[#This Row],[Darbuotojų skaičius]]/M332-1,0)</f>
        <v>0.19999999999999996</v>
      </c>
      <c r="O333" s="9">
        <v>1400</v>
      </c>
      <c r="P333" s="6">
        <v>7.1975497702909674E-2</v>
      </c>
      <c r="Q333" s="9">
        <f>Table2[[#This Row],[Atlyginimo vidurkis]]*Table2[[#This Row],[Darbuotojų skaičius]]*12</f>
        <v>100800</v>
      </c>
      <c r="R333" s="49">
        <f>IFERROR(Table2[[#This Row],[DU sąnaudos]]/Q332-1,0)</f>
        <v>0.28637059724349156</v>
      </c>
      <c r="S333" s="9">
        <v>283497</v>
      </c>
      <c r="T333" s="6">
        <v>-0.3494059680872792</v>
      </c>
      <c r="U333" s="9">
        <f>IF(Table2[[#This Row],[DU sąnaudos]]=0,0,Table2[[#This Row],[Apyvarta]]-Table2[[#This Row],[DU sąnaudos]]-Table2[[#This Row],[Pelnas]])</f>
        <v>185922</v>
      </c>
      <c r="V333" s="49">
        <f>IFERROR(Table2[[#This Row],[Ne-atlyginimų sąnaudos]]/U332-1,0)</f>
        <v>-0.38147437198300671</v>
      </c>
      <c r="W333" s="9">
        <v>-3225</v>
      </c>
      <c r="X333" s="6">
        <v>-1.0567761698531739</v>
      </c>
      <c r="Y333" s="8">
        <f>Table2[[#This Row],[DU sąnaudos]]*0.43</f>
        <v>43344</v>
      </c>
      <c r="Z333" s="8">
        <f>Table2[[#This Row],[Apyvarta]]-Table2[[#This Row],[Ne-atlyginimų sąnaudos]]+Table2[[#This Row],[Fiks ir pelno mokestis]]</f>
        <v>140919</v>
      </c>
    </row>
    <row r="334" spans="1:26" x14ac:dyDescent="0.2">
      <c r="A334" s="5" t="s">
        <v>1077</v>
      </c>
      <c r="B334" s="5" t="s">
        <v>1547</v>
      </c>
      <c r="C334" s="5">
        <v>2024</v>
      </c>
      <c r="D334" s="5" t="s">
        <v>1721</v>
      </c>
      <c r="E334" s="5" t="s">
        <v>1721</v>
      </c>
      <c r="F334" s="5" t="s">
        <v>1721</v>
      </c>
      <c r="G334" s="5" t="s">
        <v>1721</v>
      </c>
      <c r="H334" s="5" t="s">
        <v>1721</v>
      </c>
      <c r="I334" s="5" t="s">
        <v>1721</v>
      </c>
      <c r="J334" s="5" t="s">
        <v>300</v>
      </c>
      <c r="K334" s="5" t="s">
        <v>193</v>
      </c>
      <c r="L334" s="5" t="s">
        <v>1721</v>
      </c>
      <c r="M334" s="9">
        <v>4</v>
      </c>
      <c r="N334" s="6">
        <f>IFERROR(Table2[[#This Row],[Darbuotojų skaičius]]/M333-1,0)</f>
        <v>-0.33333333333333337</v>
      </c>
      <c r="O334" s="9">
        <v>1531</v>
      </c>
      <c r="P334" s="6">
        <v>9.3571428571428639E-2</v>
      </c>
      <c r="Q334" s="9">
        <f>Table2[[#This Row],[Atlyginimo vidurkis]]*Table2[[#This Row],[Darbuotojų skaičius]]*12</f>
        <v>73488</v>
      </c>
      <c r="R334" s="49">
        <f>IFERROR(Table2[[#This Row],[DU sąnaudos]]/Q333-1,0)</f>
        <v>-0.27095238095238094</v>
      </c>
      <c r="S334" s="20">
        <v>448957</v>
      </c>
      <c r="T334" s="6">
        <v>0.58363933304408855</v>
      </c>
      <c r="U334" s="9">
        <f>IF(Table2[[#This Row],[DU sąnaudos]]=0,0,Table2[[#This Row],[Apyvarta]]-Table2[[#This Row],[DU sąnaudos]]-Table2[[#This Row],[Pelnas]])</f>
        <v>343841</v>
      </c>
      <c r="V334" s="49">
        <f>IFERROR(Table2[[#This Row],[Ne-atlyginimų sąnaudos]]/U333-1,0)</f>
        <v>0.84938307462269114</v>
      </c>
      <c r="W334" s="9">
        <v>31628</v>
      </c>
      <c r="X334" s="6">
        <v>10.807131782945699</v>
      </c>
      <c r="Y334" s="8">
        <f>Table2[[#This Row],[DU sąnaudos]]*0.43</f>
        <v>31599.84</v>
      </c>
      <c r="Z334" s="8">
        <f>Table2[[#This Row],[Apyvarta]]-Table2[[#This Row],[Ne-atlyginimų sąnaudos]]+Table2[[#This Row],[Fiks ir pelno mokestis]]</f>
        <v>136715.84</v>
      </c>
    </row>
    <row r="335" spans="1:26" hidden="1" x14ac:dyDescent="0.2">
      <c r="A335" s="5" t="s">
        <v>867</v>
      </c>
      <c r="B335" s="5" t="s">
        <v>1551</v>
      </c>
      <c r="C335" s="5">
        <v>2019</v>
      </c>
      <c r="D335" s="5" t="s">
        <v>1721</v>
      </c>
      <c r="E335" s="5" t="s">
        <v>1721</v>
      </c>
      <c r="F335" s="5" t="s">
        <v>1726</v>
      </c>
      <c r="G335" s="5" t="s">
        <v>1721</v>
      </c>
      <c r="H335" s="5" t="s">
        <v>1721</v>
      </c>
      <c r="I335" s="5" t="s">
        <v>1721</v>
      </c>
      <c r="J335" s="5" t="s">
        <v>1721</v>
      </c>
      <c r="K335" s="5" t="s">
        <v>193</v>
      </c>
      <c r="L335" s="5" t="s">
        <v>1721</v>
      </c>
      <c r="M335" s="9">
        <v>0</v>
      </c>
      <c r="N335" s="6">
        <v>0</v>
      </c>
      <c r="O335" s="9">
        <v>0</v>
      </c>
      <c r="P335" s="6">
        <v>0</v>
      </c>
      <c r="Q335" s="9">
        <f>Table2[[#This Row],[Atlyginimo vidurkis]]*Table2[[#This Row],[Darbuotojų skaičius]]*12</f>
        <v>0</v>
      </c>
      <c r="R335" s="49">
        <v>0</v>
      </c>
      <c r="S335" s="9">
        <v>0</v>
      </c>
      <c r="T335" s="6">
        <v>0</v>
      </c>
      <c r="U335" s="9">
        <f>IF(Table2[[#This Row],[DU sąnaudos]]=0,0,Table2[[#This Row],[Apyvarta]]-Table2[[#This Row],[DU sąnaudos]]-Table2[[#This Row],[Pelnas]])</f>
        <v>0</v>
      </c>
      <c r="V335" s="49">
        <v>0</v>
      </c>
      <c r="W335" s="9">
        <v>0</v>
      </c>
      <c r="X335" s="6">
        <v>0</v>
      </c>
      <c r="Y335" s="8">
        <f>Table2[[#This Row],[DU sąnaudos]]*0.43</f>
        <v>0</v>
      </c>
      <c r="Z335" s="8">
        <f>Table2[[#This Row],[Apyvarta]]-Table2[[#This Row],[Ne-atlyginimų sąnaudos]]+Table2[[#This Row],[Fiks ir pelno mokestis]]</f>
        <v>0</v>
      </c>
    </row>
    <row r="336" spans="1:26" hidden="1" x14ac:dyDescent="0.2">
      <c r="A336" s="5" t="s">
        <v>867</v>
      </c>
      <c r="B336" s="5" t="s">
        <v>1551</v>
      </c>
      <c r="C336" s="5">
        <v>2020</v>
      </c>
      <c r="D336" s="5" t="s">
        <v>1721</v>
      </c>
      <c r="E336" s="5" t="s">
        <v>1721</v>
      </c>
      <c r="F336" s="5" t="s">
        <v>1726</v>
      </c>
      <c r="G336" s="5" t="s">
        <v>1721</v>
      </c>
      <c r="H336" s="5" t="s">
        <v>1721</v>
      </c>
      <c r="I336" s="5" t="s">
        <v>1721</v>
      </c>
      <c r="J336" s="5" t="s">
        <v>1721</v>
      </c>
      <c r="K336" s="5" t="s">
        <v>193</v>
      </c>
      <c r="L336" s="5" t="s">
        <v>1721</v>
      </c>
      <c r="M336" s="9">
        <v>0</v>
      </c>
      <c r="N336" s="6">
        <f>IFERROR(Table2[[#This Row],[Darbuotojų skaičius]]/M335-1,0)</f>
        <v>0</v>
      </c>
      <c r="O336" s="9">
        <v>0</v>
      </c>
      <c r="P336" s="6">
        <v>0</v>
      </c>
      <c r="Q336" s="9">
        <f>Table2[[#This Row],[Atlyginimo vidurkis]]*Table2[[#This Row],[Darbuotojų skaičius]]*12</f>
        <v>0</v>
      </c>
      <c r="R336" s="49">
        <f>IFERROR(Table2[[#This Row],[DU sąnaudos]]/Q335-1,0)</f>
        <v>0</v>
      </c>
      <c r="S336" s="9">
        <v>0</v>
      </c>
      <c r="T336" s="6">
        <v>0</v>
      </c>
      <c r="U336" s="9">
        <f>IF(Table2[[#This Row],[DU sąnaudos]]=0,0,Table2[[#This Row],[Apyvarta]]-Table2[[#This Row],[DU sąnaudos]]-Table2[[#This Row],[Pelnas]])</f>
        <v>0</v>
      </c>
      <c r="V336" s="49">
        <f>IFERROR(Table2[[#This Row],[Ne-atlyginimų sąnaudos]]/U335-1,0)</f>
        <v>0</v>
      </c>
      <c r="W336" s="9">
        <v>0</v>
      </c>
      <c r="X336" s="6">
        <v>0</v>
      </c>
      <c r="Y336" s="8">
        <f>Table2[[#This Row],[DU sąnaudos]]*0.43</f>
        <v>0</v>
      </c>
      <c r="Z336" s="8">
        <f>Table2[[#This Row],[Apyvarta]]-Table2[[#This Row],[Ne-atlyginimų sąnaudos]]+Table2[[#This Row],[Fiks ir pelno mokestis]]</f>
        <v>0</v>
      </c>
    </row>
    <row r="337" spans="1:26" hidden="1" x14ac:dyDescent="0.2">
      <c r="A337" s="5" t="s">
        <v>867</v>
      </c>
      <c r="B337" s="5" t="s">
        <v>1551</v>
      </c>
      <c r="C337" s="5">
        <v>2021</v>
      </c>
      <c r="D337" s="5" t="s">
        <v>1721</v>
      </c>
      <c r="E337" s="5" t="s">
        <v>1721</v>
      </c>
      <c r="F337" s="5" t="s">
        <v>1726</v>
      </c>
      <c r="G337" s="5" t="s">
        <v>1721</v>
      </c>
      <c r="H337" s="5" t="s">
        <v>1721</v>
      </c>
      <c r="I337" s="5" t="s">
        <v>1721</v>
      </c>
      <c r="J337" s="5" t="s">
        <v>1721</v>
      </c>
      <c r="K337" s="5" t="s">
        <v>193</v>
      </c>
      <c r="L337" s="5" t="s">
        <v>1721</v>
      </c>
      <c r="M337" s="9">
        <v>0</v>
      </c>
      <c r="N337" s="6">
        <f>IFERROR(Table2[[#This Row],[Darbuotojų skaičius]]/M336-1,0)</f>
        <v>0</v>
      </c>
      <c r="O337" s="9">
        <v>0</v>
      </c>
      <c r="P337" s="6">
        <v>0</v>
      </c>
      <c r="Q337" s="9">
        <f>Table2[[#This Row],[Atlyginimo vidurkis]]*Table2[[#This Row],[Darbuotojų skaičius]]*12</f>
        <v>0</v>
      </c>
      <c r="R337" s="49">
        <f>IFERROR(Table2[[#This Row],[DU sąnaudos]]/Q336-1,0)</f>
        <v>0</v>
      </c>
      <c r="S337" s="9">
        <v>0</v>
      </c>
      <c r="T337" s="6">
        <v>0</v>
      </c>
      <c r="U337" s="9">
        <f>IF(Table2[[#This Row],[DU sąnaudos]]=0,0,Table2[[#This Row],[Apyvarta]]-Table2[[#This Row],[DU sąnaudos]]-Table2[[#This Row],[Pelnas]])</f>
        <v>0</v>
      </c>
      <c r="V337" s="49">
        <f>IFERROR(Table2[[#This Row],[Ne-atlyginimų sąnaudos]]/U336-1,0)</f>
        <v>0</v>
      </c>
      <c r="W337" s="9">
        <v>0</v>
      </c>
      <c r="X337" s="6">
        <v>0</v>
      </c>
      <c r="Y337" s="8">
        <f>Table2[[#This Row],[DU sąnaudos]]*0.43</f>
        <v>0</v>
      </c>
      <c r="Z337" s="8">
        <f>Table2[[#This Row],[Apyvarta]]-Table2[[#This Row],[Ne-atlyginimų sąnaudos]]+Table2[[#This Row],[Fiks ir pelno mokestis]]</f>
        <v>0</v>
      </c>
    </row>
    <row r="338" spans="1:26" hidden="1" x14ac:dyDescent="0.2">
      <c r="A338" s="5" t="s">
        <v>867</v>
      </c>
      <c r="B338" s="5" t="s">
        <v>1551</v>
      </c>
      <c r="C338" s="5">
        <v>2022</v>
      </c>
      <c r="D338" s="5" t="s">
        <v>1721</v>
      </c>
      <c r="E338" s="5" t="s">
        <v>1721</v>
      </c>
      <c r="F338" s="5" t="s">
        <v>1726</v>
      </c>
      <c r="G338" s="5" t="s">
        <v>1721</v>
      </c>
      <c r="H338" s="5" t="s">
        <v>1721</v>
      </c>
      <c r="I338" s="5" t="s">
        <v>1721</v>
      </c>
      <c r="J338" s="5" t="s">
        <v>1721</v>
      </c>
      <c r="K338" s="5" t="s">
        <v>193</v>
      </c>
      <c r="L338" s="5" t="s">
        <v>1721</v>
      </c>
      <c r="M338" s="9">
        <v>0</v>
      </c>
      <c r="N338" s="6">
        <f>IFERROR(Table2[[#This Row],[Darbuotojų skaičius]]/M337-1,0)</f>
        <v>0</v>
      </c>
      <c r="O338" s="9">
        <v>0</v>
      </c>
      <c r="P338" s="6">
        <v>0</v>
      </c>
      <c r="Q338" s="9">
        <f>Table2[[#This Row],[Atlyginimo vidurkis]]*Table2[[#This Row],[Darbuotojų skaičius]]*12</f>
        <v>0</v>
      </c>
      <c r="R338" s="49">
        <f>IFERROR(Table2[[#This Row],[DU sąnaudos]]/Q337-1,0)</f>
        <v>0</v>
      </c>
      <c r="S338" s="9">
        <v>0</v>
      </c>
      <c r="T338" s="6">
        <v>0</v>
      </c>
      <c r="U338" s="9">
        <f>IF(Table2[[#This Row],[DU sąnaudos]]=0,0,Table2[[#This Row],[Apyvarta]]-Table2[[#This Row],[DU sąnaudos]]-Table2[[#This Row],[Pelnas]])</f>
        <v>0</v>
      </c>
      <c r="V338" s="49">
        <f>IFERROR(Table2[[#This Row],[Ne-atlyginimų sąnaudos]]/U337-1,0)</f>
        <v>0</v>
      </c>
      <c r="W338" s="9">
        <v>0</v>
      </c>
      <c r="X338" s="6">
        <v>0</v>
      </c>
      <c r="Y338" s="8">
        <f>Table2[[#This Row],[DU sąnaudos]]*0.43</f>
        <v>0</v>
      </c>
      <c r="Z338" s="8">
        <f>Table2[[#This Row],[Apyvarta]]-Table2[[#This Row],[Ne-atlyginimų sąnaudos]]+Table2[[#This Row],[Fiks ir pelno mokestis]]</f>
        <v>0</v>
      </c>
    </row>
    <row r="339" spans="1:26" hidden="1" x14ac:dyDescent="0.2">
      <c r="A339" s="5" t="s">
        <v>867</v>
      </c>
      <c r="B339" s="5" t="s">
        <v>1551</v>
      </c>
      <c r="C339" s="5">
        <v>2023</v>
      </c>
      <c r="D339" s="5" t="s">
        <v>1721</v>
      </c>
      <c r="E339" s="5" t="s">
        <v>1721</v>
      </c>
      <c r="F339" s="5" t="s">
        <v>1726</v>
      </c>
      <c r="G339" s="5" t="s">
        <v>1721</v>
      </c>
      <c r="H339" s="5" t="s">
        <v>1721</v>
      </c>
      <c r="I339" s="5" t="s">
        <v>1721</v>
      </c>
      <c r="J339" s="5" t="s">
        <v>1721</v>
      </c>
      <c r="K339" s="5" t="s">
        <v>193</v>
      </c>
      <c r="L339" s="5" t="s">
        <v>1721</v>
      </c>
      <c r="M339" s="9">
        <v>0</v>
      </c>
      <c r="N339" s="6">
        <f>IFERROR(Table2[[#This Row],[Darbuotojų skaičius]]/M338-1,0)</f>
        <v>0</v>
      </c>
      <c r="O339" s="9">
        <v>0</v>
      </c>
      <c r="P339" s="6">
        <v>0</v>
      </c>
      <c r="Q339" s="9">
        <f>Table2[[#This Row],[Atlyginimo vidurkis]]*Table2[[#This Row],[Darbuotojų skaičius]]*12</f>
        <v>0</v>
      </c>
      <c r="R339" s="49">
        <f>IFERROR(Table2[[#This Row],[DU sąnaudos]]/Q338-1,0)</f>
        <v>0</v>
      </c>
      <c r="S339" s="9">
        <v>0</v>
      </c>
      <c r="T339" s="6">
        <v>0</v>
      </c>
      <c r="U339" s="9">
        <f>IF(Table2[[#This Row],[DU sąnaudos]]=0,0,Table2[[#This Row],[Apyvarta]]-Table2[[#This Row],[DU sąnaudos]]-Table2[[#This Row],[Pelnas]])</f>
        <v>0</v>
      </c>
      <c r="V339" s="49">
        <f>IFERROR(Table2[[#This Row],[Ne-atlyginimų sąnaudos]]/U338-1,0)</f>
        <v>0</v>
      </c>
      <c r="W339" s="9">
        <v>0</v>
      </c>
      <c r="X339" s="6">
        <v>0</v>
      </c>
      <c r="Y339" s="8">
        <f>Table2[[#This Row],[DU sąnaudos]]*0.43</f>
        <v>0</v>
      </c>
      <c r="Z339" s="8">
        <f>Table2[[#This Row],[Apyvarta]]-Table2[[#This Row],[Ne-atlyginimų sąnaudos]]+Table2[[#This Row],[Fiks ir pelno mokestis]]</f>
        <v>0</v>
      </c>
    </row>
    <row r="340" spans="1:26" hidden="1" x14ac:dyDescent="0.2">
      <c r="A340" s="5" t="s">
        <v>867</v>
      </c>
      <c r="B340" s="5" t="s">
        <v>1551</v>
      </c>
      <c r="C340" s="5">
        <v>2024</v>
      </c>
      <c r="D340" s="5" t="s">
        <v>1721</v>
      </c>
      <c r="E340" s="5" t="s">
        <v>1721</v>
      </c>
      <c r="F340" s="5" t="s">
        <v>1726</v>
      </c>
      <c r="G340" s="5" t="s">
        <v>1721</v>
      </c>
      <c r="H340" s="5" t="s">
        <v>1721</v>
      </c>
      <c r="I340" s="5" t="s">
        <v>1721</v>
      </c>
      <c r="J340" s="5" t="s">
        <v>1721</v>
      </c>
      <c r="K340" s="5" t="s">
        <v>193</v>
      </c>
      <c r="L340" s="5" t="s">
        <v>1721</v>
      </c>
      <c r="M340" s="9">
        <v>0</v>
      </c>
      <c r="N340" s="6">
        <f>IFERROR(Table2[[#This Row],[Darbuotojų skaičius]]/M339-1,0)</f>
        <v>0</v>
      </c>
      <c r="O340" s="9">
        <v>0</v>
      </c>
      <c r="P340" s="6">
        <v>0</v>
      </c>
      <c r="Q340" s="9">
        <f>Table2[[#This Row],[Atlyginimo vidurkis]]*Table2[[#This Row],[Darbuotojų skaičius]]*12</f>
        <v>0</v>
      </c>
      <c r="R340" s="49">
        <f>IFERROR(Table2[[#This Row],[DU sąnaudos]]/Q339-1,0)</f>
        <v>0</v>
      </c>
      <c r="S340" s="9">
        <v>115049</v>
      </c>
      <c r="T340" s="6">
        <v>0</v>
      </c>
      <c r="U340" s="9">
        <f>IF(Table2[[#This Row],[DU sąnaudos]]=0,0,Table2[[#This Row],[Apyvarta]]-Table2[[#This Row],[DU sąnaudos]]-Table2[[#This Row],[Pelnas]])</f>
        <v>0</v>
      </c>
      <c r="V340" s="49">
        <f>IFERROR(Table2[[#This Row],[Ne-atlyginimų sąnaudos]]/U339-1,0)</f>
        <v>0</v>
      </c>
      <c r="W340" s="9">
        <v>53588</v>
      </c>
      <c r="X340" s="6">
        <v>0</v>
      </c>
      <c r="Y340" s="8">
        <f>Table2[[#This Row],[DU sąnaudos]]*0.43</f>
        <v>0</v>
      </c>
      <c r="Z340" s="8">
        <f>Table2[[#This Row],[Apyvarta]]-Table2[[#This Row],[Ne-atlyginimų sąnaudos]]+Table2[[#This Row],[Fiks ir pelno mokestis]]</f>
        <v>115049</v>
      </c>
    </row>
    <row r="341" spans="1:26" hidden="1" x14ac:dyDescent="0.2">
      <c r="A341" s="5" t="s">
        <v>1556</v>
      </c>
      <c r="B341" t="s">
        <v>1557</v>
      </c>
      <c r="C341">
        <v>2021</v>
      </c>
      <c r="D341" s="5" t="s">
        <v>1721</v>
      </c>
      <c r="E341" s="5" t="s">
        <v>1721</v>
      </c>
      <c r="F341" s="5" t="s">
        <v>1721</v>
      </c>
      <c r="G341" s="5" t="s">
        <v>1721</v>
      </c>
      <c r="H341" s="5" t="s">
        <v>1721</v>
      </c>
      <c r="I341" s="5" t="s">
        <v>1721</v>
      </c>
      <c r="J341" s="5" t="s">
        <v>1721</v>
      </c>
      <c r="K341" s="5" t="s">
        <v>1721</v>
      </c>
      <c r="L341" t="s">
        <v>301</v>
      </c>
      <c r="M341" s="9">
        <v>0</v>
      </c>
      <c r="N341" s="6">
        <f>IFERROR(Table2[[#This Row],[Darbuotojų skaičius]]/M340-1,0)</f>
        <v>0</v>
      </c>
      <c r="O341" s="9">
        <v>0</v>
      </c>
      <c r="P341" s="6">
        <v>0</v>
      </c>
      <c r="Q341" s="9">
        <f>Table2[[#This Row],[Atlyginimo vidurkis]]*Table2[[#This Row],[Darbuotojų skaičius]]*12</f>
        <v>0</v>
      </c>
      <c r="R341" s="49">
        <f>IFERROR(Table2[[#This Row],[DU sąnaudos]]/Q340-1,0)</f>
        <v>0</v>
      </c>
      <c r="S341" s="9">
        <v>57701</v>
      </c>
      <c r="T341" s="6">
        <v>0</v>
      </c>
      <c r="U341" s="9">
        <f>IF(Table2[[#This Row],[DU sąnaudos]]=0,0,Table2[[#This Row],[Apyvarta]]-Table2[[#This Row],[DU sąnaudos]]-Table2[[#This Row],[Pelnas]])</f>
        <v>0</v>
      </c>
      <c r="V341" s="49">
        <f>IFERROR(Table2[[#This Row],[Ne-atlyginimų sąnaudos]]/U340-1,0)</f>
        <v>0</v>
      </c>
      <c r="W341" s="9">
        <v>57313</v>
      </c>
      <c r="X341" s="6">
        <v>0</v>
      </c>
      <c r="Y341" s="8">
        <f>Table2[[#This Row],[DU sąnaudos]]*0.43</f>
        <v>0</v>
      </c>
      <c r="Z341" s="8">
        <f>Table2[[#This Row],[Apyvarta]]-Table2[[#This Row],[Ne-atlyginimų sąnaudos]]+Table2[[#This Row],[Fiks ir pelno mokestis]]</f>
        <v>57701</v>
      </c>
    </row>
    <row r="342" spans="1:26" hidden="1" x14ac:dyDescent="0.2">
      <c r="A342" s="5" t="s">
        <v>1556</v>
      </c>
      <c r="B342" t="s">
        <v>1557</v>
      </c>
      <c r="C342">
        <v>2022</v>
      </c>
      <c r="D342" s="5" t="s">
        <v>1721</v>
      </c>
      <c r="E342" s="5" t="s">
        <v>1721</v>
      </c>
      <c r="F342" s="5" t="s">
        <v>1721</v>
      </c>
      <c r="G342" s="5" t="s">
        <v>1721</v>
      </c>
      <c r="H342" s="5" t="s">
        <v>1721</v>
      </c>
      <c r="I342" s="5" t="s">
        <v>1721</v>
      </c>
      <c r="J342" s="5" t="s">
        <v>1721</v>
      </c>
      <c r="K342" s="5" t="s">
        <v>1721</v>
      </c>
      <c r="L342" t="s">
        <v>301</v>
      </c>
      <c r="M342" s="9">
        <v>0</v>
      </c>
      <c r="N342" s="6">
        <f>IFERROR(Table2[[#This Row],[Darbuotojų skaičius]]/M341-1,0)</f>
        <v>0</v>
      </c>
      <c r="O342" s="9">
        <v>0</v>
      </c>
      <c r="P342" s="6">
        <v>0</v>
      </c>
      <c r="Q342" s="9">
        <f>Table2[[#This Row],[Atlyginimo vidurkis]]*Table2[[#This Row],[Darbuotojų skaičius]]*12</f>
        <v>0</v>
      </c>
      <c r="R342" s="49">
        <f>IFERROR(Table2[[#This Row],[DU sąnaudos]]/Q341-1,0)</f>
        <v>0</v>
      </c>
      <c r="S342" s="9">
        <v>73400</v>
      </c>
      <c r="T342" s="6">
        <v>0.27</v>
      </c>
      <c r="U342" s="9">
        <f>IF(Table2[[#This Row],[DU sąnaudos]]=0,0,Table2[[#This Row],[Apyvarta]]-Table2[[#This Row],[DU sąnaudos]]-Table2[[#This Row],[Pelnas]])</f>
        <v>0</v>
      </c>
      <c r="V342" s="49">
        <f>IFERROR(Table2[[#This Row],[Ne-atlyginimų sąnaudos]]/U341-1,0)</f>
        <v>0</v>
      </c>
      <c r="W342" s="9">
        <v>69041</v>
      </c>
      <c r="X342" s="6">
        <v>0.2</v>
      </c>
      <c r="Y342" s="8">
        <f>Table2[[#This Row],[DU sąnaudos]]*0.43</f>
        <v>0</v>
      </c>
      <c r="Z342" s="8">
        <f>Table2[[#This Row],[Apyvarta]]-Table2[[#This Row],[Ne-atlyginimų sąnaudos]]+Table2[[#This Row],[Fiks ir pelno mokestis]]</f>
        <v>73400</v>
      </c>
    </row>
    <row r="343" spans="1:26" hidden="1" x14ac:dyDescent="0.2">
      <c r="A343" s="5" t="s">
        <v>1556</v>
      </c>
      <c r="B343" t="s">
        <v>1557</v>
      </c>
      <c r="C343">
        <v>2023</v>
      </c>
      <c r="D343" s="5" t="s">
        <v>1721</v>
      </c>
      <c r="E343" s="5" t="s">
        <v>1721</v>
      </c>
      <c r="F343" s="5" t="s">
        <v>1721</v>
      </c>
      <c r="G343" s="5" t="s">
        <v>1721</v>
      </c>
      <c r="H343" s="5" t="s">
        <v>1721</v>
      </c>
      <c r="I343" s="5" t="s">
        <v>1721</v>
      </c>
      <c r="J343" s="5" t="s">
        <v>1721</v>
      </c>
      <c r="K343" s="5" t="s">
        <v>1721</v>
      </c>
      <c r="L343" t="s">
        <v>301</v>
      </c>
      <c r="M343" s="9">
        <v>0</v>
      </c>
      <c r="N343" s="6">
        <f>IFERROR(Table2[[#This Row],[Darbuotojų skaičius]]/M342-1,0)</f>
        <v>0</v>
      </c>
      <c r="O343" s="9">
        <v>0</v>
      </c>
      <c r="P343" s="6">
        <v>0</v>
      </c>
      <c r="Q343" s="9">
        <f>Table2[[#This Row],[Atlyginimo vidurkis]]*Table2[[#This Row],[Darbuotojų skaičius]]*12</f>
        <v>0</v>
      </c>
      <c r="R343" s="49">
        <f>IFERROR(Table2[[#This Row],[DU sąnaudos]]/Q342-1,0)</f>
        <v>0</v>
      </c>
      <c r="S343" s="9">
        <v>49395</v>
      </c>
      <c r="T343" s="6">
        <v>-0.33</v>
      </c>
      <c r="U343" s="9">
        <f>IF(Table2[[#This Row],[DU sąnaudos]]=0,0,Table2[[#This Row],[Apyvarta]]-Table2[[#This Row],[DU sąnaudos]]-Table2[[#This Row],[Pelnas]])</f>
        <v>0</v>
      </c>
      <c r="V343" s="49">
        <f>IFERROR(Table2[[#This Row],[Ne-atlyginimų sąnaudos]]/U342-1,0)</f>
        <v>0</v>
      </c>
      <c r="W343" s="9">
        <v>45194</v>
      </c>
      <c r="X343" s="6">
        <v>-0.35</v>
      </c>
      <c r="Y343" s="8">
        <f>Table2[[#This Row],[DU sąnaudos]]*0.43</f>
        <v>0</v>
      </c>
      <c r="Z343" s="8">
        <f>Table2[[#This Row],[Apyvarta]]-Table2[[#This Row],[Ne-atlyginimų sąnaudos]]+Table2[[#This Row],[Fiks ir pelno mokestis]]</f>
        <v>49395</v>
      </c>
    </row>
    <row r="344" spans="1:26" hidden="1" x14ac:dyDescent="0.2">
      <c r="A344" s="5" t="s">
        <v>1556</v>
      </c>
      <c r="B344" t="s">
        <v>1557</v>
      </c>
      <c r="C344">
        <v>2024</v>
      </c>
      <c r="D344" s="5" t="s">
        <v>1721</v>
      </c>
      <c r="E344" s="5" t="s">
        <v>1721</v>
      </c>
      <c r="F344" s="5" t="s">
        <v>1721</v>
      </c>
      <c r="G344" s="5" t="s">
        <v>1721</v>
      </c>
      <c r="H344" s="5" t="s">
        <v>1721</v>
      </c>
      <c r="I344" s="5" t="s">
        <v>1721</v>
      </c>
      <c r="J344" s="5" t="s">
        <v>1721</v>
      </c>
      <c r="K344" s="5" t="s">
        <v>1721</v>
      </c>
      <c r="L344" t="s">
        <v>301</v>
      </c>
      <c r="M344" s="9">
        <v>0</v>
      </c>
      <c r="N344" s="6">
        <f>IFERROR(Table2[[#This Row],[Darbuotojų skaičius]]/M343-1,0)</f>
        <v>0</v>
      </c>
      <c r="O344" s="9">
        <v>0</v>
      </c>
      <c r="P344" s="6">
        <v>0</v>
      </c>
      <c r="Q344" s="9">
        <f>Table2[[#This Row],[Atlyginimo vidurkis]]*Table2[[#This Row],[Darbuotojų skaičius]]*12</f>
        <v>0</v>
      </c>
      <c r="R344" s="49">
        <f>IFERROR(Table2[[#This Row],[DU sąnaudos]]/Q343-1,0)</f>
        <v>0</v>
      </c>
      <c r="S344" s="9">
        <v>95209</v>
      </c>
      <c r="T344" s="6">
        <v>0.93</v>
      </c>
      <c r="U344" s="9">
        <f>IF(Table2[[#This Row],[DU sąnaudos]]=0,0,Table2[[#This Row],[Apyvarta]]-Table2[[#This Row],[DU sąnaudos]]-Table2[[#This Row],[Pelnas]])</f>
        <v>0</v>
      </c>
      <c r="V344" s="49">
        <f>IFERROR(Table2[[#This Row],[Ne-atlyginimų sąnaudos]]/U343-1,0)</f>
        <v>0</v>
      </c>
      <c r="W344" s="9">
        <v>80047</v>
      </c>
      <c r="X344" s="6">
        <f>'Įmonės-analizei'!$W539/W343-1</f>
        <v>3.099128202858787</v>
      </c>
      <c r="Y344" s="8">
        <f>Table2[[#This Row],[DU sąnaudos]]*0.43</f>
        <v>0</v>
      </c>
      <c r="Z344" s="8">
        <f>Table2[[#This Row],[Apyvarta]]-Table2[[#This Row],[Ne-atlyginimų sąnaudos]]+Table2[[#This Row],[Fiks ir pelno mokestis]]</f>
        <v>95209</v>
      </c>
    </row>
    <row r="345" spans="1:26" x14ac:dyDescent="0.2">
      <c r="A345" s="5" t="s">
        <v>698</v>
      </c>
      <c r="B345" s="5" t="s">
        <v>1558</v>
      </c>
      <c r="C345" s="5">
        <v>2019</v>
      </c>
      <c r="D345" s="5" t="s">
        <v>1721</v>
      </c>
      <c r="E345" s="5" t="s">
        <v>1721</v>
      </c>
      <c r="F345" s="5" t="s">
        <v>1721</v>
      </c>
      <c r="G345" s="5" t="s">
        <v>1721</v>
      </c>
      <c r="H345" s="5" t="s">
        <v>1721</v>
      </c>
      <c r="I345" s="5" t="s">
        <v>1721</v>
      </c>
      <c r="J345" s="5" t="s">
        <v>300</v>
      </c>
      <c r="K345" s="5" t="s">
        <v>1721</v>
      </c>
      <c r="L345" s="5" t="s">
        <v>1721</v>
      </c>
      <c r="M345" s="9">
        <v>7</v>
      </c>
      <c r="N345" s="6">
        <v>0</v>
      </c>
      <c r="O345" s="9">
        <v>1994</v>
      </c>
      <c r="P345" s="6">
        <v>0</v>
      </c>
      <c r="Q345" s="9">
        <f>Table2[[#This Row],[Atlyginimo vidurkis]]*Table2[[#This Row],[Darbuotojų skaičius]]*12</f>
        <v>167496</v>
      </c>
      <c r="R345" s="49">
        <v>0</v>
      </c>
      <c r="S345" s="9">
        <v>517914</v>
      </c>
      <c r="T345" s="6">
        <v>0</v>
      </c>
      <c r="U345" s="9">
        <f>IF(Table2[[#This Row],[DU sąnaudos]]=0,0,Table2[[#This Row],[Apyvarta]]-Table2[[#This Row],[DU sąnaudos]]-Table2[[#This Row],[Pelnas]])</f>
        <v>220539</v>
      </c>
      <c r="V345" s="49">
        <v>0</v>
      </c>
      <c r="W345" s="9">
        <v>129879</v>
      </c>
      <c r="X345" s="6">
        <v>0</v>
      </c>
      <c r="Y345" s="8">
        <f>Table2[[#This Row],[DU sąnaudos]]*0.43</f>
        <v>72023.28</v>
      </c>
      <c r="Z345" s="8">
        <f>Table2[[#This Row],[Apyvarta]]-Table2[[#This Row],[Ne-atlyginimų sąnaudos]]+Table2[[#This Row],[Fiks ir pelno mokestis]]</f>
        <v>369398.28</v>
      </c>
    </row>
    <row r="346" spans="1:26" x14ac:dyDescent="0.2">
      <c r="A346" s="5" t="s">
        <v>698</v>
      </c>
      <c r="B346" s="5" t="s">
        <v>1558</v>
      </c>
      <c r="C346" s="5">
        <v>2020</v>
      </c>
      <c r="D346" s="5" t="s">
        <v>1721</v>
      </c>
      <c r="E346" s="5" t="s">
        <v>1721</v>
      </c>
      <c r="F346" s="5" t="s">
        <v>1721</v>
      </c>
      <c r="G346" s="5" t="s">
        <v>1721</v>
      </c>
      <c r="H346" s="5" t="s">
        <v>1721</v>
      </c>
      <c r="I346" s="5" t="s">
        <v>1721</v>
      </c>
      <c r="J346" s="5" t="s">
        <v>300</v>
      </c>
      <c r="K346" s="5" t="s">
        <v>1721</v>
      </c>
      <c r="L346" s="5" t="s">
        <v>1721</v>
      </c>
      <c r="M346" s="9">
        <v>8</v>
      </c>
      <c r="N346" s="6">
        <f>IFERROR(Table2[[#This Row],[Darbuotojų skaičius]]/M345-1,0)</f>
        <v>0.14285714285714279</v>
      </c>
      <c r="O346" s="9">
        <v>1582</v>
      </c>
      <c r="P346" s="6">
        <v>-0.20661985957873619</v>
      </c>
      <c r="Q346" s="9">
        <f>Table2[[#This Row],[Atlyginimo vidurkis]]*Table2[[#This Row],[Darbuotojų skaičius]]*12</f>
        <v>151872</v>
      </c>
      <c r="R346" s="49">
        <f>IFERROR(Table2[[#This Row],[DU sąnaudos]]/Q345-1,0)</f>
        <v>-9.3279839518555674E-2</v>
      </c>
      <c r="S346" s="9">
        <v>544393</v>
      </c>
      <c r="T346" s="6">
        <v>5.1126248759446602E-2</v>
      </c>
      <c r="U346" s="9">
        <f>IF(Table2[[#This Row],[DU sąnaudos]]=0,0,Table2[[#This Row],[Apyvarta]]-Table2[[#This Row],[DU sąnaudos]]-Table2[[#This Row],[Pelnas]])</f>
        <v>264232</v>
      </c>
      <c r="V346" s="49">
        <f>IFERROR(Table2[[#This Row],[Ne-atlyginimų sąnaudos]]/U345-1,0)</f>
        <v>0.19811915352840082</v>
      </c>
      <c r="W346" s="9">
        <v>128289</v>
      </c>
      <c r="X346" s="6">
        <v>-1.2242163860208381E-2</v>
      </c>
      <c r="Y346" s="8">
        <f>Table2[[#This Row],[DU sąnaudos]]*0.43</f>
        <v>65304.959999999999</v>
      </c>
      <c r="Z346" s="8">
        <f>Table2[[#This Row],[Apyvarta]]-Table2[[#This Row],[Ne-atlyginimų sąnaudos]]+Table2[[#This Row],[Fiks ir pelno mokestis]]</f>
        <v>345465.96</v>
      </c>
    </row>
    <row r="347" spans="1:26" x14ac:dyDescent="0.2">
      <c r="A347" s="5" t="s">
        <v>698</v>
      </c>
      <c r="B347" s="5" t="s">
        <v>1558</v>
      </c>
      <c r="C347" s="5">
        <v>2021</v>
      </c>
      <c r="D347" s="5" t="s">
        <v>1721</v>
      </c>
      <c r="E347" s="5" t="s">
        <v>1721</v>
      </c>
      <c r="F347" s="5" t="s">
        <v>1721</v>
      </c>
      <c r="G347" s="5" t="s">
        <v>1721</v>
      </c>
      <c r="H347" s="5" t="s">
        <v>1721</v>
      </c>
      <c r="I347" s="5" t="s">
        <v>1721</v>
      </c>
      <c r="J347" s="5" t="s">
        <v>300</v>
      </c>
      <c r="K347" s="5" t="s">
        <v>1721</v>
      </c>
      <c r="L347" s="5" t="s">
        <v>1721</v>
      </c>
      <c r="M347" s="9">
        <v>7</v>
      </c>
      <c r="N347" s="6">
        <f>IFERROR(Table2[[#This Row],[Darbuotojų skaičius]]/M346-1,0)</f>
        <v>-0.125</v>
      </c>
      <c r="O347" s="9">
        <v>1820</v>
      </c>
      <c r="P347" s="6">
        <v>0.15044247787610621</v>
      </c>
      <c r="Q347" s="9">
        <f>Table2[[#This Row],[Atlyginimo vidurkis]]*Table2[[#This Row],[Darbuotojų skaičius]]*12</f>
        <v>152880</v>
      </c>
      <c r="R347" s="49">
        <f>IFERROR(Table2[[#This Row],[DU sąnaudos]]/Q346-1,0)</f>
        <v>6.6371681415928752E-3</v>
      </c>
      <c r="S347" s="9">
        <v>670268</v>
      </c>
      <c r="T347" s="6">
        <v>0.23122082760064891</v>
      </c>
      <c r="U347" s="9">
        <f>IF(Table2[[#This Row],[DU sąnaudos]]=0,0,Table2[[#This Row],[Apyvarta]]-Table2[[#This Row],[DU sąnaudos]]-Table2[[#This Row],[Pelnas]])</f>
        <v>301285</v>
      </c>
      <c r="V347" s="49">
        <f>IFERROR(Table2[[#This Row],[Ne-atlyginimų sąnaudos]]/U346-1,0)</f>
        <v>0.14022904114565993</v>
      </c>
      <c r="W347" s="9">
        <v>216103</v>
      </c>
      <c r="X347" s="6">
        <v>0.68450139918465336</v>
      </c>
      <c r="Y347" s="8">
        <f>Table2[[#This Row],[DU sąnaudos]]*0.43</f>
        <v>65738.399999999994</v>
      </c>
      <c r="Z347" s="8">
        <f>Table2[[#This Row],[Apyvarta]]-Table2[[#This Row],[Ne-atlyginimų sąnaudos]]+Table2[[#This Row],[Fiks ir pelno mokestis]]</f>
        <v>434721.4</v>
      </c>
    </row>
    <row r="348" spans="1:26" x14ac:dyDescent="0.2">
      <c r="A348" s="5" t="s">
        <v>698</v>
      </c>
      <c r="B348" s="5" t="s">
        <v>1558</v>
      </c>
      <c r="C348" s="5">
        <v>2022</v>
      </c>
      <c r="D348" s="5" t="s">
        <v>1721</v>
      </c>
      <c r="E348" s="5" t="s">
        <v>1721</v>
      </c>
      <c r="F348" s="5" t="s">
        <v>1721</v>
      </c>
      <c r="G348" s="5" t="s">
        <v>1721</v>
      </c>
      <c r="H348" s="5" t="s">
        <v>1721</v>
      </c>
      <c r="I348" s="5" t="s">
        <v>1721</v>
      </c>
      <c r="J348" s="5" t="s">
        <v>300</v>
      </c>
      <c r="K348" s="5" t="s">
        <v>1721</v>
      </c>
      <c r="L348" s="5" t="s">
        <v>1721</v>
      </c>
      <c r="M348" s="9">
        <v>7</v>
      </c>
      <c r="N348" s="6">
        <f>IFERROR(Table2[[#This Row],[Darbuotojų skaičius]]/M347-1,0)</f>
        <v>0</v>
      </c>
      <c r="O348" s="9">
        <v>1975</v>
      </c>
      <c r="P348" s="6">
        <v>8.5164835164835084E-2</v>
      </c>
      <c r="Q348" s="9">
        <f>Table2[[#This Row],[Atlyginimo vidurkis]]*Table2[[#This Row],[Darbuotojų skaičius]]*12</f>
        <v>165900</v>
      </c>
      <c r="R348" s="49">
        <f>IFERROR(Table2[[#This Row],[DU sąnaudos]]/Q347-1,0)</f>
        <v>8.5164835164835084E-2</v>
      </c>
      <c r="S348" s="9">
        <v>645477</v>
      </c>
      <c r="T348" s="6">
        <v>-3.6986697858170207E-2</v>
      </c>
      <c r="U348" s="9">
        <f>IF(Table2[[#This Row],[DU sąnaudos]]=0,0,Table2[[#This Row],[Apyvarta]]-Table2[[#This Row],[DU sąnaudos]]-Table2[[#This Row],[Pelnas]])</f>
        <v>283787</v>
      </c>
      <c r="V348" s="49">
        <f>IFERROR(Table2[[#This Row],[Ne-atlyginimų sąnaudos]]/U347-1,0)</f>
        <v>-5.8077899663109722E-2</v>
      </c>
      <c r="W348" s="9">
        <v>195790</v>
      </c>
      <c r="X348" s="6">
        <v>-9.3996844097490539E-2</v>
      </c>
      <c r="Y348" s="8">
        <f>Table2[[#This Row],[DU sąnaudos]]*0.43</f>
        <v>71337</v>
      </c>
      <c r="Z348" s="8">
        <f>Table2[[#This Row],[Apyvarta]]-Table2[[#This Row],[Ne-atlyginimų sąnaudos]]+Table2[[#This Row],[Fiks ir pelno mokestis]]</f>
        <v>433027</v>
      </c>
    </row>
    <row r="349" spans="1:26" x14ac:dyDescent="0.2">
      <c r="A349" s="5" t="s">
        <v>698</v>
      </c>
      <c r="B349" s="5" t="s">
        <v>1558</v>
      </c>
      <c r="C349" s="5">
        <v>2023</v>
      </c>
      <c r="D349" s="5" t="s">
        <v>1721</v>
      </c>
      <c r="E349" s="5" t="s">
        <v>1721</v>
      </c>
      <c r="F349" s="5" t="s">
        <v>1721</v>
      </c>
      <c r="G349" s="5" t="s">
        <v>1721</v>
      </c>
      <c r="H349" s="5" t="s">
        <v>1721</v>
      </c>
      <c r="I349" s="5" t="s">
        <v>1721</v>
      </c>
      <c r="J349" s="5" t="s">
        <v>300</v>
      </c>
      <c r="K349" s="5" t="s">
        <v>1721</v>
      </c>
      <c r="L349" s="5" t="s">
        <v>1721</v>
      </c>
      <c r="M349" s="9">
        <v>6</v>
      </c>
      <c r="N349" s="6">
        <f>IFERROR(Table2[[#This Row],[Darbuotojų skaičius]]/M348-1,0)</f>
        <v>-0.1428571428571429</v>
      </c>
      <c r="O349" s="9">
        <v>2056</v>
      </c>
      <c r="P349" s="6">
        <v>4.1012658227848053E-2</v>
      </c>
      <c r="Q349" s="9">
        <f>Table2[[#This Row],[Atlyginimo vidurkis]]*Table2[[#This Row],[Darbuotojų skaičius]]*12</f>
        <v>148032</v>
      </c>
      <c r="R349" s="49">
        <f>IFERROR(Table2[[#This Row],[DU sąnaudos]]/Q348-1,0)</f>
        <v>-0.10770343580470165</v>
      </c>
      <c r="S349" s="9">
        <v>640668</v>
      </c>
      <c r="T349" s="6">
        <v>-7.4503041936427872E-3</v>
      </c>
      <c r="U349" s="9">
        <f>IF(Table2[[#This Row],[DU sąnaudos]]=0,0,Table2[[#This Row],[Apyvarta]]-Table2[[#This Row],[DU sąnaudos]]-Table2[[#This Row],[Pelnas]])</f>
        <v>273319</v>
      </c>
      <c r="V349" s="49">
        <f>IFERROR(Table2[[#This Row],[Ne-atlyginimų sąnaudos]]/U348-1,0)</f>
        <v>-3.6886820044610968E-2</v>
      </c>
      <c r="W349" s="9">
        <v>219317</v>
      </c>
      <c r="X349" s="6">
        <v>0.1201644619234894</v>
      </c>
      <c r="Y349" s="8">
        <f>Table2[[#This Row],[DU sąnaudos]]*0.43</f>
        <v>63653.760000000002</v>
      </c>
      <c r="Z349" s="8">
        <f>Table2[[#This Row],[Apyvarta]]-Table2[[#This Row],[Ne-atlyginimų sąnaudos]]+Table2[[#This Row],[Fiks ir pelno mokestis]]</f>
        <v>431002.76</v>
      </c>
    </row>
    <row r="350" spans="1:26" x14ac:dyDescent="0.2">
      <c r="A350" s="5" t="s">
        <v>698</v>
      </c>
      <c r="B350" s="5" t="s">
        <v>1558</v>
      </c>
      <c r="C350" s="5">
        <v>2024</v>
      </c>
      <c r="D350" s="5" t="s">
        <v>1721</v>
      </c>
      <c r="E350" s="5" t="s">
        <v>1721</v>
      </c>
      <c r="F350" s="5" t="s">
        <v>1721</v>
      </c>
      <c r="G350" s="5" t="s">
        <v>1721</v>
      </c>
      <c r="H350" s="5" t="s">
        <v>1721</v>
      </c>
      <c r="I350" s="5" t="s">
        <v>1721</v>
      </c>
      <c r="J350" s="5" t="s">
        <v>300</v>
      </c>
      <c r="K350" s="5" t="s">
        <v>1721</v>
      </c>
      <c r="L350" s="5" t="s">
        <v>1721</v>
      </c>
      <c r="M350" s="9">
        <v>6</v>
      </c>
      <c r="N350" s="6">
        <f>IFERROR(Table2[[#This Row],[Darbuotojų skaičius]]/M349-1,0)</f>
        <v>0</v>
      </c>
      <c r="O350" s="9">
        <v>1935</v>
      </c>
      <c r="P350" s="6">
        <v>-5.8852140077821018E-2</v>
      </c>
      <c r="Q350" s="9">
        <f>Table2[[#This Row],[Atlyginimo vidurkis]]*Table2[[#This Row],[Darbuotojų skaičius]]*12</f>
        <v>139320</v>
      </c>
      <c r="R350" s="49">
        <f>IFERROR(Table2[[#This Row],[DU sąnaudos]]/Q349-1,0)</f>
        <v>-5.8852140077821025E-2</v>
      </c>
      <c r="S350" s="9">
        <v>645283</v>
      </c>
      <c r="T350" s="6">
        <v>7.2034189314902353E-3</v>
      </c>
      <c r="U350" s="9">
        <f>IF(Table2[[#This Row],[DU sąnaudos]]=0,0,Table2[[#This Row],[Apyvarta]]-Table2[[#This Row],[DU sąnaudos]]-Table2[[#This Row],[Pelnas]])</f>
        <v>283396</v>
      </c>
      <c r="V350" s="49">
        <f>IFERROR(Table2[[#This Row],[Ne-atlyginimų sąnaudos]]/U349-1,0)</f>
        <v>3.6869006545465099E-2</v>
      </c>
      <c r="W350" s="9">
        <v>222567</v>
      </c>
      <c r="X350" s="6">
        <v>1.4818732701979309E-2</v>
      </c>
      <c r="Y350" s="8">
        <f>Table2[[#This Row],[DU sąnaudos]]*0.43</f>
        <v>59907.6</v>
      </c>
      <c r="Z350" s="8">
        <f>Table2[[#This Row],[Apyvarta]]-Table2[[#This Row],[Ne-atlyginimų sąnaudos]]+Table2[[#This Row],[Fiks ir pelno mokestis]]</f>
        <v>421794.6</v>
      </c>
    </row>
    <row r="351" spans="1:26" hidden="1" x14ac:dyDescent="0.2">
      <c r="A351" s="5" t="s">
        <v>1561</v>
      </c>
      <c r="B351" t="s">
        <v>1562</v>
      </c>
      <c r="C351">
        <v>2019</v>
      </c>
      <c r="D351" s="5" t="s">
        <v>1721</v>
      </c>
      <c r="E351" s="5" t="s">
        <v>1721</v>
      </c>
      <c r="F351" s="5" t="s">
        <v>1721</v>
      </c>
      <c r="G351" s="5" t="s">
        <v>1721</v>
      </c>
      <c r="H351" s="5" t="s">
        <v>1721</v>
      </c>
      <c r="I351" s="5" t="s">
        <v>1721</v>
      </c>
      <c r="J351" s="5" t="s">
        <v>1721</v>
      </c>
      <c r="K351" s="5" t="s">
        <v>193</v>
      </c>
      <c r="L351" s="5" t="s">
        <v>1721</v>
      </c>
      <c r="M351" s="9">
        <v>11</v>
      </c>
      <c r="N351" s="6">
        <v>0</v>
      </c>
      <c r="O351" s="9">
        <v>1664</v>
      </c>
      <c r="P351" s="6">
        <v>0</v>
      </c>
      <c r="Q351" s="9">
        <f>Table2[[#This Row],[Atlyginimo vidurkis]]*Table2[[#This Row],[Darbuotojų skaičius]]*12</f>
        <v>219648</v>
      </c>
      <c r="R351" s="49">
        <v>0</v>
      </c>
      <c r="S351" s="9">
        <v>463182</v>
      </c>
      <c r="T351" s="6">
        <v>0</v>
      </c>
      <c r="U351" s="9">
        <f>IF(Table2[[#This Row],[DU sąnaudos]]=0,0,Table2[[#This Row],[Apyvarta]]-Table2[[#This Row],[DU sąnaudos]]-Table2[[#This Row],[Pelnas]])</f>
        <v>185762</v>
      </c>
      <c r="V351" s="49">
        <v>0</v>
      </c>
      <c r="W351" s="9">
        <v>57772</v>
      </c>
      <c r="X351" s="6">
        <v>0</v>
      </c>
      <c r="Y351" s="8">
        <f>Table2[[#This Row],[DU sąnaudos]]*0.43</f>
        <v>94448.639999999999</v>
      </c>
      <c r="Z351" s="8">
        <f>Table2[[#This Row],[Apyvarta]]-Table2[[#This Row],[Ne-atlyginimų sąnaudos]]+Table2[[#This Row],[Fiks ir pelno mokestis]]</f>
        <v>371868.64</v>
      </c>
    </row>
    <row r="352" spans="1:26" hidden="1" x14ac:dyDescent="0.2">
      <c r="A352" s="5" t="s">
        <v>1561</v>
      </c>
      <c r="B352" t="s">
        <v>1562</v>
      </c>
      <c r="C352">
        <v>2020</v>
      </c>
      <c r="D352" s="5" t="s">
        <v>1721</v>
      </c>
      <c r="E352" s="5" t="s">
        <v>1721</v>
      </c>
      <c r="F352" s="5" t="s">
        <v>1721</v>
      </c>
      <c r="G352" s="5" t="s">
        <v>1721</v>
      </c>
      <c r="H352" s="5" t="s">
        <v>1721</v>
      </c>
      <c r="I352" s="5" t="s">
        <v>1721</v>
      </c>
      <c r="J352" s="5" t="s">
        <v>1721</v>
      </c>
      <c r="K352" s="5" t="s">
        <v>193</v>
      </c>
      <c r="L352" s="5" t="s">
        <v>1721</v>
      </c>
      <c r="M352" s="9">
        <v>11</v>
      </c>
      <c r="N352" s="6">
        <f>IFERROR(Table2[[#This Row],[Darbuotojų skaičius]]/M351-1,0)</f>
        <v>0</v>
      </c>
      <c r="O352" s="9">
        <v>2204</v>
      </c>
      <c r="P352" s="6">
        <v>0.32</v>
      </c>
      <c r="Q352" s="9">
        <f>Table2[[#This Row],[Atlyginimo vidurkis]]*Table2[[#This Row],[Darbuotojų skaičius]]*12</f>
        <v>290928</v>
      </c>
      <c r="R352" s="49">
        <f>IFERROR(Table2[[#This Row],[DU sąnaudos]]/Q351-1,0)</f>
        <v>0.32451923076923084</v>
      </c>
      <c r="S352" s="9">
        <v>638187</v>
      </c>
      <c r="T352" s="6">
        <v>0.38</v>
      </c>
      <c r="U352" s="9">
        <f>IF(Table2[[#This Row],[DU sąnaudos]]=0,0,Table2[[#This Row],[Apyvarta]]-Table2[[#This Row],[DU sąnaudos]]-Table2[[#This Row],[Pelnas]])</f>
        <v>276204</v>
      </c>
      <c r="V352" s="49">
        <f>IFERROR(Table2[[#This Row],[Ne-atlyginimų sąnaudos]]/U351-1,0)</f>
        <v>0.48687029640077095</v>
      </c>
      <c r="W352" s="9">
        <v>71055</v>
      </c>
      <c r="X352" s="6">
        <v>0.23</v>
      </c>
      <c r="Y352" s="8">
        <f>Table2[[#This Row],[DU sąnaudos]]*0.43</f>
        <v>125099.04</v>
      </c>
      <c r="Z352" s="8">
        <f>Table2[[#This Row],[Apyvarta]]-Table2[[#This Row],[Ne-atlyginimų sąnaudos]]+Table2[[#This Row],[Fiks ir pelno mokestis]]</f>
        <v>487082.04</v>
      </c>
    </row>
    <row r="353" spans="1:26" hidden="1" x14ac:dyDescent="0.2">
      <c r="A353" s="5" t="s">
        <v>1561</v>
      </c>
      <c r="B353" t="s">
        <v>1562</v>
      </c>
      <c r="C353">
        <v>2021</v>
      </c>
      <c r="D353" s="5" t="s">
        <v>1721</v>
      </c>
      <c r="E353" s="5" t="s">
        <v>1721</v>
      </c>
      <c r="F353" s="5" t="s">
        <v>1721</v>
      </c>
      <c r="G353" s="5" t="s">
        <v>1721</v>
      </c>
      <c r="H353" s="5" t="s">
        <v>1721</v>
      </c>
      <c r="I353" s="5" t="s">
        <v>1721</v>
      </c>
      <c r="J353" s="5" t="s">
        <v>1721</v>
      </c>
      <c r="K353" s="5" t="s">
        <v>193</v>
      </c>
      <c r="L353" s="5" t="s">
        <v>1721</v>
      </c>
      <c r="M353" s="9">
        <v>14</v>
      </c>
      <c r="N353" s="6">
        <f>IFERROR(Table2[[#This Row],[Darbuotojų skaičius]]/M352-1,0)</f>
        <v>0.27272727272727271</v>
      </c>
      <c r="O353" s="9">
        <v>2844</v>
      </c>
      <c r="P353" s="6">
        <v>0.28999999999999998</v>
      </c>
      <c r="Q353" s="9">
        <f>Table2[[#This Row],[Atlyginimo vidurkis]]*Table2[[#This Row],[Darbuotojų skaičius]]*12</f>
        <v>477792</v>
      </c>
      <c r="R353" s="49">
        <f>IFERROR(Table2[[#This Row],[DU sąnaudos]]/Q352-1,0)</f>
        <v>0.64230325028873114</v>
      </c>
      <c r="S353" s="9">
        <v>989434</v>
      </c>
      <c r="T353" s="6">
        <v>0.55000000000000004</v>
      </c>
      <c r="U353" s="9">
        <f>IF(Table2[[#This Row],[DU sąnaudos]]=0,0,Table2[[#This Row],[Apyvarta]]-Table2[[#This Row],[DU sąnaudos]]-Table2[[#This Row],[Pelnas]])</f>
        <v>425324</v>
      </c>
      <c r="V353" s="49">
        <f>IFERROR(Table2[[#This Row],[Ne-atlyginimų sąnaudos]]/U352-1,0)</f>
        <v>0.53989080534677258</v>
      </c>
      <c r="W353" s="9">
        <v>86318</v>
      </c>
      <c r="X353" s="6">
        <v>0.21</v>
      </c>
      <c r="Y353" s="8">
        <f>Table2[[#This Row],[DU sąnaudos]]*0.43</f>
        <v>205450.56</v>
      </c>
      <c r="Z353" s="8">
        <f>Table2[[#This Row],[Apyvarta]]-Table2[[#This Row],[Ne-atlyginimų sąnaudos]]+Table2[[#This Row],[Fiks ir pelno mokestis]]</f>
        <v>769560.56</v>
      </c>
    </row>
    <row r="354" spans="1:26" hidden="1" x14ac:dyDescent="0.2">
      <c r="A354" s="5" t="s">
        <v>1561</v>
      </c>
      <c r="B354" t="s">
        <v>1562</v>
      </c>
      <c r="C354">
        <v>2022</v>
      </c>
      <c r="D354" s="5" t="s">
        <v>1721</v>
      </c>
      <c r="E354" s="5" t="s">
        <v>1721</v>
      </c>
      <c r="F354" s="5" t="s">
        <v>1721</v>
      </c>
      <c r="G354" s="5" t="s">
        <v>1721</v>
      </c>
      <c r="H354" s="5" t="s">
        <v>1721</v>
      </c>
      <c r="I354" s="5" t="s">
        <v>1721</v>
      </c>
      <c r="J354" s="5" t="s">
        <v>1721</v>
      </c>
      <c r="K354" s="5" t="s">
        <v>193</v>
      </c>
      <c r="L354" s="5" t="s">
        <v>1721</v>
      </c>
      <c r="M354" s="9">
        <v>15</v>
      </c>
      <c r="N354" s="6">
        <f>IFERROR(Table2[[#This Row],[Darbuotojų skaičius]]/M353-1,0)</f>
        <v>7.1428571428571397E-2</v>
      </c>
      <c r="O354" s="9">
        <v>3598</v>
      </c>
      <c r="P354" s="6">
        <v>0.27</v>
      </c>
      <c r="Q354" s="9">
        <f>Table2[[#This Row],[Atlyginimo vidurkis]]*Table2[[#This Row],[Darbuotojų skaičius]]*12</f>
        <v>647640</v>
      </c>
      <c r="R354" s="49">
        <f>IFERROR(Table2[[#This Row],[DU sąnaudos]]/Q353-1,0)</f>
        <v>0.35548523206751059</v>
      </c>
      <c r="S354" s="9">
        <v>1378217</v>
      </c>
      <c r="T354" s="6">
        <v>0.39</v>
      </c>
      <c r="U354" s="9">
        <f>IF(Table2[[#This Row],[DU sąnaudos]]=0,0,Table2[[#This Row],[Apyvarta]]-Table2[[#This Row],[DU sąnaudos]]-Table2[[#This Row],[Pelnas]])</f>
        <v>577690</v>
      </c>
      <c r="V354" s="49">
        <f>IFERROR(Table2[[#This Row],[Ne-atlyginimų sąnaudos]]/U353-1,0)</f>
        <v>0.35823513368631921</v>
      </c>
      <c r="W354" s="9">
        <v>152887</v>
      </c>
      <c r="X354" s="6">
        <v>0.77</v>
      </c>
      <c r="Y354" s="8">
        <f>Table2[[#This Row],[DU sąnaudos]]*0.43</f>
        <v>278485.2</v>
      </c>
      <c r="Z354" s="8">
        <f>Table2[[#This Row],[Apyvarta]]-Table2[[#This Row],[Ne-atlyginimų sąnaudos]]+Table2[[#This Row],[Fiks ir pelno mokestis]]</f>
        <v>1079012.2</v>
      </c>
    </row>
    <row r="355" spans="1:26" hidden="1" x14ac:dyDescent="0.2">
      <c r="A355" s="5" t="s">
        <v>1561</v>
      </c>
      <c r="B355" t="s">
        <v>1562</v>
      </c>
      <c r="C355">
        <v>2023</v>
      </c>
      <c r="D355" s="5" t="s">
        <v>1721</v>
      </c>
      <c r="E355" s="5" t="s">
        <v>1721</v>
      </c>
      <c r="F355" s="5" t="s">
        <v>1721</v>
      </c>
      <c r="G355" s="5" t="s">
        <v>1721</v>
      </c>
      <c r="H355" s="5" t="s">
        <v>1721</v>
      </c>
      <c r="I355" s="5" t="s">
        <v>1721</v>
      </c>
      <c r="J355" s="5" t="s">
        <v>1721</v>
      </c>
      <c r="K355" s="5" t="s">
        <v>193</v>
      </c>
      <c r="L355" s="5" t="s">
        <v>1721</v>
      </c>
      <c r="M355" s="9">
        <v>13</v>
      </c>
      <c r="N355" s="6">
        <f>IFERROR(Table2[[#This Row],[Darbuotojų skaičius]]/M354-1,0)</f>
        <v>-0.1333333333333333</v>
      </c>
      <c r="O355" s="9">
        <v>4242</v>
      </c>
      <c r="P355" s="6">
        <v>0.18</v>
      </c>
      <c r="Q355" s="9">
        <f>Table2[[#This Row],[Atlyginimo vidurkis]]*Table2[[#This Row],[Darbuotojų skaičius]]*12</f>
        <v>661752</v>
      </c>
      <c r="R355" s="49">
        <f>IFERROR(Table2[[#This Row],[DU sąnaudos]]/Q354-1,0)</f>
        <v>2.1789883268482413E-2</v>
      </c>
      <c r="S355" s="9">
        <v>1656998</v>
      </c>
      <c r="T355" s="6">
        <v>0.2</v>
      </c>
      <c r="U355" s="9">
        <f>IF(Table2[[#This Row],[DU sąnaudos]]=0,0,Table2[[#This Row],[Apyvarta]]-Table2[[#This Row],[DU sąnaudos]]-Table2[[#This Row],[Pelnas]])</f>
        <v>812013</v>
      </c>
      <c r="V355" s="49">
        <f>IFERROR(Table2[[#This Row],[Ne-atlyginimų sąnaudos]]/U354-1,0)</f>
        <v>0.40562066160051247</v>
      </c>
      <c r="W355" s="9">
        <v>183233</v>
      </c>
      <c r="X355" s="6">
        <v>0.2</v>
      </c>
      <c r="Y355" s="8">
        <f>Table2[[#This Row],[DU sąnaudos]]*0.43</f>
        <v>284553.36</v>
      </c>
      <c r="Z355" s="8">
        <f>Table2[[#This Row],[Apyvarta]]-Table2[[#This Row],[Ne-atlyginimų sąnaudos]]+Table2[[#This Row],[Fiks ir pelno mokestis]]</f>
        <v>1129538.3599999999</v>
      </c>
    </row>
    <row r="356" spans="1:26" hidden="1" x14ac:dyDescent="0.2">
      <c r="A356" s="5" t="s">
        <v>1561</v>
      </c>
      <c r="B356" t="s">
        <v>1562</v>
      </c>
      <c r="C356">
        <v>2024</v>
      </c>
      <c r="D356" s="5" t="s">
        <v>1721</v>
      </c>
      <c r="E356" s="5" t="s">
        <v>1721</v>
      </c>
      <c r="F356" s="5" t="s">
        <v>1721</v>
      </c>
      <c r="G356" s="5" t="s">
        <v>1721</v>
      </c>
      <c r="H356" s="5" t="s">
        <v>1721</v>
      </c>
      <c r="I356" s="5" t="s">
        <v>1721</v>
      </c>
      <c r="J356" s="5" t="s">
        <v>1721</v>
      </c>
      <c r="K356" s="5" t="s">
        <v>193</v>
      </c>
      <c r="L356" s="5" t="s">
        <v>1721</v>
      </c>
      <c r="M356" s="9">
        <v>15</v>
      </c>
      <c r="N356" s="6">
        <f>IFERROR(Table2[[#This Row],[Darbuotojų skaičius]]/M355-1,0)</f>
        <v>0.15384615384615374</v>
      </c>
      <c r="O356" s="9">
        <v>3978</v>
      </c>
      <c r="P356" s="6">
        <v>-0.06</v>
      </c>
      <c r="Q356" s="9">
        <f>Table2[[#This Row],[Atlyginimo vidurkis]]*Table2[[#This Row],[Darbuotojų skaičius]]*12</f>
        <v>716040</v>
      </c>
      <c r="R356" s="49">
        <f>IFERROR(Table2[[#This Row],[DU sąnaudos]]/Q355-1,0)</f>
        <v>8.2036775106081983E-2</v>
      </c>
      <c r="S356" s="9">
        <v>1427828</v>
      </c>
      <c r="T356" s="6">
        <v>-0.14000000000000001</v>
      </c>
      <c r="U356" s="9">
        <f>IF(Table2[[#This Row],[DU sąnaudos]]=0,0,Table2[[#This Row],[Apyvarta]]-Table2[[#This Row],[DU sąnaudos]]-Table2[[#This Row],[Pelnas]])</f>
        <v>586478</v>
      </c>
      <c r="V356" s="49">
        <f>IFERROR(Table2[[#This Row],[Ne-atlyginimų sąnaudos]]/U355-1,0)</f>
        <v>-0.27774801634949198</v>
      </c>
      <c r="W356" s="9">
        <v>125310</v>
      </c>
      <c r="X356" s="6">
        <v>-0.32</v>
      </c>
      <c r="Y356" s="8">
        <f>Table2[[#This Row],[DU sąnaudos]]*0.43</f>
        <v>307897.2</v>
      </c>
      <c r="Z356" s="8">
        <f>Table2[[#This Row],[Apyvarta]]-Table2[[#This Row],[Ne-atlyginimų sąnaudos]]+Table2[[#This Row],[Fiks ir pelno mokestis]]</f>
        <v>1149247.2</v>
      </c>
    </row>
    <row r="357" spans="1:26" hidden="1" x14ac:dyDescent="0.2">
      <c r="A357" s="5" t="s">
        <v>143</v>
      </c>
      <c r="B357" s="5" t="s">
        <v>1563</v>
      </c>
      <c r="C357" s="5">
        <v>2019</v>
      </c>
      <c r="D357" s="5" t="s">
        <v>1721</v>
      </c>
      <c r="E357" s="5" t="s">
        <v>1721</v>
      </c>
      <c r="F357" s="5" t="s">
        <v>1721</v>
      </c>
      <c r="G357" s="5" t="s">
        <v>73</v>
      </c>
      <c r="H357" s="5" t="s">
        <v>1721</v>
      </c>
      <c r="I357" s="5" t="s">
        <v>1721</v>
      </c>
      <c r="J357" s="5" t="s">
        <v>1721</v>
      </c>
      <c r="K357" s="5" t="s">
        <v>1721</v>
      </c>
      <c r="L357" s="5" t="s">
        <v>1721</v>
      </c>
      <c r="M357" s="9">
        <v>34</v>
      </c>
      <c r="N357" s="6">
        <v>0</v>
      </c>
      <c r="O357" s="9">
        <v>2463</v>
      </c>
      <c r="P357" s="6">
        <v>0</v>
      </c>
      <c r="Q357" s="9">
        <f>Table2[[#This Row],[Atlyginimo vidurkis]]*Table2[[#This Row],[Darbuotojų skaičius]]*12</f>
        <v>1004904</v>
      </c>
      <c r="R357" s="49">
        <v>0</v>
      </c>
      <c r="S357" s="9">
        <v>10898125</v>
      </c>
      <c r="T357" s="6">
        <v>0</v>
      </c>
      <c r="U357" s="9">
        <f>IF(Table2[[#This Row],[DU sąnaudos]]=0,0,Table2[[#This Row],[Apyvarta]]-Table2[[#This Row],[DU sąnaudos]]-Table2[[#This Row],[Pelnas]])</f>
        <v>9689538</v>
      </c>
      <c r="V357" s="49">
        <v>0</v>
      </c>
      <c r="W357" s="9">
        <v>203683</v>
      </c>
      <c r="X357" s="6">
        <v>0</v>
      </c>
      <c r="Y357" s="8">
        <f>Table2[[#This Row],[DU sąnaudos]]*0.43</f>
        <v>432108.72</v>
      </c>
      <c r="Z357" s="8">
        <f>Table2[[#This Row],[Apyvarta]]-Table2[[#This Row],[Ne-atlyginimų sąnaudos]]+Table2[[#This Row],[Fiks ir pelno mokestis]]</f>
        <v>1640695.72</v>
      </c>
    </row>
    <row r="358" spans="1:26" hidden="1" x14ac:dyDescent="0.2">
      <c r="A358" s="5" t="s">
        <v>143</v>
      </c>
      <c r="B358" s="5" t="s">
        <v>1563</v>
      </c>
      <c r="C358" s="5">
        <v>2020</v>
      </c>
      <c r="D358" s="5" t="s">
        <v>1721</v>
      </c>
      <c r="E358" s="5" t="s">
        <v>1721</v>
      </c>
      <c r="F358" s="5" t="s">
        <v>1721</v>
      </c>
      <c r="G358" s="5" t="s">
        <v>73</v>
      </c>
      <c r="H358" s="5" t="s">
        <v>1721</v>
      </c>
      <c r="I358" s="5" t="s">
        <v>1721</v>
      </c>
      <c r="J358" s="5" t="s">
        <v>1721</v>
      </c>
      <c r="K358" s="5" t="s">
        <v>1721</v>
      </c>
      <c r="L358" s="5" t="s">
        <v>1721</v>
      </c>
      <c r="M358" s="9">
        <v>30</v>
      </c>
      <c r="N358" s="6">
        <f>IFERROR(Table2[[#This Row],[Darbuotojų skaičius]]/M357-1,0)</f>
        <v>-0.11764705882352944</v>
      </c>
      <c r="O358" s="9">
        <v>2559</v>
      </c>
      <c r="P358" s="6">
        <v>3.897685749086488E-2</v>
      </c>
      <c r="Q358" s="9">
        <f>Table2[[#This Row],[Atlyginimo vidurkis]]*Table2[[#This Row],[Darbuotojų skaičius]]*12</f>
        <v>921240</v>
      </c>
      <c r="R358" s="49">
        <f>IFERROR(Table2[[#This Row],[DU sąnaudos]]/Q357-1,0)</f>
        <v>-8.3255713978648727E-2</v>
      </c>
      <c r="S358" s="9">
        <v>11162492</v>
      </c>
      <c r="T358" s="6">
        <v>2.4258026036588779E-2</v>
      </c>
      <c r="U358" s="9">
        <f>IF(Table2[[#This Row],[DU sąnaudos]]=0,0,Table2[[#This Row],[Apyvarta]]-Table2[[#This Row],[DU sąnaudos]]-Table2[[#This Row],[Pelnas]])</f>
        <v>9933902</v>
      </c>
      <c r="V358" s="49">
        <f>IFERROR(Table2[[#This Row],[Ne-atlyginimų sąnaudos]]/U357-1,0)</f>
        <v>2.5219365464070664E-2</v>
      </c>
      <c r="W358" s="9">
        <v>307350</v>
      </c>
      <c r="X358" s="6">
        <v>0.50896245636601978</v>
      </c>
      <c r="Y358" s="8">
        <f>Table2[[#This Row],[DU sąnaudos]]*0.43</f>
        <v>396133.2</v>
      </c>
      <c r="Z358" s="8">
        <f>Table2[[#This Row],[Apyvarta]]-Table2[[#This Row],[Ne-atlyginimų sąnaudos]]+Table2[[#This Row],[Fiks ir pelno mokestis]]</f>
        <v>1624723.2</v>
      </c>
    </row>
    <row r="359" spans="1:26" hidden="1" x14ac:dyDescent="0.2">
      <c r="A359" s="5" t="s">
        <v>143</v>
      </c>
      <c r="B359" s="5" t="s">
        <v>1563</v>
      </c>
      <c r="C359" s="5">
        <v>2021</v>
      </c>
      <c r="D359" s="5" t="s">
        <v>1721</v>
      </c>
      <c r="E359" s="5" t="s">
        <v>1721</v>
      </c>
      <c r="F359" s="5" t="s">
        <v>1721</v>
      </c>
      <c r="G359" s="5" t="s">
        <v>73</v>
      </c>
      <c r="H359" s="5" t="s">
        <v>1721</v>
      </c>
      <c r="I359" s="5" t="s">
        <v>1721</v>
      </c>
      <c r="J359" s="5" t="s">
        <v>1721</v>
      </c>
      <c r="K359" s="5" t="s">
        <v>1721</v>
      </c>
      <c r="L359" s="5" t="s">
        <v>1721</v>
      </c>
      <c r="M359" s="9">
        <v>30</v>
      </c>
      <c r="N359" s="6">
        <f>IFERROR(Table2[[#This Row],[Darbuotojų skaičius]]/M358-1,0)</f>
        <v>0</v>
      </c>
      <c r="O359" s="9">
        <v>2700</v>
      </c>
      <c r="P359" s="6">
        <v>5.5099648300117147E-2</v>
      </c>
      <c r="Q359" s="9">
        <f>Table2[[#This Row],[Atlyginimo vidurkis]]*Table2[[#This Row],[Darbuotojų skaičius]]*12</f>
        <v>972000</v>
      </c>
      <c r="R359" s="49">
        <f>IFERROR(Table2[[#This Row],[DU sąnaudos]]/Q358-1,0)</f>
        <v>5.5099648300117154E-2</v>
      </c>
      <c r="S359" s="9">
        <v>13680319</v>
      </c>
      <c r="T359" s="6">
        <v>0.22556137106302071</v>
      </c>
      <c r="U359" s="9">
        <f>IF(Table2[[#This Row],[DU sąnaudos]]=0,0,Table2[[#This Row],[Apyvarta]]-Table2[[#This Row],[DU sąnaudos]]-Table2[[#This Row],[Pelnas]])</f>
        <v>12316586</v>
      </c>
      <c r="V359" s="49">
        <f>IFERROR(Table2[[#This Row],[Ne-atlyginimų sąnaudos]]/U358-1,0)</f>
        <v>0.23985378555173997</v>
      </c>
      <c r="W359" s="9">
        <v>391733</v>
      </c>
      <c r="X359" s="6">
        <v>0.27455018708312989</v>
      </c>
      <c r="Y359" s="8">
        <f>Table2[[#This Row],[DU sąnaudos]]*0.43</f>
        <v>417960</v>
      </c>
      <c r="Z359" s="8">
        <f>Table2[[#This Row],[Apyvarta]]-Table2[[#This Row],[Ne-atlyginimų sąnaudos]]+Table2[[#This Row],[Fiks ir pelno mokestis]]</f>
        <v>1781693</v>
      </c>
    </row>
    <row r="360" spans="1:26" hidden="1" x14ac:dyDescent="0.2">
      <c r="A360" s="5" t="s">
        <v>143</v>
      </c>
      <c r="B360" s="5" t="s">
        <v>1563</v>
      </c>
      <c r="C360" s="5">
        <v>2022</v>
      </c>
      <c r="D360" s="5" t="s">
        <v>1721</v>
      </c>
      <c r="E360" s="5" t="s">
        <v>1721</v>
      </c>
      <c r="F360" s="5" t="s">
        <v>1721</v>
      </c>
      <c r="G360" s="5" t="s">
        <v>73</v>
      </c>
      <c r="H360" s="5" t="s">
        <v>1721</v>
      </c>
      <c r="I360" s="5" t="s">
        <v>1721</v>
      </c>
      <c r="J360" s="5" t="s">
        <v>1721</v>
      </c>
      <c r="K360" s="5" t="s">
        <v>1721</v>
      </c>
      <c r="L360" s="5" t="s">
        <v>1721</v>
      </c>
      <c r="M360" s="9">
        <v>36</v>
      </c>
      <c r="N360" s="6">
        <f>IFERROR(Table2[[#This Row],[Darbuotojų skaičius]]/M359-1,0)</f>
        <v>0.19999999999999996</v>
      </c>
      <c r="O360" s="9">
        <v>2844</v>
      </c>
      <c r="P360" s="6">
        <v>5.3333333333333233E-2</v>
      </c>
      <c r="Q360" s="9">
        <f>Table2[[#This Row],[Atlyginimo vidurkis]]*Table2[[#This Row],[Darbuotojų skaičius]]*12</f>
        <v>1228608</v>
      </c>
      <c r="R360" s="49">
        <f>IFERROR(Table2[[#This Row],[DU sąnaudos]]/Q359-1,0)</f>
        <v>0.26400000000000001</v>
      </c>
      <c r="S360" s="9">
        <v>14993931</v>
      </c>
      <c r="T360" s="6">
        <v>9.6022029895648009E-2</v>
      </c>
      <c r="U360" s="9">
        <f>IF(Table2[[#This Row],[DU sąnaudos]]=0,0,Table2[[#This Row],[Apyvarta]]-Table2[[#This Row],[DU sąnaudos]]-Table2[[#This Row],[Pelnas]])</f>
        <v>13470943</v>
      </c>
      <c r="V360" s="49">
        <f>IFERROR(Table2[[#This Row],[Ne-atlyginimų sąnaudos]]/U359-1,0)</f>
        <v>9.3723780274826085E-2</v>
      </c>
      <c r="W360" s="9">
        <v>294380</v>
      </c>
      <c r="X360" s="6">
        <v>-0.24851876150337091</v>
      </c>
      <c r="Y360" s="8">
        <f>Table2[[#This Row],[DU sąnaudos]]*0.43</f>
        <v>528301.43999999994</v>
      </c>
      <c r="Z360" s="8">
        <f>Table2[[#This Row],[Apyvarta]]-Table2[[#This Row],[Ne-atlyginimų sąnaudos]]+Table2[[#This Row],[Fiks ir pelno mokestis]]</f>
        <v>2051289.44</v>
      </c>
    </row>
    <row r="361" spans="1:26" hidden="1" x14ac:dyDescent="0.2">
      <c r="A361" s="5" t="s">
        <v>143</v>
      </c>
      <c r="B361" s="5" t="s">
        <v>1563</v>
      </c>
      <c r="C361" s="5">
        <v>2023</v>
      </c>
      <c r="D361" s="5" t="s">
        <v>1721</v>
      </c>
      <c r="E361" s="5" t="s">
        <v>1721</v>
      </c>
      <c r="F361" s="5" t="s">
        <v>1721</v>
      </c>
      <c r="G361" s="5" t="s">
        <v>73</v>
      </c>
      <c r="H361" s="5" t="s">
        <v>1721</v>
      </c>
      <c r="I361" s="5" t="s">
        <v>1721</v>
      </c>
      <c r="J361" s="5" t="s">
        <v>1721</v>
      </c>
      <c r="K361" s="5" t="s">
        <v>1721</v>
      </c>
      <c r="L361" s="5" t="s">
        <v>1721</v>
      </c>
      <c r="M361" s="9">
        <v>36</v>
      </c>
      <c r="N361" s="6">
        <f>IFERROR(Table2[[#This Row],[Darbuotojų skaičius]]/M360-1,0)</f>
        <v>0</v>
      </c>
      <c r="O361" s="9">
        <v>3103</v>
      </c>
      <c r="P361" s="6">
        <v>9.1068917018284123E-2</v>
      </c>
      <c r="Q361" s="9">
        <f>Table2[[#This Row],[Atlyginimo vidurkis]]*Table2[[#This Row],[Darbuotojų skaičius]]*12</f>
        <v>1340496</v>
      </c>
      <c r="R361" s="49">
        <f>IFERROR(Table2[[#This Row],[DU sąnaudos]]/Q360-1,0)</f>
        <v>9.1068917018284123E-2</v>
      </c>
      <c r="S361" s="9">
        <v>19737855</v>
      </c>
      <c r="T361" s="6">
        <v>0.31638961123670639</v>
      </c>
      <c r="U361" s="9">
        <f>IF(Table2[[#This Row],[DU sąnaudos]]=0,0,Table2[[#This Row],[Apyvarta]]-Table2[[#This Row],[DU sąnaudos]]-Table2[[#This Row],[Pelnas]])</f>
        <v>18011550</v>
      </c>
      <c r="V361" s="49">
        <f>IFERROR(Table2[[#This Row],[Ne-atlyginimų sąnaudos]]/U360-1,0)</f>
        <v>0.33706675174855993</v>
      </c>
      <c r="W361" s="9">
        <v>385809</v>
      </c>
      <c r="X361" s="6">
        <v>0.31058156124736719</v>
      </c>
      <c r="Y361" s="8">
        <f>Table2[[#This Row],[DU sąnaudos]]*0.43</f>
        <v>576413.28</v>
      </c>
      <c r="Z361" s="8">
        <f>Table2[[#This Row],[Apyvarta]]-Table2[[#This Row],[Ne-atlyginimų sąnaudos]]+Table2[[#This Row],[Fiks ir pelno mokestis]]</f>
        <v>2302718.2800000003</v>
      </c>
    </row>
    <row r="362" spans="1:26" hidden="1" x14ac:dyDescent="0.2">
      <c r="A362" s="5" t="s">
        <v>143</v>
      </c>
      <c r="B362" s="5" t="s">
        <v>1563</v>
      </c>
      <c r="C362" s="5">
        <v>2024</v>
      </c>
      <c r="D362" s="5" t="s">
        <v>1721</v>
      </c>
      <c r="E362" s="5" t="s">
        <v>1721</v>
      </c>
      <c r="F362" s="5" t="s">
        <v>1721</v>
      </c>
      <c r="G362" s="5" t="s">
        <v>73</v>
      </c>
      <c r="H362" s="5" t="s">
        <v>1721</v>
      </c>
      <c r="I362" s="5" t="s">
        <v>1721</v>
      </c>
      <c r="J362" s="5" t="s">
        <v>1721</v>
      </c>
      <c r="K362" s="5" t="s">
        <v>1721</v>
      </c>
      <c r="L362" s="5" t="s">
        <v>1721</v>
      </c>
      <c r="M362" s="9">
        <v>35</v>
      </c>
      <c r="N362" s="6">
        <f>IFERROR(Table2[[#This Row],[Darbuotojų skaičius]]/M361-1,0)</f>
        <v>-2.777777777777779E-2</v>
      </c>
      <c r="O362" s="9">
        <v>3298</v>
      </c>
      <c r="P362" s="6">
        <v>6.284241057041573E-2</v>
      </c>
      <c r="Q362" s="9">
        <f>Table2[[#This Row],[Atlyginimo vidurkis]]*Table2[[#This Row],[Darbuotojų skaičius]]*12</f>
        <v>1385160</v>
      </c>
      <c r="R362" s="49">
        <f>IFERROR(Table2[[#This Row],[DU sąnaudos]]/Q361-1,0)</f>
        <v>3.3319010276793071E-2</v>
      </c>
      <c r="S362" s="9">
        <v>15451756</v>
      </c>
      <c r="T362" s="6">
        <v>-0.21715120513348579</v>
      </c>
      <c r="U362" s="9">
        <f>IF(Table2[[#This Row],[DU sąnaudos]]=0,0,Table2[[#This Row],[Apyvarta]]-Table2[[#This Row],[DU sąnaudos]]-Table2[[#This Row],[Pelnas]])</f>
        <v>13822450</v>
      </c>
      <c r="V362" s="49">
        <f>IFERROR(Table2[[#This Row],[Ne-atlyginimų sąnaudos]]/U361-1,0)</f>
        <v>-0.23257853988135391</v>
      </c>
      <c r="W362" s="9">
        <v>244146</v>
      </c>
      <c r="X362" s="6">
        <v>-0.36718428030450301</v>
      </c>
      <c r="Y362" s="8">
        <f>Table2[[#This Row],[DU sąnaudos]]*0.43</f>
        <v>595618.80000000005</v>
      </c>
      <c r="Z362" s="8">
        <f>Table2[[#This Row],[Apyvarta]]-Table2[[#This Row],[Ne-atlyginimų sąnaudos]]+Table2[[#This Row],[Fiks ir pelno mokestis]]</f>
        <v>2224924.7999999998</v>
      </c>
    </row>
    <row r="363" spans="1:26" hidden="1" x14ac:dyDescent="0.2">
      <c r="A363" s="5" t="s">
        <v>1566</v>
      </c>
      <c r="B363" t="s">
        <v>1567</v>
      </c>
      <c r="C363">
        <v>2019</v>
      </c>
      <c r="D363" s="5" t="s">
        <v>1721</v>
      </c>
      <c r="E363" s="5" t="s">
        <v>1721</v>
      </c>
      <c r="F363" s="5" t="s">
        <v>1721</v>
      </c>
      <c r="G363" t="s">
        <v>73</v>
      </c>
      <c r="H363" s="5" t="s">
        <v>1721</v>
      </c>
      <c r="I363" s="5" t="s">
        <v>1721</v>
      </c>
      <c r="J363" s="5" t="s">
        <v>1721</v>
      </c>
      <c r="K363" s="5" t="s">
        <v>1721</v>
      </c>
      <c r="L363" s="5" t="s">
        <v>1721</v>
      </c>
      <c r="M363" s="9">
        <v>21</v>
      </c>
      <c r="N363" s="6">
        <v>0</v>
      </c>
      <c r="O363" s="9">
        <v>2789</v>
      </c>
      <c r="P363" s="6">
        <v>0</v>
      </c>
      <c r="Q363" s="9">
        <f>Table2[[#This Row],[Atlyginimo vidurkis]]*Table2[[#This Row],[Darbuotojų skaičius]]*12</f>
        <v>702828</v>
      </c>
      <c r="R363" s="49">
        <v>0</v>
      </c>
      <c r="S363" s="9">
        <v>7485095</v>
      </c>
      <c r="T363" s="6">
        <v>0</v>
      </c>
      <c r="U363" s="9">
        <f>IF(Table2[[#This Row],[DU sąnaudos]]=0,0,Table2[[#This Row],[Apyvarta]]-Table2[[#This Row],[DU sąnaudos]]-Table2[[#This Row],[Pelnas]])</f>
        <v>6776807</v>
      </c>
      <c r="V363" s="49">
        <v>0</v>
      </c>
      <c r="W363" s="9">
        <v>5460</v>
      </c>
      <c r="X363" s="6">
        <v>0</v>
      </c>
      <c r="Y363" s="8">
        <f>Table2[[#This Row],[DU sąnaudos]]*0.43</f>
        <v>302216.03999999998</v>
      </c>
      <c r="Z363" s="8">
        <f>Table2[[#This Row],[Apyvarta]]-Table2[[#This Row],[Ne-atlyginimų sąnaudos]]+Table2[[#This Row],[Fiks ir pelno mokestis]]</f>
        <v>1010504.04</v>
      </c>
    </row>
    <row r="364" spans="1:26" hidden="1" x14ac:dyDescent="0.2">
      <c r="A364" s="5" t="s">
        <v>1566</v>
      </c>
      <c r="B364" t="s">
        <v>1567</v>
      </c>
      <c r="C364">
        <v>2020</v>
      </c>
      <c r="D364" s="5" t="s">
        <v>1721</v>
      </c>
      <c r="E364" s="5" t="s">
        <v>1721</v>
      </c>
      <c r="F364" s="5" t="s">
        <v>1721</v>
      </c>
      <c r="G364" t="s">
        <v>73</v>
      </c>
      <c r="H364" s="5" t="s">
        <v>1721</v>
      </c>
      <c r="I364" s="5" t="s">
        <v>1721</v>
      </c>
      <c r="J364" s="5" t="s">
        <v>1721</v>
      </c>
      <c r="K364" s="5" t="s">
        <v>1721</v>
      </c>
      <c r="L364" s="5" t="s">
        <v>1721</v>
      </c>
      <c r="M364" s="9">
        <v>16</v>
      </c>
      <c r="N364" s="6">
        <f>IFERROR(Table2[[#This Row],[Darbuotojų skaičius]]/M363-1,0)</f>
        <v>-0.23809523809523814</v>
      </c>
      <c r="O364" s="9">
        <v>2908</v>
      </c>
      <c r="P364" s="6">
        <v>0.04</v>
      </c>
      <c r="Q364" s="9">
        <f>Table2[[#This Row],[Atlyginimo vidurkis]]*Table2[[#This Row],[Darbuotojų skaičius]]*12</f>
        <v>558336</v>
      </c>
      <c r="R364" s="49">
        <f>IFERROR(Table2[[#This Row],[DU sąnaudos]]/Q363-1,0)</f>
        <v>-0.2055865731018115</v>
      </c>
      <c r="S364" s="9">
        <v>6600159</v>
      </c>
      <c r="T364" s="6">
        <v>-0.12</v>
      </c>
      <c r="U364" s="9">
        <f>IF(Table2[[#This Row],[DU sąnaudos]]=0,0,Table2[[#This Row],[Apyvarta]]-Table2[[#This Row],[DU sąnaudos]]-Table2[[#This Row],[Pelnas]])</f>
        <v>5927828</v>
      </c>
      <c r="V364" s="49">
        <f>IFERROR(Table2[[#This Row],[Ne-atlyginimų sąnaudos]]/U363-1,0)</f>
        <v>-0.12527714010447688</v>
      </c>
      <c r="W364" s="9">
        <v>113995</v>
      </c>
      <c r="X364" s="6">
        <v>19.88</v>
      </c>
      <c r="Y364" s="8">
        <f>Table2[[#This Row],[DU sąnaudos]]*0.43</f>
        <v>240084.48000000001</v>
      </c>
      <c r="Z364" s="8">
        <f>Table2[[#This Row],[Apyvarta]]-Table2[[#This Row],[Ne-atlyginimų sąnaudos]]+Table2[[#This Row],[Fiks ir pelno mokestis]]</f>
        <v>912415.48</v>
      </c>
    </row>
    <row r="365" spans="1:26" hidden="1" x14ac:dyDescent="0.2">
      <c r="A365" s="5" t="s">
        <v>1566</v>
      </c>
      <c r="B365" t="s">
        <v>1567</v>
      </c>
      <c r="C365">
        <v>2021</v>
      </c>
      <c r="D365" s="5" t="s">
        <v>1721</v>
      </c>
      <c r="E365" s="5" t="s">
        <v>1721</v>
      </c>
      <c r="F365" s="5" t="s">
        <v>1721</v>
      </c>
      <c r="G365" t="s">
        <v>73</v>
      </c>
      <c r="H365" s="5" t="s">
        <v>1721</v>
      </c>
      <c r="I365" s="5" t="s">
        <v>1721</v>
      </c>
      <c r="J365" s="5" t="s">
        <v>1721</v>
      </c>
      <c r="K365" s="5" t="s">
        <v>1721</v>
      </c>
      <c r="L365" s="5" t="s">
        <v>1721</v>
      </c>
      <c r="M365" s="9">
        <v>13</v>
      </c>
      <c r="N365" s="6">
        <f>IFERROR(Table2[[#This Row],[Darbuotojų skaičius]]/M364-1,0)</f>
        <v>-0.1875</v>
      </c>
      <c r="O365" s="9">
        <v>2982</v>
      </c>
      <c r="P365" s="6">
        <v>0.03</v>
      </c>
      <c r="Q365" s="9">
        <f>Table2[[#This Row],[Atlyginimo vidurkis]]*Table2[[#This Row],[Darbuotojų skaičius]]*12</f>
        <v>465192</v>
      </c>
      <c r="R365" s="49">
        <f>IFERROR(Table2[[#This Row],[DU sąnaudos]]/Q364-1,0)</f>
        <v>-0.16682427785419529</v>
      </c>
      <c r="S365" s="9">
        <v>8885368</v>
      </c>
      <c r="T365" s="6">
        <v>0.35</v>
      </c>
      <c r="U365" s="9">
        <f>IF(Table2[[#This Row],[DU sąnaudos]]=0,0,Table2[[#This Row],[Apyvarta]]-Table2[[#This Row],[DU sąnaudos]]-Table2[[#This Row],[Pelnas]])</f>
        <v>8061207</v>
      </c>
      <c r="V365" s="49">
        <f>IFERROR(Table2[[#This Row],[Ne-atlyginimų sąnaudos]]/U364-1,0)</f>
        <v>0.35989218985436144</v>
      </c>
      <c r="W365" s="9">
        <v>358969</v>
      </c>
      <c r="X365" s="6">
        <v>2.15</v>
      </c>
      <c r="Y365" s="8">
        <f>Table2[[#This Row],[DU sąnaudos]]*0.43</f>
        <v>200032.56</v>
      </c>
      <c r="Z365" s="8">
        <f>Table2[[#This Row],[Apyvarta]]-Table2[[#This Row],[Ne-atlyginimų sąnaudos]]+Table2[[#This Row],[Fiks ir pelno mokestis]]</f>
        <v>1024193.56</v>
      </c>
    </row>
    <row r="366" spans="1:26" hidden="1" x14ac:dyDescent="0.2">
      <c r="A366" s="5" t="s">
        <v>1566</v>
      </c>
      <c r="B366" t="s">
        <v>1567</v>
      </c>
      <c r="C366">
        <v>2022</v>
      </c>
      <c r="D366" s="5" t="s">
        <v>1721</v>
      </c>
      <c r="E366" s="5" t="s">
        <v>1721</v>
      </c>
      <c r="F366" s="5" t="s">
        <v>1721</v>
      </c>
      <c r="G366" t="s">
        <v>73</v>
      </c>
      <c r="H366" s="5" t="s">
        <v>1721</v>
      </c>
      <c r="I366" s="5" t="s">
        <v>1721</v>
      </c>
      <c r="J366" s="5" t="s">
        <v>1721</v>
      </c>
      <c r="K366" s="5" t="s">
        <v>1721</v>
      </c>
      <c r="L366" s="5" t="s">
        <v>1721</v>
      </c>
      <c r="M366" s="9">
        <v>16</v>
      </c>
      <c r="N366" s="6">
        <f>IFERROR(Table2[[#This Row],[Darbuotojų skaičius]]/M365-1,0)</f>
        <v>0.23076923076923084</v>
      </c>
      <c r="O366" s="9">
        <v>3321</v>
      </c>
      <c r="P366" s="6">
        <v>0.11</v>
      </c>
      <c r="Q366" s="9">
        <f>Table2[[#This Row],[Atlyginimo vidurkis]]*Table2[[#This Row],[Darbuotojų skaičius]]*12</f>
        <v>637632</v>
      </c>
      <c r="R366" s="49">
        <f>IFERROR(Table2[[#This Row],[DU sąnaudos]]/Q365-1,0)</f>
        <v>0.37068565237579332</v>
      </c>
      <c r="S366" s="9">
        <v>7425733</v>
      </c>
      <c r="T366" s="6">
        <v>-0.16</v>
      </c>
      <c r="U366" s="9">
        <f>IF(Table2[[#This Row],[DU sąnaudos]]=0,0,Table2[[#This Row],[Apyvarta]]-Table2[[#This Row],[DU sąnaudos]]-Table2[[#This Row],[Pelnas]])</f>
        <v>6534554</v>
      </c>
      <c r="V366" s="49">
        <f>IFERROR(Table2[[#This Row],[Ne-atlyginimų sąnaudos]]/U365-1,0)</f>
        <v>-0.18938268177457795</v>
      </c>
      <c r="W366" s="9">
        <v>253547</v>
      </c>
      <c r="X366" s="6">
        <v>-0.28999999999999998</v>
      </c>
      <c r="Y366" s="8">
        <f>Table2[[#This Row],[DU sąnaudos]]*0.43</f>
        <v>274181.76000000001</v>
      </c>
      <c r="Z366" s="8">
        <f>Table2[[#This Row],[Apyvarta]]-Table2[[#This Row],[Ne-atlyginimų sąnaudos]]+Table2[[#This Row],[Fiks ir pelno mokestis]]</f>
        <v>1165360.76</v>
      </c>
    </row>
    <row r="367" spans="1:26" hidden="1" x14ac:dyDescent="0.2">
      <c r="A367" s="5" t="s">
        <v>1566</v>
      </c>
      <c r="B367" t="s">
        <v>1567</v>
      </c>
      <c r="C367">
        <v>2023</v>
      </c>
      <c r="D367" s="5" t="s">
        <v>1721</v>
      </c>
      <c r="E367" s="5" t="s">
        <v>1721</v>
      </c>
      <c r="F367" s="5" t="s">
        <v>1721</v>
      </c>
      <c r="G367" t="s">
        <v>73</v>
      </c>
      <c r="H367" s="5" t="s">
        <v>1721</v>
      </c>
      <c r="I367" s="5" t="s">
        <v>1721</v>
      </c>
      <c r="J367" s="5" t="s">
        <v>1721</v>
      </c>
      <c r="K367" s="5" t="s">
        <v>1721</v>
      </c>
      <c r="L367" s="5" t="s">
        <v>1721</v>
      </c>
      <c r="M367" s="9">
        <v>16</v>
      </c>
      <c r="N367" s="6">
        <f>IFERROR(Table2[[#This Row],[Darbuotojų skaičius]]/M366-1,0)</f>
        <v>0</v>
      </c>
      <c r="O367" s="9">
        <v>3469</v>
      </c>
      <c r="P367" s="6">
        <v>0.04</v>
      </c>
      <c r="Q367" s="9">
        <f>Table2[[#This Row],[Atlyginimo vidurkis]]*Table2[[#This Row],[Darbuotojų skaičius]]*12</f>
        <v>666048</v>
      </c>
      <c r="R367" s="49">
        <f>IFERROR(Table2[[#This Row],[DU sąnaudos]]/Q366-1,0)</f>
        <v>4.45648900933453E-2</v>
      </c>
      <c r="S367" s="9">
        <v>7342686</v>
      </c>
      <c r="T367" s="6">
        <v>-0.01</v>
      </c>
      <c r="U367" s="9">
        <f>IF(Table2[[#This Row],[DU sąnaudos]]=0,0,Table2[[#This Row],[Apyvarta]]-Table2[[#This Row],[DU sąnaudos]]-Table2[[#This Row],[Pelnas]])</f>
        <v>6580021</v>
      </c>
      <c r="V367" s="49">
        <f>IFERROR(Table2[[#This Row],[Ne-atlyginimų sąnaudos]]/U366-1,0)</f>
        <v>6.9579346960786381E-3</v>
      </c>
      <c r="W367" s="9">
        <v>96617</v>
      </c>
      <c r="X367" s="6">
        <v>-0.62</v>
      </c>
      <c r="Y367" s="8">
        <f>Table2[[#This Row],[DU sąnaudos]]*0.43</f>
        <v>286400.64000000001</v>
      </c>
      <c r="Z367" s="8">
        <f>Table2[[#This Row],[Apyvarta]]-Table2[[#This Row],[Ne-atlyginimų sąnaudos]]+Table2[[#This Row],[Fiks ir pelno mokestis]]</f>
        <v>1049065.6400000001</v>
      </c>
    </row>
    <row r="368" spans="1:26" hidden="1" x14ac:dyDescent="0.2">
      <c r="A368" s="5" t="s">
        <v>1566</v>
      </c>
      <c r="B368" t="s">
        <v>1567</v>
      </c>
      <c r="C368">
        <v>2024</v>
      </c>
      <c r="D368" s="5" t="s">
        <v>1721</v>
      </c>
      <c r="E368" s="5" t="s">
        <v>1721</v>
      </c>
      <c r="F368" s="5" t="s">
        <v>1721</v>
      </c>
      <c r="G368" t="s">
        <v>73</v>
      </c>
      <c r="H368" s="5" t="s">
        <v>1721</v>
      </c>
      <c r="I368" s="5" t="s">
        <v>1721</v>
      </c>
      <c r="J368" s="5" t="s">
        <v>1721</v>
      </c>
      <c r="K368" s="5" t="s">
        <v>1721</v>
      </c>
      <c r="L368" s="5" t="s">
        <v>1721</v>
      </c>
      <c r="M368" s="9">
        <v>24</v>
      </c>
      <c r="N368" s="6">
        <f>IFERROR(Table2[[#This Row],[Darbuotojų skaičius]]/M367-1,0)</f>
        <v>0.5</v>
      </c>
      <c r="O368" s="9">
        <v>3549</v>
      </c>
      <c r="P368" s="6">
        <v>0.02</v>
      </c>
      <c r="Q368" s="9">
        <f>Table2[[#This Row],[Atlyginimo vidurkis]]*Table2[[#This Row],[Darbuotojų skaičius]]*12</f>
        <v>1022112</v>
      </c>
      <c r="R368" s="49">
        <f>IFERROR(Table2[[#This Row],[DU sąnaudos]]/Q367-1,0)</f>
        <v>0.53459210147016423</v>
      </c>
      <c r="S368" s="9">
        <v>7514559</v>
      </c>
      <c r="T368" s="6">
        <v>0.02</v>
      </c>
      <c r="U368" s="9">
        <f>IF(Table2[[#This Row],[DU sąnaudos]]=0,0,Table2[[#This Row],[Apyvarta]]-Table2[[#This Row],[DU sąnaudos]]-Table2[[#This Row],[Pelnas]])</f>
        <v>6419504</v>
      </c>
      <c r="V368" s="49">
        <f>IFERROR(Table2[[#This Row],[Ne-atlyginimų sąnaudos]]/U367-1,0)</f>
        <v>-2.4394602995947867E-2</v>
      </c>
      <c r="W368" s="9">
        <v>72943</v>
      </c>
      <c r="X368" s="6">
        <v>-0.25</v>
      </c>
      <c r="Y368" s="8">
        <f>Table2[[#This Row],[DU sąnaudos]]*0.43</f>
        <v>439508.16</v>
      </c>
      <c r="Z368" s="8">
        <f>Table2[[#This Row],[Apyvarta]]-Table2[[#This Row],[Ne-atlyginimų sąnaudos]]+Table2[[#This Row],[Fiks ir pelno mokestis]]</f>
        <v>1534563.16</v>
      </c>
    </row>
    <row r="369" spans="1:26" hidden="1" x14ac:dyDescent="0.2">
      <c r="A369" s="5" t="s">
        <v>1568</v>
      </c>
      <c r="B369" s="5" t="s">
        <v>1569</v>
      </c>
      <c r="C369" s="5">
        <v>2019</v>
      </c>
      <c r="D369" s="5" t="s">
        <v>1721</v>
      </c>
      <c r="E369" s="5" t="s">
        <v>1721</v>
      </c>
      <c r="F369" s="5" t="s">
        <v>1721</v>
      </c>
      <c r="G369" s="5" t="s">
        <v>1721</v>
      </c>
      <c r="H369" s="5" t="s">
        <v>1721</v>
      </c>
      <c r="I369" s="5" t="s">
        <v>1721</v>
      </c>
      <c r="J369" s="5" t="s">
        <v>1721</v>
      </c>
      <c r="K369" s="5" t="s">
        <v>1721</v>
      </c>
      <c r="L369" s="5" t="s">
        <v>301</v>
      </c>
      <c r="M369" s="9">
        <v>0</v>
      </c>
      <c r="N369" s="6">
        <v>0</v>
      </c>
      <c r="O369" s="9">
        <v>0</v>
      </c>
      <c r="P369" s="6">
        <v>0</v>
      </c>
      <c r="Q369" s="9">
        <f>Table2[[#This Row],[Atlyginimo vidurkis]]*Table2[[#This Row],[Darbuotojų skaičius]]*12</f>
        <v>0</v>
      </c>
      <c r="R369" s="49">
        <v>0</v>
      </c>
      <c r="S369" s="9"/>
      <c r="T369" s="6">
        <v>0</v>
      </c>
      <c r="U369" s="9">
        <f>IF(Table2[[#This Row],[DU sąnaudos]]=0,0,Table2[[#This Row],[Apyvarta]]-Table2[[#This Row],[DU sąnaudos]]-Table2[[#This Row],[Pelnas]])</f>
        <v>0</v>
      </c>
      <c r="V369" s="49">
        <v>0</v>
      </c>
      <c r="W369" s="9">
        <v>0</v>
      </c>
      <c r="X369" s="6">
        <v>0</v>
      </c>
      <c r="Y369" s="8">
        <f>Table2[[#This Row],[DU sąnaudos]]*0.43</f>
        <v>0</v>
      </c>
      <c r="Z369" s="8">
        <f>Table2[[#This Row],[Apyvarta]]-Table2[[#This Row],[Ne-atlyginimų sąnaudos]]+Table2[[#This Row],[Fiks ir pelno mokestis]]</f>
        <v>0</v>
      </c>
    </row>
    <row r="370" spans="1:26" hidden="1" x14ac:dyDescent="0.2">
      <c r="A370" s="5" t="s">
        <v>1568</v>
      </c>
      <c r="B370" s="5" t="s">
        <v>1569</v>
      </c>
      <c r="C370" s="5">
        <v>2020</v>
      </c>
      <c r="D370" s="5" t="s">
        <v>1721</v>
      </c>
      <c r="E370" s="5" t="s">
        <v>1721</v>
      </c>
      <c r="F370" s="5" t="s">
        <v>1721</v>
      </c>
      <c r="G370" s="5" t="s">
        <v>1721</v>
      </c>
      <c r="H370" s="5" t="s">
        <v>1721</v>
      </c>
      <c r="I370" s="5" t="s">
        <v>1721</v>
      </c>
      <c r="J370" s="5" t="s">
        <v>1721</v>
      </c>
      <c r="K370" s="5" t="s">
        <v>1721</v>
      </c>
      <c r="L370" s="5" t="s">
        <v>301</v>
      </c>
      <c r="M370" s="9">
        <v>4</v>
      </c>
      <c r="N370" s="6">
        <f>IFERROR(Table2[[#This Row],[Darbuotojų skaičius]]/M369-1,0)</f>
        <v>0</v>
      </c>
      <c r="O370" s="9">
        <v>0</v>
      </c>
      <c r="P370" s="6">
        <v>0</v>
      </c>
      <c r="Q370" s="9">
        <f>Table2[[#This Row],[Atlyginimo vidurkis]]*Table2[[#This Row],[Darbuotojų skaičius]]*12</f>
        <v>0</v>
      </c>
      <c r="R370" s="49">
        <f>IFERROR(Table2[[#This Row],[DU sąnaudos]]/Q369-1,0)</f>
        <v>0</v>
      </c>
      <c r="S370" s="9">
        <v>406060</v>
      </c>
      <c r="T370" s="6">
        <v>0</v>
      </c>
      <c r="U370" s="9">
        <f>IF(Table2[[#This Row],[DU sąnaudos]]=0,0,Table2[[#This Row],[Apyvarta]]-Table2[[#This Row],[DU sąnaudos]]-Table2[[#This Row],[Pelnas]])</f>
        <v>0</v>
      </c>
      <c r="V370" s="49">
        <f>IFERROR(Table2[[#This Row],[Ne-atlyginimų sąnaudos]]/U369-1,0)</f>
        <v>0</v>
      </c>
      <c r="W370" s="9">
        <v>219736</v>
      </c>
      <c r="X370" s="6">
        <v>0</v>
      </c>
      <c r="Y370" s="8">
        <f>Table2[[#This Row],[DU sąnaudos]]*0.43</f>
        <v>0</v>
      </c>
      <c r="Z370" s="8">
        <f>Table2[[#This Row],[Apyvarta]]-Table2[[#This Row],[Ne-atlyginimų sąnaudos]]+Table2[[#This Row],[Fiks ir pelno mokestis]]</f>
        <v>406060</v>
      </c>
    </row>
    <row r="371" spans="1:26" hidden="1" x14ac:dyDescent="0.2">
      <c r="A371" s="5" t="s">
        <v>1568</v>
      </c>
      <c r="B371" s="5" t="s">
        <v>1569</v>
      </c>
      <c r="C371" s="5">
        <v>2021</v>
      </c>
      <c r="D371" s="5" t="s">
        <v>1721</v>
      </c>
      <c r="E371" s="5" t="s">
        <v>1721</v>
      </c>
      <c r="F371" s="5" t="s">
        <v>1721</v>
      </c>
      <c r="G371" s="5" t="s">
        <v>1721</v>
      </c>
      <c r="H371" s="5" t="s">
        <v>1721</v>
      </c>
      <c r="I371" s="5" t="s">
        <v>1721</v>
      </c>
      <c r="J371" s="5" t="s">
        <v>1721</v>
      </c>
      <c r="K371" s="5" t="s">
        <v>1721</v>
      </c>
      <c r="L371" s="5" t="s">
        <v>301</v>
      </c>
      <c r="M371" s="9">
        <v>4</v>
      </c>
      <c r="N371" s="6">
        <f>IFERROR(Table2[[#This Row],[Darbuotojų skaičius]]/M370-1,0)</f>
        <v>0</v>
      </c>
      <c r="O371" s="9">
        <v>0</v>
      </c>
      <c r="P371" s="6">
        <v>0</v>
      </c>
      <c r="Q371" s="9">
        <f>Table2[[#This Row],[Atlyginimo vidurkis]]*Table2[[#This Row],[Darbuotojų skaičius]]*12</f>
        <v>0</v>
      </c>
      <c r="R371" s="49">
        <f>IFERROR(Table2[[#This Row],[DU sąnaudos]]/Q370-1,0)</f>
        <v>0</v>
      </c>
      <c r="S371" s="9">
        <v>438095</v>
      </c>
      <c r="T371" s="6">
        <v>7.8892281928778951E-2</v>
      </c>
      <c r="U371" s="9">
        <f>IF(Table2[[#This Row],[DU sąnaudos]]=0,0,Table2[[#This Row],[Apyvarta]]-Table2[[#This Row],[DU sąnaudos]]-Table2[[#This Row],[Pelnas]])</f>
        <v>0</v>
      </c>
      <c r="V371" s="49">
        <f>IFERROR(Table2[[#This Row],[Ne-atlyginimų sąnaudos]]/U370-1,0)</f>
        <v>0</v>
      </c>
      <c r="W371" s="9">
        <v>205405</v>
      </c>
      <c r="X371" s="6">
        <v>-6.5219172097426004E-2</v>
      </c>
      <c r="Y371" s="8">
        <f>Table2[[#This Row],[DU sąnaudos]]*0.43</f>
        <v>0</v>
      </c>
      <c r="Z371" s="8">
        <f>Table2[[#This Row],[Apyvarta]]-Table2[[#This Row],[Ne-atlyginimų sąnaudos]]+Table2[[#This Row],[Fiks ir pelno mokestis]]</f>
        <v>438095</v>
      </c>
    </row>
    <row r="372" spans="1:26" hidden="1" x14ac:dyDescent="0.2">
      <c r="A372" s="5" t="s">
        <v>1568</v>
      </c>
      <c r="B372" s="5" t="s">
        <v>1569</v>
      </c>
      <c r="C372" s="5">
        <v>2022</v>
      </c>
      <c r="D372" s="5" t="s">
        <v>1721</v>
      </c>
      <c r="E372" s="5" t="s">
        <v>1721</v>
      </c>
      <c r="F372" s="5" t="s">
        <v>1721</v>
      </c>
      <c r="G372" s="5" t="s">
        <v>1721</v>
      </c>
      <c r="H372" s="5" t="s">
        <v>1721</v>
      </c>
      <c r="I372" s="5" t="s">
        <v>1721</v>
      </c>
      <c r="J372" s="5" t="s">
        <v>1721</v>
      </c>
      <c r="K372" s="5" t="s">
        <v>1721</v>
      </c>
      <c r="L372" s="5" t="s">
        <v>301</v>
      </c>
      <c r="M372" s="9">
        <v>5</v>
      </c>
      <c r="N372" s="6">
        <f>IFERROR(Table2[[#This Row],[Darbuotojų skaičius]]/M371-1,0)</f>
        <v>0.25</v>
      </c>
      <c r="O372" s="9">
        <v>0</v>
      </c>
      <c r="P372" s="6">
        <v>0</v>
      </c>
      <c r="Q372" s="9">
        <f>Table2[[#This Row],[Atlyginimo vidurkis]]*Table2[[#This Row],[Darbuotojų skaičius]]*12</f>
        <v>0</v>
      </c>
      <c r="R372" s="49">
        <f>IFERROR(Table2[[#This Row],[DU sąnaudos]]/Q371-1,0)</f>
        <v>0</v>
      </c>
      <c r="S372" s="9">
        <v>437017</v>
      </c>
      <c r="T372" s="6">
        <v>-2.4606535112247085E-3</v>
      </c>
      <c r="U372" s="9">
        <f>IF(Table2[[#This Row],[DU sąnaudos]]=0,0,Table2[[#This Row],[Apyvarta]]-Table2[[#This Row],[DU sąnaudos]]-Table2[[#This Row],[Pelnas]])</f>
        <v>0</v>
      </c>
      <c r="V372" s="49">
        <f>IFERROR(Table2[[#This Row],[Ne-atlyginimų sąnaudos]]/U371-1,0)</f>
        <v>0</v>
      </c>
      <c r="W372" s="9">
        <v>196417</v>
      </c>
      <c r="X372" s="6">
        <v>-4.3757454784450256E-2</v>
      </c>
      <c r="Y372" s="8">
        <f>Table2[[#This Row],[DU sąnaudos]]*0.43</f>
        <v>0</v>
      </c>
      <c r="Z372" s="8">
        <f>Table2[[#This Row],[Apyvarta]]-Table2[[#This Row],[Ne-atlyginimų sąnaudos]]+Table2[[#This Row],[Fiks ir pelno mokestis]]</f>
        <v>437017</v>
      </c>
    </row>
    <row r="373" spans="1:26" hidden="1" x14ac:dyDescent="0.2">
      <c r="A373" s="5" t="s">
        <v>1568</v>
      </c>
      <c r="B373" s="5" t="s">
        <v>1569</v>
      </c>
      <c r="C373" s="5">
        <v>2023</v>
      </c>
      <c r="D373" s="5" t="s">
        <v>1721</v>
      </c>
      <c r="E373" s="5" t="s">
        <v>1721</v>
      </c>
      <c r="F373" s="5" t="s">
        <v>1721</v>
      </c>
      <c r="G373" s="5" t="s">
        <v>1721</v>
      </c>
      <c r="H373" s="5" t="s">
        <v>1721</v>
      </c>
      <c r="I373" s="5" t="s">
        <v>1721</v>
      </c>
      <c r="J373" s="5" t="s">
        <v>1721</v>
      </c>
      <c r="K373" s="5" t="s">
        <v>1721</v>
      </c>
      <c r="L373" s="5" t="s">
        <v>301</v>
      </c>
      <c r="M373" s="9">
        <v>6</v>
      </c>
      <c r="N373" s="6">
        <f>IFERROR(Table2[[#This Row],[Darbuotojų skaičius]]/M372-1,0)</f>
        <v>0.19999999999999996</v>
      </c>
      <c r="O373" s="9">
        <v>3300</v>
      </c>
      <c r="P373" s="6">
        <v>0</v>
      </c>
      <c r="Q373" s="9">
        <f>Table2[[#This Row],[Atlyginimo vidurkis]]*Table2[[#This Row],[Darbuotojų skaičius]]*12</f>
        <v>237600</v>
      </c>
      <c r="R373" s="49">
        <f>IFERROR(Table2[[#This Row],[DU sąnaudos]]/Q372-1,0)</f>
        <v>0</v>
      </c>
      <c r="S373" s="9">
        <v>565400</v>
      </c>
      <c r="T373" s="6">
        <v>0.29377118052615803</v>
      </c>
      <c r="U373" s="9">
        <f>IF(Table2[[#This Row],[DU sąnaudos]]=0,0,Table2[[#This Row],[Apyvarta]]-Table2[[#This Row],[DU sąnaudos]]-Table2[[#This Row],[Pelnas]])</f>
        <v>47267</v>
      </c>
      <c r="V373" s="49">
        <f>IFERROR(Table2[[#This Row],[Ne-atlyginimų sąnaudos]]/U372-1,0)</f>
        <v>0</v>
      </c>
      <c r="W373" s="9">
        <v>280533</v>
      </c>
      <c r="X373" s="6">
        <v>0.42825213703498166</v>
      </c>
      <c r="Y373" s="8">
        <f>Table2[[#This Row],[DU sąnaudos]]*0.43</f>
        <v>102168</v>
      </c>
      <c r="Z373" s="8">
        <f>Table2[[#This Row],[Apyvarta]]-Table2[[#This Row],[Ne-atlyginimų sąnaudos]]+Table2[[#This Row],[Fiks ir pelno mokestis]]</f>
        <v>620301</v>
      </c>
    </row>
    <row r="374" spans="1:26" hidden="1" x14ac:dyDescent="0.2">
      <c r="A374" s="5" t="s">
        <v>1568</v>
      </c>
      <c r="B374" s="5" t="s">
        <v>1569</v>
      </c>
      <c r="C374" s="5">
        <v>2024</v>
      </c>
      <c r="D374" s="5" t="s">
        <v>1721</v>
      </c>
      <c r="E374" s="5" t="s">
        <v>1721</v>
      </c>
      <c r="F374" s="5" t="s">
        <v>1721</v>
      </c>
      <c r="G374" s="5" t="s">
        <v>1721</v>
      </c>
      <c r="H374" s="5" t="s">
        <v>1721</v>
      </c>
      <c r="I374" s="5" t="s">
        <v>1721</v>
      </c>
      <c r="J374" s="5" t="s">
        <v>1721</v>
      </c>
      <c r="K374" s="5" t="s">
        <v>1721</v>
      </c>
      <c r="L374" s="5" t="s">
        <v>301</v>
      </c>
      <c r="M374" s="9">
        <v>5</v>
      </c>
      <c r="N374" s="6">
        <f>IFERROR(Table2[[#This Row],[Darbuotojų skaičius]]/M373-1,0)</f>
        <v>-0.16666666666666663</v>
      </c>
      <c r="O374" s="9">
        <v>3000</v>
      </c>
      <c r="P374" s="6">
        <f>Table2[[#This Row],[Atlyginimo vidurkis]]/O373-1</f>
        <v>-9.0909090909090939E-2</v>
      </c>
      <c r="Q374" s="9">
        <f>Table2[[#This Row],[Atlyginimo vidurkis]]*Table2[[#This Row],[Darbuotojų skaičius]]*12</f>
        <v>180000</v>
      </c>
      <c r="R374" s="49">
        <f>IFERROR(Table2[[#This Row],[DU sąnaudos]]/Q373-1,0)</f>
        <v>-0.24242424242424243</v>
      </c>
      <c r="S374" s="9">
        <v>595916</v>
      </c>
      <c r="T374" s="6">
        <v>5.3972408914043202E-2</v>
      </c>
      <c r="U374" s="9">
        <f>IF(Table2[[#This Row],[DU sąnaudos]]=0,0,Table2[[#This Row],[Apyvarta]]-Table2[[#This Row],[DU sąnaudos]]-Table2[[#This Row],[Pelnas]])</f>
        <v>155264</v>
      </c>
      <c r="V374" s="49">
        <f>IFERROR(Table2[[#This Row],[Ne-atlyginimų sąnaudos]]/U373-1,0)</f>
        <v>2.2848287388664397</v>
      </c>
      <c r="W374" s="9">
        <v>260652</v>
      </c>
      <c r="X374" s="6">
        <v>-7.0868667857257428E-2</v>
      </c>
      <c r="Y374" s="8">
        <f>Table2[[#This Row],[DU sąnaudos]]*0.43</f>
        <v>77400</v>
      </c>
      <c r="Z374" s="8">
        <f>Table2[[#This Row],[Apyvarta]]-Table2[[#This Row],[Ne-atlyginimų sąnaudos]]+Table2[[#This Row],[Fiks ir pelno mokestis]]</f>
        <v>518052</v>
      </c>
    </row>
    <row r="375" spans="1:26" hidden="1" x14ac:dyDescent="0.2">
      <c r="A375" s="5" t="s">
        <v>1045</v>
      </c>
      <c r="B375" s="5" t="s">
        <v>1572</v>
      </c>
      <c r="C375" s="5">
        <v>2019</v>
      </c>
      <c r="D375" s="5" t="s">
        <v>1721</v>
      </c>
      <c r="E375" s="5" t="s">
        <v>1721</v>
      </c>
      <c r="F375" s="5" t="s">
        <v>1721</v>
      </c>
      <c r="G375" s="5" t="s">
        <v>1721</v>
      </c>
      <c r="H375" s="5" t="s">
        <v>1721</v>
      </c>
      <c r="I375" s="5" t="s">
        <v>280</v>
      </c>
      <c r="J375" s="5" t="s">
        <v>1721</v>
      </c>
      <c r="K375" s="5" t="s">
        <v>1721</v>
      </c>
      <c r="L375" s="5" t="s">
        <v>1721</v>
      </c>
      <c r="M375" s="9">
        <v>17</v>
      </c>
      <c r="N375" s="6">
        <v>0</v>
      </c>
      <c r="O375" s="9">
        <v>1294</v>
      </c>
      <c r="P375" s="6">
        <v>0</v>
      </c>
      <c r="Q375" s="9">
        <f>Table2[[#This Row],[Atlyginimo vidurkis]]*Table2[[#This Row],[Darbuotojų skaičius]]*12</f>
        <v>263976</v>
      </c>
      <c r="R375" s="49">
        <v>0</v>
      </c>
      <c r="S375" s="9">
        <v>1122291</v>
      </c>
      <c r="T375" s="6">
        <v>0</v>
      </c>
      <c r="U375" s="9">
        <f>IF(Table2[[#This Row],[DU sąnaudos]]=0,0,Table2[[#This Row],[Apyvarta]]-Table2[[#This Row],[DU sąnaudos]]-Table2[[#This Row],[Pelnas]])</f>
        <v>840955</v>
      </c>
      <c r="V375" s="49">
        <v>0</v>
      </c>
      <c r="W375" s="9">
        <v>17360</v>
      </c>
      <c r="X375" s="6">
        <v>0</v>
      </c>
      <c r="Y375" s="8">
        <f>Table2[[#This Row],[DU sąnaudos]]*0.43</f>
        <v>113509.68</v>
      </c>
      <c r="Z375" s="8">
        <f>Table2[[#This Row],[Apyvarta]]-Table2[[#This Row],[Ne-atlyginimų sąnaudos]]+Table2[[#This Row],[Fiks ir pelno mokestis]]</f>
        <v>394845.68</v>
      </c>
    </row>
    <row r="376" spans="1:26" hidden="1" x14ac:dyDescent="0.2">
      <c r="A376" s="5" t="s">
        <v>1045</v>
      </c>
      <c r="B376" s="5" t="s">
        <v>1572</v>
      </c>
      <c r="C376" s="5">
        <v>2020</v>
      </c>
      <c r="D376" s="5" t="s">
        <v>1721</v>
      </c>
      <c r="E376" s="5" t="s">
        <v>1721</v>
      </c>
      <c r="F376" s="5" t="s">
        <v>1721</v>
      </c>
      <c r="G376" s="5" t="s">
        <v>1721</v>
      </c>
      <c r="H376" s="5" t="s">
        <v>1721</v>
      </c>
      <c r="I376" s="5" t="s">
        <v>280</v>
      </c>
      <c r="J376" s="5" t="s">
        <v>1721</v>
      </c>
      <c r="K376" s="5" t="s">
        <v>1721</v>
      </c>
      <c r="L376" s="5" t="s">
        <v>1721</v>
      </c>
      <c r="M376" s="9">
        <v>17</v>
      </c>
      <c r="N376" s="6">
        <f>IFERROR(Table2[[#This Row],[Darbuotojų skaičius]]/M375-1,0)</f>
        <v>0</v>
      </c>
      <c r="O376" s="9">
        <v>1444</v>
      </c>
      <c r="P376" s="6">
        <v>0.1159196290571871</v>
      </c>
      <c r="Q376" s="9">
        <f>Table2[[#This Row],[Atlyginimo vidurkis]]*Table2[[#This Row],[Darbuotojų skaičius]]*12</f>
        <v>294576</v>
      </c>
      <c r="R376" s="49">
        <f>IFERROR(Table2[[#This Row],[DU sąnaudos]]/Q375-1,0)</f>
        <v>0.11591962905718711</v>
      </c>
      <c r="S376" s="9">
        <v>1618920</v>
      </c>
      <c r="T376" s="6">
        <v>0.44251357268302072</v>
      </c>
      <c r="U376" s="9">
        <f>IF(Table2[[#This Row],[DU sąnaudos]]=0,0,Table2[[#This Row],[Apyvarta]]-Table2[[#This Row],[DU sąnaudos]]-Table2[[#This Row],[Pelnas]])</f>
        <v>1289776</v>
      </c>
      <c r="V376" s="49">
        <f>IFERROR(Table2[[#This Row],[Ne-atlyginimų sąnaudos]]/U375-1,0)</f>
        <v>0.53370394373063967</v>
      </c>
      <c r="W376" s="9">
        <v>34568</v>
      </c>
      <c r="X376" s="6">
        <v>0.99124423963133634</v>
      </c>
      <c r="Y376" s="8">
        <f>Table2[[#This Row],[DU sąnaudos]]*0.43</f>
        <v>126667.68</v>
      </c>
      <c r="Z376" s="8">
        <f>Table2[[#This Row],[Apyvarta]]-Table2[[#This Row],[Ne-atlyginimų sąnaudos]]+Table2[[#This Row],[Fiks ir pelno mokestis]]</f>
        <v>455811.68</v>
      </c>
    </row>
    <row r="377" spans="1:26" hidden="1" x14ac:dyDescent="0.2">
      <c r="A377" s="5" t="s">
        <v>1045</v>
      </c>
      <c r="B377" s="5" t="s">
        <v>1572</v>
      </c>
      <c r="C377" s="5">
        <v>2021</v>
      </c>
      <c r="D377" s="5" t="s">
        <v>1721</v>
      </c>
      <c r="E377" s="5" t="s">
        <v>1721</v>
      </c>
      <c r="F377" s="5" t="s">
        <v>1721</v>
      </c>
      <c r="G377" s="5" t="s">
        <v>1721</v>
      </c>
      <c r="H377" s="5" t="s">
        <v>1721</v>
      </c>
      <c r="I377" s="5" t="s">
        <v>280</v>
      </c>
      <c r="J377" s="5" t="s">
        <v>1721</v>
      </c>
      <c r="K377" s="5" t="s">
        <v>1721</v>
      </c>
      <c r="L377" s="5" t="s">
        <v>1721</v>
      </c>
      <c r="M377" s="9">
        <v>19</v>
      </c>
      <c r="N377" s="6">
        <f>IFERROR(Table2[[#This Row],[Darbuotojų skaičius]]/M376-1,0)</f>
        <v>0.11764705882352944</v>
      </c>
      <c r="O377" s="9">
        <v>1588</v>
      </c>
      <c r="P377" s="6">
        <v>9.9722991689750629E-2</v>
      </c>
      <c r="Q377" s="9">
        <f>Table2[[#This Row],[Atlyginimo vidurkis]]*Table2[[#This Row],[Darbuotojų skaičius]]*12</f>
        <v>362064</v>
      </c>
      <c r="R377" s="49">
        <f>IFERROR(Table2[[#This Row],[DU sąnaudos]]/Q376-1,0)</f>
        <v>0.22910216718266252</v>
      </c>
      <c r="S377" s="9">
        <v>1476904</v>
      </c>
      <c r="T377" s="6">
        <v>-8.7722679317075558E-2</v>
      </c>
      <c r="U377" s="9">
        <f>IF(Table2[[#This Row],[DU sąnaudos]]=0,0,Table2[[#This Row],[Apyvarta]]-Table2[[#This Row],[DU sąnaudos]]-Table2[[#This Row],[Pelnas]])</f>
        <v>1092461</v>
      </c>
      <c r="V377" s="49">
        <f>IFERROR(Table2[[#This Row],[Ne-atlyginimų sąnaudos]]/U376-1,0)</f>
        <v>-0.15298392899232116</v>
      </c>
      <c r="W377" s="9">
        <v>22379</v>
      </c>
      <c r="X377" s="6">
        <v>-0.35260934968757229</v>
      </c>
      <c r="Y377" s="8">
        <f>Table2[[#This Row],[DU sąnaudos]]*0.43</f>
        <v>155687.51999999999</v>
      </c>
      <c r="Z377" s="8">
        <f>Table2[[#This Row],[Apyvarta]]-Table2[[#This Row],[Ne-atlyginimų sąnaudos]]+Table2[[#This Row],[Fiks ir pelno mokestis]]</f>
        <v>540130.52</v>
      </c>
    </row>
    <row r="378" spans="1:26" hidden="1" x14ac:dyDescent="0.2">
      <c r="A378" s="5" t="s">
        <v>1045</v>
      </c>
      <c r="B378" s="5" t="s">
        <v>1572</v>
      </c>
      <c r="C378" s="5">
        <v>2022</v>
      </c>
      <c r="D378" s="5" t="s">
        <v>1721</v>
      </c>
      <c r="E378" s="5" t="s">
        <v>1721</v>
      </c>
      <c r="F378" s="5" t="s">
        <v>1721</v>
      </c>
      <c r="G378" s="5" t="s">
        <v>1721</v>
      </c>
      <c r="H378" s="5" t="s">
        <v>1721</v>
      </c>
      <c r="I378" s="5" t="s">
        <v>280</v>
      </c>
      <c r="J378" s="5" t="s">
        <v>1721</v>
      </c>
      <c r="K378" s="5" t="s">
        <v>1721</v>
      </c>
      <c r="L378" s="5" t="s">
        <v>1721</v>
      </c>
      <c r="M378" s="9">
        <v>20</v>
      </c>
      <c r="N378" s="6">
        <f>IFERROR(Table2[[#This Row],[Darbuotojų skaičius]]/M377-1,0)</f>
        <v>5.2631578947368363E-2</v>
      </c>
      <c r="O378" s="9">
        <v>1811</v>
      </c>
      <c r="P378" s="6">
        <v>0.1404282115869018</v>
      </c>
      <c r="Q378" s="9">
        <f>Table2[[#This Row],[Atlyginimo vidurkis]]*Table2[[#This Row],[Darbuotojų skaičius]]*12</f>
        <v>434640</v>
      </c>
      <c r="R378" s="49">
        <f>IFERROR(Table2[[#This Row],[DU sąnaudos]]/Q377-1,0)</f>
        <v>0.20045074903884386</v>
      </c>
      <c r="S378" s="9">
        <v>2039056</v>
      </c>
      <c r="T378" s="6">
        <v>0.38062866645360832</v>
      </c>
      <c r="U378" s="9">
        <f>IF(Table2[[#This Row],[DU sąnaudos]]=0,0,Table2[[#This Row],[Apyvarta]]-Table2[[#This Row],[DU sąnaudos]]-Table2[[#This Row],[Pelnas]])</f>
        <v>1581977</v>
      </c>
      <c r="V378" s="49">
        <f>IFERROR(Table2[[#This Row],[Ne-atlyginimų sąnaudos]]/U377-1,0)</f>
        <v>0.44808556094908658</v>
      </c>
      <c r="W378" s="9">
        <v>22439</v>
      </c>
      <c r="X378" s="6">
        <v>2.6810849457079571E-3</v>
      </c>
      <c r="Y378" s="8">
        <f>Table2[[#This Row],[DU sąnaudos]]*0.43</f>
        <v>186895.2</v>
      </c>
      <c r="Z378" s="8">
        <f>Table2[[#This Row],[Apyvarta]]-Table2[[#This Row],[Ne-atlyginimų sąnaudos]]+Table2[[#This Row],[Fiks ir pelno mokestis]]</f>
        <v>643974.19999999995</v>
      </c>
    </row>
    <row r="379" spans="1:26" hidden="1" x14ac:dyDescent="0.2">
      <c r="A379" s="5" t="s">
        <v>1045</v>
      </c>
      <c r="B379" s="5" t="s">
        <v>1572</v>
      </c>
      <c r="C379" s="5">
        <v>2023</v>
      </c>
      <c r="D379" s="5" t="s">
        <v>1721</v>
      </c>
      <c r="E379" s="5" t="s">
        <v>1721</v>
      </c>
      <c r="F379" s="5" t="s">
        <v>1721</v>
      </c>
      <c r="G379" s="5" t="s">
        <v>1721</v>
      </c>
      <c r="H379" s="5" t="s">
        <v>1721</v>
      </c>
      <c r="I379" s="5" t="s">
        <v>280</v>
      </c>
      <c r="J379" s="5" t="s">
        <v>1721</v>
      </c>
      <c r="K379" s="5" t="s">
        <v>1721</v>
      </c>
      <c r="L379" s="5" t="s">
        <v>1721</v>
      </c>
      <c r="M379" s="9">
        <v>21</v>
      </c>
      <c r="N379" s="6">
        <f>IFERROR(Table2[[#This Row],[Darbuotojų skaičius]]/M378-1,0)</f>
        <v>5.0000000000000044E-2</v>
      </c>
      <c r="O379" s="9">
        <v>1954</v>
      </c>
      <c r="P379" s="6">
        <v>7.8961899503037003E-2</v>
      </c>
      <c r="Q379" s="9">
        <f>Table2[[#This Row],[Atlyginimo vidurkis]]*Table2[[#This Row],[Darbuotojų skaičius]]*12</f>
        <v>492408</v>
      </c>
      <c r="R379" s="49">
        <f>IFERROR(Table2[[#This Row],[DU sąnaudos]]/Q378-1,0)</f>
        <v>0.13290999447818885</v>
      </c>
      <c r="S379" s="9">
        <v>2020450</v>
      </c>
      <c r="T379" s="6">
        <v>-9.1248106967145581E-3</v>
      </c>
      <c r="U379" s="9">
        <f>IF(Table2[[#This Row],[DU sąnaudos]]=0,0,Table2[[#This Row],[Apyvarta]]-Table2[[#This Row],[DU sąnaudos]]-Table2[[#This Row],[Pelnas]])</f>
        <v>1497882</v>
      </c>
      <c r="V379" s="49">
        <f>IFERROR(Table2[[#This Row],[Ne-atlyginimų sąnaudos]]/U378-1,0)</f>
        <v>-5.315816854480182E-2</v>
      </c>
      <c r="W379" s="9">
        <v>30160</v>
      </c>
      <c r="X379" s="6">
        <v>0.34408841748741043</v>
      </c>
      <c r="Y379" s="8">
        <f>Table2[[#This Row],[DU sąnaudos]]*0.43</f>
        <v>211735.44</v>
      </c>
      <c r="Z379" s="8">
        <f>Table2[[#This Row],[Apyvarta]]-Table2[[#This Row],[Ne-atlyginimų sąnaudos]]+Table2[[#This Row],[Fiks ir pelno mokestis]]</f>
        <v>734303.44</v>
      </c>
    </row>
    <row r="380" spans="1:26" hidden="1" x14ac:dyDescent="0.2">
      <c r="A380" s="5" t="s">
        <v>1045</v>
      </c>
      <c r="B380" s="5" t="s">
        <v>1572</v>
      </c>
      <c r="C380" s="5">
        <v>2024</v>
      </c>
      <c r="D380" s="5" t="s">
        <v>1721</v>
      </c>
      <c r="E380" s="5" t="s">
        <v>1721</v>
      </c>
      <c r="F380" s="5" t="s">
        <v>1721</v>
      </c>
      <c r="G380" s="5" t="s">
        <v>1721</v>
      </c>
      <c r="H380" s="5" t="s">
        <v>1721</v>
      </c>
      <c r="I380" s="5" t="s">
        <v>280</v>
      </c>
      <c r="J380" s="5" t="s">
        <v>1721</v>
      </c>
      <c r="K380" s="5" t="s">
        <v>1721</v>
      </c>
      <c r="L380" s="5" t="s">
        <v>1721</v>
      </c>
      <c r="M380" s="9">
        <v>20</v>
      </c>
      <c r="N380" s="6">
        <f>IFERROR(Table2[[#This Row],[Darbuotojų skaičius]]/M379-1,0)</f>
        <v>-4.7619047619047672E-2</v>
      </c>
      <c r="O380" s="9">
        <v>2318</v>
      </c>
      <c r="P380" s="6">
        <v>0.1862845445240533</v>
      </c>
      <c r="Q380" s="9">
        <f>Table2[[#This Row],[Atlyginimo vidurkis]]*Table2[[#This Row],[Darbuotojų skaičius]]*12</f>
        <v>556320</v>
      </c>
      <c r="R380" s="49">
        <f>IFERROR(Table2[[#This Row],[DU sąnaudos]]/Q379-1,0)</f>
        <v>0.12979480430862211</v>
      </c>
      <c r="S380" s="20">
        <v>1696197</v>
      </c>
      <c r="T380" s="6">
        <v>-0.16048553540052957</v>
      </c>
      <c r="U380" s="9">
        <f>IF(Table2[[#This Row],[DU sąnaudos]]=0,0,Table2[[#This Row],[Apyvarta]]-Table2[[#This Row],[DU sąnaudos]]-Table2[[#This Row],[Pelnas]])</f>
        <v>1204896</v>
      </c>
      <c r="V380" s="49">
        <f>IFERROR(Table2[[#This Row],[Ne-atlyginimų sąnaudos]]/U379-1,0)</f>
        <v>-0.1956001874647002</v>
      </c>
      <c r="W380" s="9">
        <v>-65019</v>
      </c>
      <c r="X380" s="6">
        <v>-3.1558023872679044</v>
      </c>
      <c r="Y380" s="8">
        <f>Table2[[#This Row],[DU sąnaudos]]*0.43</f>
        <v>239217.6</v>
      </c>
      <c r="Z380" s="8">
        <f>Table2[[#This Row],[Apyvarta]]-Table2[[#This Row],[Ne-atlyginimų sąnaudos]]+Table2[[#This Row],[Fiks ir pelno mokestis]]</f>
        <v>730518.6</v>
      </c>
    </row>
    <row r="381" spans="1:26" hidden="1" x14ac:dyDescent="0.2">
      <c r="A381" s="5" t="s">
        <v>1576</v>
      </c>
      <c r="B381" s="5" t="s">
        <v>1577</v>
      </c>
      <c r="C381" s="5">
        <v>2019</v>
      </c>
      <c r="D381" s="5" t="s">
        <v>1721</v>
      </c>
      <c r="E381" s="5" t="s">
        <v>1721</v>
      </c>
      <c r="F381" s="5" t="s">
        <v>1721</v>
      </c>
      <c r="G381" s="5" t="s">
        <v>1721</v>
      </c>
      <c r="H381" s="5" t="s">
        <v>1721</v>
      </c>
      <c r="I381" s="5" t="s">
        <v>280</v>
      </c>
      <c r="J381" s="5" t="s">
        <v>1721</v>
      </c>
      <c r="K381" s="5" t="s">
        <v>1721</v>
      </c>
      <c r="L381" s="5" t="s">
        <v>1721</v>
      </c>
      <c r="M381" s="9">
        <v>16</v>
      </c>
      <c r="N381" s="6">
        <v>0</v>
      </c>
      <c r="O381" s="9">
        <v>1952</v>
      </c>
      <c r="P381" s="6">
        <v>0</v>
      </c>
      <c r="Q381" s="9">
        <f>Table2[[#This Row],[Atlyginimo vidurkis]]*Table2[[#This Row],[Darbuotojų skaičius]]*12</f>
        <v>374784</v>
      </c>
      <c r="R381" s="49">
        <v>0</v>
      </c>
      <c r="S381" s="9">
        <v>1642462</v>
      </c>
      <c r="T381" s="6">
        <v>0</v>
      </c>
      <c r="U381" s="9">
        <f>IF(Table2[[#This Row],[DU sąnaudos]]=0,0,Table2[[#This Row],[Apyvarta]]-Table2[[#This Row],[DU sąnaudos]]-Table2[[#This Row],[Pelnas]])</f>
        <v>1261910</v>
      </c>
      <c r="V381" s="49">
        <v>0</v>
      </c>
      <c r="W381" s="9">
        <v>5768</v>
      </c>
      <c r="X381" s="6">
        <v>0</v>
      </c>
      <c r="Y381" s="8">
        <f>Table2[[#This Row],[DU sąnaudos]]*0.43</f>
        <v>161157.12</v>
      </c>
      <c r="Z381" s="8">
        <f>Table2[[#This Row],[Apyvarta]]-Table2[[#This Row],[Ne-atlyginimų sąnaudos]]+Table2[[#This Row],[Fiks ir pelno mokestis]]</f>
        <v>541709.12</v>
      </c>
    </row>
    <row r="382" spans="1:26" hidden="1" x14ac:dyDescent="0.2">
      <c r="A382" s="5" t="s">
        <v>1576</v>
      </c>
      <c r="B382" s="5" t="s">
        <v>1577</v>
      </c>
      <c r="C382" s="5">
        <v>2020</v>
      </c>
      <c r="D382" s="5" t="s">
        <v>1721</v>
      </c>
      <c r="E382" s="5" t="s">
        <v>1721</v>
      </c>
      <c r="F382" s="5" t="s">
        <v>1721</v>
      </c>
      <c r="G382" s="5" t="s">
        <v>1721</v>
      </c>
      <c r="H382" s="5" t="s">
        <v>1721</v>
      </c>
      <c r="I382" s="5" t="s">
        <v>280</v>
      </c>
      <c r="J382" s="5" t="s">
        <v>1721</v>
      </c>
      <c r="K382" s="5" t="s">
        <v>1721</v>
      </c>
      <c r="L382" s="5" t="s">
        <v>1721</v>
      </c>
      <c r="M382" s="9">
        <v>19</v>
      </c>
      <c r="N382" s="6">
        <f>IFERROR(Table2[[#This Row],[Darbuotojų skaičius]]/M381-1,0)</f>
        <v>0.1875</v>
      </c>
      <c r="O382" s="9">
        <v>1803</v>
      </c>
      <c r="P382" s="6">
        <v>-7.6331967213114749E-2</v>
      </c>
      <c r="Q382" s="9">
        <f>Table2[[#This Row],[Atlyginimo vidurkis]]*Table2[[#This Row],[Darbuotojų skaičius]]*12</f>
        <v>411084</v>
      </c>
      <c r="R382" s="49">
        <f>IFERROR(Table2[[#This Row],[DU sąnaudos]]/Q381-1,0)</f>
        <v>9.6855788934426146E-2</v>
      </c>
      <c r="S382" s="9">
        <v>2170995</v>
      </c>
      <c r="T382" s="6">
        <v>0.32179313737547649</v>
      </c>
      <c r="U382" s="9">
        <f>IF(Table2[[#This Row],[DU sąnaudos]]=0,0,Table2[[#This Row],[Apyvarta]]-Table2[[#This Row],[DU sąnaudos]]-Table2[[#This Row],[Pelnas]])</f>
        <v>1754931</v>
      </c>
      <c r="V382" s="49">
        <f>IFERROR(Table2[[#This Row],[Ne-atlyginimų sąnaudos]]/U381-1,0)</f>
        <v>0.39069426504267346</v>
      </c>
      <c r="W382" s="9">
        <v>4980</v>
      </c>
      <c r="X382" s="6">
        <v>-0.136615811373093</v>
      </c>
      <c r="Y382" s="8">
        <f>Table2[[#This Row],[DU sąnaudos]]*0.43</f>
        <v>176766.12</v>
      </c>
      <c r="Z382" s="8">
        <f>Table2[[#This Row],[Apyvarta]]-Table2[[#This Row],[Ne-atlyginimų sąnaudos]]+Table2[[#This Row],[Fiks ir pelno mokestis]]</f>
        <v>592830.12</v>
      </c>
    </row>
    <row r="383" spans="1:26" hidden="1" x14ac:dyDescent="0.2">
      <c r="A383" s="5" t="s">
        <v>1576</v>
      </c>
      <c r="B383" s="5" t="s">
        <v>1577</v>
      </c>
      <c r="C383" s="5">
        <v>2021</v>
      </c>
      <c r="D383" s="5" t="s">
        <v>1721</v>
      </c>
      <c r="E383" s="5" t="s">
        <v>1721</v>
      </c>
      <c r="F383" s="5" t="s">
        <v>1721</v>
      </c>
      <c r="G383" s="5" t="s">
        <v>1721</v>
      </c>
      <c r="H383" s="5" t="s">
        <v>1721</v>
      </c>
      <c r="I383" s="5" t="s">
        <v>280</v>
      </c>
      <c r="J383" s="5" t="s">
        <v>1721</v>
      </c>
      <c r="K383" s="5" t="s">
        <v>1721</v>
      </c>
      <c r="L383" s="5" t="s">
        <v>1721</v>
      </c>
      <c r="M383" s="9">
        <v>23</v>
      </c>
      <c r="N383" s="6">
        <f>IFERROR(Table2[[#This Row],[Darbuotojų skaičius]]/M382-1,0)</f>
        <v>0.21052631578947367</v>
      </c>
      <c r="O383" s="9">
        <v>1970</v>
      </c>
      <c r="P383" s="6">
        <v>9.2623405435385386E-2</v>
      </c>
      <c r="Q383" s="9">
        <f>Table2[[#This Row],[Atlyginimo vidurkis]]*Table2[[#This Row],[Darbuotojų skaičius]]*12</f>
        <v>543720</v>
      </c>
      <c r="R383" s="49">
        <f>IFERROR(Table2[[#This Row],[DU sąnaudos]]/Q382-1,0)</f>
        <v>0.32264938552704558</v>
      </c>
      <c r="S383" s="9">
        <v>2012184</v>
      </c>
      <c r="T383" s="6">
        <v>-7.3151250924115452E-2</v>
      </c>
      <c r="U383" s="9">
        <f>IF(Table2[[#This Row],[DU sąnaudos]]=0,0,Table2[[#This Row],[Apyvarta]]-Table2[[#This Row],[DU sąnaudos]]-Table2[[#This Row],[Pelnas]])</f>
        <v>1561683</v>
      </c>
      <c r="V383" s="49">
        <f>IFERROR(Table2[[#This Row],[Ne-atlyginimų sąnaudos]]/U382-1,0)</f>
        <v>-0.11011714990503896</v>
      </c>
      <c r="W383" s="9">
        <v>-93219</v>
      </c>
      <c r="X383" s="6">
        <v>-19.71867469879518</v>
      </c>
      <c r="Y383" s="8">
        <f>Table2[[#This Row],[DU sąnaudos]]*0.43</f>
        <v>233799.6</v>
      </c>
      <c r="Z383" s="8">
        <f>Table2[[#This Row],[Apyvarta]]-Table2[[#This Row],[Ne-atlyginimų sąnaudos]]+Table2[[#This Row],[Fiks ir pelno mokestis]]</f>
        <v>684300.6</v>
      </c>
    </row>
    <row r="384" spans="1:26" hidden="1" x14ac:dyDescent="0.2">
      <c r="A384" s="5" t="s">
        <v>1576</v>
      </c>
      <c r="B384" s="5" t="s">
        <v>1577</v>
      </c>
      <c r="C384" s="5">
        <v>2022</v>
      </c>
      <c r="D384" s="5" t="s">
        <v>1721</v>
      </c>
      <c r="E384" s="5" t="s">
        <v>1721</v>
      </c>
      <c r="F384" s="5" t="s">
        <v>1721</v>
      </c>
      <c r="G384" s="5" t="s">
        <v>1721</v>
      </c>
      <c r="H384" s="5" t="s">
        <v>1721</v>
      </c>
      <c r="I384" s="5" t="s">
        <v>280</v>
      </c>
      <c r="J384" s="5" t="s">
        <v>1721</v>
      </c>
      <c r="K384" s="5" t="s">
        <v>1721</v>
      </c>
      <c r="L384" s="5" t="s">
        <v>1721</v>
      </c>
      <c r="M384" s="9">
        <v>26</v>
      </c>
      <c r="N384" s="6">
        <f>IFERROR(Table2[[#This Row],[Darbuotojų skaičius]]/M383-1,0)</f>
        <v>0.13043478260869557</v>
      </c>
      <c r="O384" s="9">
        <v>2512</v>
      </c>
      <c r="P384" s="6">
        <v>0.2751269035532995</v>
      </c>
      <c r="Q384" s="9">
        <f>Table2[[#This Row],[Atlyginimo vidurkis]]*Table2[[#This Row],[Darbuotojų skaičius]]*12</f>
        <v>783744</v>
      </c>
      <c r="R384" s="49">
        <f>IFERROR(Table2[[#This Row],[DU sąnaudos]]/Q383-1,0)</f>
        <v>0.4414478040167733</v>
      </c>
      <c r="S384" s="9">
        <v>2854292</v>
      </c>
      <c r="T384" s="6">
        <v>0.41850447076410502</v>
      </c>
      <c r="U384" s="9">
        <f>IF(Table2[[#This Row],[DU sąnaudos]]=0,0,Table2[[#This Row],[Apyvarta]]-Table2[[#This Row],[DU sąnaudos]]-Table2[[#This Row],[Pelnas]])</f>
        <v>2002418</v>
      </c>
      <c r="V384" s="49">
        <f>IFERROR(Table2[[#This Row],[Ne-atlyginimų sąnaudos]]/U383-1,0)</f>
        <v>0.28221796613013006</v>
      </c>
      <c r="W384" s="9">
        <v>68130</v>
      </c>
      <c r="X384" s="6">
        <v>-1.7308595887104561</v>
      </c>
      <c r="Y384" s="8">
        <f>Table2[[#This Row],[DU sąnaudos]]*0.43</f>
        <v>337009.91999999998</v>
      </c>
      <c r="Z384" s="8">
        <f>Table2[[#This Row],[Apyvarta]]-Table2[[#This Row],[Ne-atlyginimų sąnaudos]]+Table2[[#This Row],[Fiks ir pelno mokestis]]</f>
        <v>1188883.92</v>
      </c>
    </row>
    <row r="385" spans="1:26" hidden="1" x14ac:dyDescent="0.2">
      <c r="A385" s="5" t="s">
        <v>1576</v>
      </c>
      <c r="B385" s="5" t="s">
        <v>1577</v>
      </c>
      <c r="C385" s="5">
        <v>2023</v>
      </c>
      <c r="D385" s="5" t="s">
        <v>1721</v>
      </c>
      <c r="E385" s="5" t="s">
        <v>1721</v>
      </c>
      <c r="F385" s="5" t="s">
        <v>1721</v>
      </c>
      <c r="G385" s="5" t="s">
        <v>1721</v>
      </c>
      <c r="H385" s="5" t="s">
        <v>1721</v>
      </c>
      <c r="I385" s="5" t="s">
        <v>280</v>
      </c>
      <c r="J385" s="5" t="s">
        <v>1721</v>
      </c>
      <c r="K385" s="5" t="s">
        <v>1721</v>
      </c>
      <c r="L385" s="5" t="s">
        <v>1721</v>
      </c>
      <c r="M385" s="9">
        <v>27</v>
      </c>
      <c r="N385" s="6">
        <f>IFERROR(Table2[[#This Row],[Darbuotojų skaičius]]/M384-1,0)</f>
        <v>3.8461538461538547E-2</v>
      </c>
      <c r="O385" s="9">
        <v>2995</v>
      </c>
      <c r="P385" s="6">
        <v>0.19227707006369421</v>
      </c>
      <c r="Q385" s="9">
        <f>Table2[[#This Row],[Atlyginimo vidurkis]]*Table2[[#This Row],[Darbuotojų skaičius]]*12</f>
        <v>970380</v>
      </c>
      <c r="R385" s="49">
        <f>IFERROR(Table2[[#This Row],[DU sąnaudos]]/Q384-1,0)</f>
        <v>0.23813388045075934</v>
      </c>
      <c r="S385" s="9">
        <v>3034911</v>
      </c>
      <c r="T385" s="6">
        <v>6.3279790575035744E-2</v>
      </c>
      <c r="U385" s="9">
        <f>IF(Table2[[#This Row],[DU sąnaudos]]=0,0,Table2[[#This Row],[Apyvarta]]-Table2[[#This Row],[DU sąnaudos]]-Table2[[#This Row],[Pelnas]])</f>
        <v>2095205</v>
      </c>
      <c r="V385" s="49">
        <f>IFERROR(Table2[[#This Row],[Ne-atlyginimų sąnaudos]]/U384-1,0)</f>
        <v>4.6337477989111253E-2</v>
      </c>
      <c r="W385" s="9">
        <v>-30674</v>
      </c>
      <c r="X385" s="6">
        <v>-1.4502275062380741</v>
      </c>
      <c r="Y385" s="8">
        <f>Table2[[#This Row],[DU sąnaudos]]*0.43</f>
        <v>417263.39999999997</v>
      </c>
      <c r="Z385" s="8">
        <f>Table2[[#This Row],[Apyvarta]]-Table2[[#This Row],[Ne-atlyginimų sąnaudos]]+Table2[[#This Row],[Fiks ir pelno mokestis]]</f>
        <v>1356969.4</v>
      </c>
    </row>
    <row r="386" spans="1:26" hidden="1" x14ac:dyDescent="0.2">
      <c r="A386" s="5" t="s">
        <v>1576</v>
      </c>
      <c r="B386" s="5" t="s">
        <v>1577</v>
      </c>
      <c r="C386" s="5">
        <v>2024</v>
      </c>
      <c r="D386" s="5" t="s">
        <v>1721</v>
      </c>
      <c r="E386" s="5" t="s">
        <v>1721</v>
      </c>
      <c r="F386" s="5" t="s">
        <v>1721</v>
      </c>
      <c r="G386" s="5" t="s">
        <v>1721</v>
      </c>
      <c r="H386" s="5" t="s">
        <v>1721</v>
      </c>
      <c r="I386" s="5" t="s">
        <v>280</v>
      </c>
      <c r="J386" s="5" t="s">
        <v>1721</v>
      </c>
      <c r="K386" s="5" t="s">
        <v>1721</v>
      </c>
      <c r="L386" s="5" t="s">
        <v>1721</v>
      </c>
      <c r="M386" s="9">
        <v>25</v>
      </c>
      <c r="N386" s="6">
        <f>IFERROR(Table2[[#This Row],[Darbuotojų skaičius]]/M385-1,0)</f>
        <v>-7.407407407407407E-2</v>
      </c>
      <c r="O386" s="9">
        <v>3105</v>
      </c>
      <c r="P386" s="6">
        <v>3.6727879799666192E-2</v>
      </c>
      <c r="Q386" s="9">
        <f>Table2[[#This Row],[Atlyginimo vidurkis]]*Table2[[#This Row],[Darbuotojų skaičius]]*12</f>
        <v>931500</v>
      </c>
      <c r="R386" s="49">
        <f>IFERROR(Table2[[#This Row],[DU sąnaudos]]/Q385-1,0)</f>
        <v>-4.0066777963272071E-2</v>
      </c>
      <c r="S386" s="9">
        <v>3272793</v>
      </c>
      <c r="T386" s="6">
        <v>7.8381870176753132E-2</v>
      </c>
      <c r="U386" s="9">
        <f>IF(Table2[[#This Row],[DU sąnaudos]]=0,0,Table2[[#This Row],[Apyvarta]]-Table2[[#This Row],[DU sąnaudos]]-Table2[[#This Row],[Pelnas]])</f>
        <v>2310733</v>
      </c>
      <c r="V386" s="49">
        <f>IFERROR(Table2[[#This Row],[Ne-atlyginimų sąnaudos]]/U385-1,0)</f>
        <v>0.10286726119878487</v>
      </c>
      <c r="W386" s="9">
        <v>30560</v>
      </c>
      <c r="X386" s="6">
        <v>-1.9962834974245289</v>
      </c>
      <c r="Y386" s="8">
        <f>Table2[[#This Row],[DU sąnaudos]]*0.43</f>
        <v>400545</v>
      </c>
      <c r="Z386" s="8">
        <f>Table2[[#This Row],[Apyvarta]]-Table2[[#This Row],[Ne-atlyginimų sąnaudos]]+Table2[[#This Row],[Fiks ir pelno mokestis]]</f>
        <v>1362605</v>
      </c>
    </row>
    <row r="387" spans="1:26" hidden="1" x14ac:dyDescent="0.2">
      <c r="A387" s="5" t="s">
        <v>420</v>
      </c>
      <c r="B387" s="5" t="s">
        <v>1581</v>
      </c>
      <c r="C387" s="5">
        <v>2019</v>
      </c>
      <c r="D387" s="5" t="s">
        <v>1721</v>
      </c>
      <c r="E387" s="5" t="s">
        <v>1721</v>
      </c>
      <c r="F387" s="5" t="s">
        <v>1721</v>
      </c>
      <c r="G387" s="5" t="s">
        <v>1721</v>
      </c>
      <c r="H387" s="5" t="s">
        <v>1721</v>
      </c>
      <c r="I387" s="5" t="s">
        <v>280</v>
      </c>
      <c r="J387" s="5" t="s">
        <v>1721</v>
      </c>
      <c r="K387" s="5" t="s">
        <v>1721</v>
      </c>
      <c r="L387" s="5" t="s">
        <v>1721</v>
      </c>
      <c r="M387" s="9">
        <v>13</v>
      </c>
      <c r="N387" s="6">
        <v>0</v>
      </c>
      <c r="O387" s="9">
        <v>1427</v>
      </c>
      <c r="P387" s="6">
        <v>0</v>
      </c>
      <c r="Q387" s="9">
        <f>Table2[[#This Row],[Atlyginimo vidurkis]]*Table2[[#This Row],[Darbuotojų skaičius]]*12</f>
        <v>222612</v>
      </c>
      <c r="R387" s="49">
        <v>0</v>
      </c>
      <c r="S387" s="9">
        <v>2461430</v>
      </c>
      <c r="T387" s="6">
        <v>0</v>
      </c>
      <c r="U387" s="9">
        <f>IF(Table2[[#This Row],[DU sąnaudos]]=0,0,Table2[[#This Row],[Apyvarta]]-Table2[[#This Row],[DU sąnaudos]]-Table2[[#This Row],[Pelnas]])</f>
        <v>2120354</v>
      </c>
      <c r="V387" s="49">
        <v>0</v>
      </c>
      <c r="W387" s="9">
        <v>118464</v>
      </c>
      <c r="X387" s="6">
        <v>0</v>
      </c>
      <c r="Y387" s="8">
        <f>Table2[[#This Row],[DU sąnaudos]]*0.43</f>
        <v>95723.16</v>
      </c>
      <c r="Z387" s="8">
        <f>Table2[[#This Row],[Apyvarta]]-Table2[[#This Row],[Ne-atlyginimų sąnaudos]]+Table2[[#This Row],[Fiks ir pelno mokestis]]</f>
        <v>436799.16000000003</v>
      </c>
    </row>
    <row r="388" spans="1:26" hidden="1" x14ac:dyDescent="0.2">
      <c r="A388" s="5" t="s">
        <v>420</v>
      </c>
      <c r="B388" s="5" t="s">
        <v>1581</v>
      </c>
      <c r="C388" s="5">
        <v>2020</v>
      </c>
      <c r="D388" s="5" t="s">
        <v>1721</v>
      </c>
      <c r="E388" s="5" t="s">
        <v>1721</v>
      </c>
      <c r="F388" s="5" t="s">
        <v>1721</v>
      </c>
      <c r="G388" s="5" t="s">
        <v>1721</v>
      </c>
      <c r="H388" s="5" t="s">
        <v>1721</v>
      </c>
      <c r="I388" s="5" t="s">
        <v>280</v>
      </c>
      <c r="J388" s="5" t="s">
        <v>1721</v>
      </c>
      <c r="K388" s="5" t="s">
        <v>1721</v>
      </c>
      <c r="L388" s="5" t="s">
        <v>1721</v>
      </c>
      <c r="M388" s="9">
        <v>18</v>
      </c>
      <c r="N388" s="6">
        <f>IFERROR(Table2[[#This Row],[Darbuotojų skaičius]]/M387-1,0)</f>
        <v>0.38461538461538458</v>
      </c>
      <c r="O388" s="9">
        <v>1617</v>
      </c>
      <c r="P388" s="6">
        <v>0.13314646110721801</v>
      </c>
      <c r="Q388" s="9">
        <f>Table2[[#This Row],[Atlyginimo vidurkis]]*Table2[[#This Row],[Darbuotojų skaičius]]*12</f>
        <v>349272</v>
      </c>
      <c r="R388" s="49">
        <f>IFERROR(Table2[[#This Row],[DU sąnaudos]]/Q387-1,0)</f>
        <v>0.5689720230715325</v>
      </c>
      <c r="S388" s="9">
        <v>2095356</v>
      </c>
      <c r="T388" s="6">
        <v>-0.14872411565634611</v>
      </c>
      <c r="U388" s="9">
        <f>IF(Table2[[#This Row],[DU sąnaudos]]=0,0,Table2[[#This Row],[Apyvarta]]-Table2[[#This Row],[DU sąnaudos]]-Table2[[#This Row],[Pelnas]])</f>
        <v>1643739</v>
      </c>
      <c r="V388" s="49">
        <f>IFERROR(Table2[[#This Row],[Ne-atlyginimų sąnaudos]]/U387-1,0)</f>
        <v>-0.22478086206359882</v>
      </c>
      <c r="W388" s="9">
        <v>102345</v>
      </c>
      <c r="X388" s="6">
        <v>-0.13606665316045391</v>
      </c>
      <c r="Y388" s="8">
        <f>Table2[[#This Row],[DU sąnaudos]]*0.43</f>
        <v>150186.96</v>
      </c>
      <c r="Z388" s="8">
        <f>Table2[[#This Row],[Apyvarta]]-Table2[[#This Row],[Ne-atlyginimų sąnaudos]]+Table2[[#This Row],[Fiks ir pelno mokestis]]</f>
        <v>601803.96</v>
      </c>
    </row>
    <row r="389" spans="1:26" hidden="1" x14ac:dyDescent="0.2">
      <c r="A389" s="5" t="s">
        <v>420</v>
      </c>
      <c r="B389" s="5" t="s">
        <v>1581</v>
      </c>
      <c r="C389" s="5">
        <v>2021</v>
      </c>
      <c r="D389" s="5" t="s">
        <v>1721</v>
      </c>
      <c r="E389" s="5" t="s">
        <v>1721</v>
      </c>
      <c r="F389" s="5" t="s">
        <v>1721</v>
      </c>
      <c r="G389" s="5" t="s">
        <v>1721</v>
      </c>
      <c r="H389" s="5" t="s">
        <v>1721</v>
      </c>
      <c r="I389" s="5" t="s">
        <v>280</v>
      </c>
      <c r="J389" s="5" t="s">
        <v>1721</v>
      </c>
      <c r="K389" s="5" t="s">
        <v>1721</v>
      </c>
      <c r="L389" s="5" t="s">
        <v>1721</v>
      </c>
      <c r="M389" s="9">
        <v>30</v>
      </c>
      <c r="N389" s="6">
        <f>IFERROR(Table2[[#This Row],[Darbuotojų skaičius]]/M388-1,0)</f>
        <v>0.66666666666666674</v>
      </c>
      <c r="O389" s="9">
        <v>2218</v>
      </c>
      <c r="P389" s="6">
        <v>0.37167594310451452</v>
      </c>
      <c r="Q389" s="9">
        <f>Table2[[#This Row],[Atlyginimo vidurkis]]*Table2[[#This Row],[Darbuotojų skaičius]]*12</f>
        <v>798480</v>
      </c>
      <c r="R389" s="49">
        <f>IFERROR(Table2[[#This Row],[DU sąnaudos]]/Q388-1,0)</f>
        <v>1.2861265718408577</v>
      </c>
      <c r="S389" s="9">
        <v>3406485</v>
      </c>
      <c r="T389" s="6">
        <v>0.62573090205196635</v>
      </c>
      <c r="U389" s="9">
        <f>IF(Table2[[#This Row],[DU sąnaudos]]=0,0,Table2[[#This Row],[Apyvarta]]-Table2[[#This Row],[DU sąnaudos]]-Table2[[#This Row],[Pelnas]])</f>
        <v>2382772</v>
      </c>
      <c r="V389" s="49">
        <f>IFERROR(Table2[[#This Row],[Ne-atlyginimų sąnaudos]]/U388-1,0)</f>
        <v>0.44960483385744321</v>
      </c>
      <c r="W389" s="9">
        <v>225233</v>
      </c>
      <c r="X389" s="6">
        <v>1.200723044604036</v>
      </c>
      <c r="Y389" s="8">
        <f>Table2[[#This Row],[DU sąnaudos]]*0.43</f>
        <v>343346.4</v>
      </c>
      <c r="Z389" s="8">
        <f>Table2[[#This Row],[Apyvarta]]-Table2[[#This Row],[Ne-atlyginimų sąnaudos]]+Table2[[#This Row],[Fiks ir pelno mokestis]]</f>
        <v>1367059.4</v>
      </c>
    </row>
    <row r="390" spans="1:26" hidden="1" x14ac:dyDescent="0.2">
      <c r="A390" s="5" t="s">
        <v>420</v>
      </c>
      <c r="B390" s="5" t="s">
        <v>1581</v>
      </c>
      <c r="C390" s="5">
        <v>2022</v>
      </c>
      <c r="D390" s="5" t="s">
        <v>1721</v>
      </c>
      <c r="E390" s="5" t="s">
        <v>1721</v>
      </c>
      <c r="F390" s="5" t="s">
        <v>1721</v>
      </c>
      <c r="G390" s="5" t="s">
        <v>1721</v>
      </c>
      <c r="H390" s="5" t="s">
        <v>1721</v>
      </c>
      <c r="I390" s="5" t="s">
        <v>280</v>
      </c>
      <c r="J390" s="5" t="s">
        <v>1721</v>
      </c>
      <c r="K390" s="5" t="s">
        <v>1721</v>
      </c>
      <c r="L390" s="5" t="s">
        <v>1721</v>
      </c>
      <c r="M390" s="9">
        <v>35</v>
      </c>
      <c r="N390" s="6">
        <f>IFERROR(Table2[[#This Row],[Darbuotojų skaičius]]/M389-1,0)</f>
        <v>0.16666666666666674</v>
      </c>
      <c r="O390" s="9">
        <v>2630</v>
      </c>
      <c r="P390" s="6">
        <v>0.1857529305680794</v>
      </c>
      <c r="Q390" s="9">
        <f>Table2[[#This Row],[Atlyginimo vidurkis]]*Table2[[#This Row],[Darbuotojų skaičius]]*12</f>
        <v>1104600</v>
      </c>
      <c r="R390" s="49">
        <f>IFERROR(Table2[[#This Row],[DU sąnaudos]]/Q389-1,0)</f>
        <v>0.38337841899609248</v>
      </c>
      <c r="S390" s="9">
        <v>3253190</v>
      </c>
      <c r="T390" s="6">
        <v>-4.5000932045789137E-2</v>
      </c>
      <c r="U390" s="9">
        <f>IF(Table2[[#This Row],[DU sąnaudos]]=0,0,Table2[[#This Row],[Apyvarta]]-Table2[[#This Row],[DU sąnaudos]]-Table2[[#This Row],[Pelnas]])</f>
        <v>2017865</v>
      </c>
      <c r="V390" s="49">
        <f>IFERROR(Table2[[#This Row],[Ne-atlyginimų sąnaudos]]/U389-1,0)</f>
        <v>-0.15314390130486677</v>
      </c>
      <c r="W390" s="9">
        <v>130725</v>
      </c>
      <c r="X390" s="6">
        <v>-0.4196010353722589</v>
      </c>
      <c r="Y390" s="8">
        <f>Table2[[#This Row],[DU sąnaudos]]*0.43</f>
        <v>474978</v>
      </c>
      <c r="Z390" s="8">
        <f>Table2[[#This Row],[Apyvarta]]-Table2[[#This Row],[Ne-atlyginimų sąnaudos]]+Table2[[#This Row],[Fiks ir pelno mokestis]]</f>
        <v>1710303</v>
      </c>
    </row>
    <row r="391" spans="1:26" hidden="1" x14ac:dyDescent="0.2">
      <c r="A391" s="5" t="s">
        <v>420</v>
      </c>
      <c r="B391" s="5" t="s">
        <v>1581</v>
      </c>
      <c r="C391" s="5">
        <v>2023</v>
      </c>
      <c r="D391" s="5" t="s">
        <v>1721</v>
      </c>
      <c r="E391" s="5" t="s">
        <v>1721</v>
      </c>
      <c r="F391" s="5" t="s">
        <v>1721</v>
      </c>
      <c r="G391" s="5" t="s">
        <v>1721</v>
      </c>
      <c r="H391" s="5" t="s">
        <v>1721</v>
      </c>
      <c r="I391" s="5" t="s">
        <v>280</v>
      </c>
      <c r="J391" s="5" t="s">
        <v>1721</v>
      </c>
      <c r="K391" s="5" t="s">
        <v>1721</v>
      </c>
      <c r="L391" s="5" t="s">
        <v>1721</v>
      </c>
      <c r="M391" s="9">
        <v>37</v>
      </c>
      <c r="N391" s="6">
        <f>IFERROR(Table2[[#This Row],[Darbuotojų skaičius]]/M390-1,0)</f>
        <v>5.7142857142857162E-2</v>
      </c>
      <c r="O391" s="9">
        <v>3213</v>
      </c>
      <c r="P391" s="6">
        <v>0.22167300380228139</v>
      </c>
      <c r="Q391" s="9">
        <f>Table2[[#This Row],[Atlyginimo vidurkis]]*Table2[[#This Row],[Darbuotojų skaičius]]*12</f>
        <v>1426572</v>
      </c>
      <c r="R391" s="49">
        <f>IFERROR(Table2[[#This Row],[DU sąnaudos]]/Q390-1,0)</f>
        <v>0.2914828897338404</v>
      </c>
      <c r="S391" s="9">
        <v>4214370</v>
      </c>
      <c r="T391" s="6">
        <v>0.29545768922196358</v>
      </c>
      <c r="U391" s="9">
        <f>IF(Table2[[#This Row],[DU sąnaudos]]=0,0,Table2[[#This Row],[Apyvarta]]-Table2[[#This Row],[DU sąnaudos]]-Table2[[#This Row],[Pelnas]])</f>
        <v>2736804</v>
      </c>
      <c r="V391" s="49">
        <f>IFERROR(Table2[[#This Row],[Ne-atlyginimų sąnaudos]]/U390-1,0)</f>
        <v>0.3562869666702182</v>
      </c>
      <c r="W391" s="9">
        <v>50994</v>
      </c>
      <c r="X391" s="6">
        <v>-0.60991394148020661</v>
      </c>
      <c r="Y391" s="8">
        <f>Table2[[#This Row],[DU sąnaudos]]*0.43</f>
        <v>613425.96</v>
      </c>
      <c r="Z391" s="8">
        <f>Table2[[#This Row],[Apyvarta]]-Table2[[#This Row],[Ne-atlyginimų sąnaudos]]+Table2[[#This Row],[Fiks ir pelno mokestis]]</f>
        <v>2090991.96</v>
      </c>
    </row>
    <row r="392" spans="1:26" hidden="1" x14ac:dyDescent="0.2">
      <c r="A392" s="5" t="s">
        <v>420</v>
      </c>
      <c r="B392" s="5" t="s">
        <v>1581</v>
      </c>
      <c r="C392" s="5">
        <v>2024</v>
      </c>
      <c r="D392" s="5" t="s">
        <v>1721</v>
      </c>
      <c r="E392" s="5" t="s">
        <v>1721</v>
      </c>
      <c r="F392" s="5" t="s">
        <v>1721</v>
      </c>
      <c r="G392" s="5" t="s">
        <v>1721</v>
      </c>
      <c r="H392" s="5" t="s">
        <v>1721</v>
      </c>
      <c r="I392" s="5" t="s">
        <v>280</v>
      </c>
      <c r="J392" s="5" t="s">
        <v>1721</v>
      </c>
      <c r="K392" s="5" t="s">
        <v>1721</v>
      </c>
      <c r="L392" s="5" t="s">
        <v>1721</v>
      </c>
      <c r="M392" s="9">
        <v>35</v>
      </c>
      <c r="N392" s="6">
        <f>IFERROR(Table2[[#This Row],[Darbuotojų skaičius]]/M391-1,0)</f>
        <v>-5.4054054054054057E-2</v>
      </c>
      <c r="O392" s="9">
        <v>3248</v>
      </c>
      <c r="P392" s="6">
        <v>1.089324618736387E-2</v>
      </c>
      <c r="Q392" s="9">
        <f>Table2[[#This Row],[Atlyginimo vidurkis]]*Table2[[#This Row],[Darbuotojų skaičius]]*12</f>
        <v>1364160</v>
      </c>
      <c r="R392" s="49">
        <f>IFERROR(Table2[[#This Row],[DU sąnaudos]]/Q391-1,0)</f>
        <v>-4.3749631984926096E-2</v>
      </c>
      <c r="S392" s="9">
        <v>3158150</v>
      </c>
      <c r="T392" s="6">
        <v>-0.25062346210702902</v>
      </c>
      <c r="U392" s="9">
        <f>IF(Table2[[#This Row],[DU sąnaudos]]=0,0,Table2[[#This Row],[Apyvarta]]-Table2[[#This Row],[DU sąnaudos]]-Table2[[#This Row],[Pelnas]])</f>
        <v>1867507</v>
      </c>
      <c r="V392" s="49">
        <f>IFERROR(Table2[[#This Row],[Ne-atlyginimų sąnaudos]]/U391-1,0)</f>
        <v>-0.31763217241716979</v>
      </c>
      <c r="W392" s="9">
        <v>-73517</v>
      </c>
      <c r="X392" s="6">
        <v>-2.441679413264306</v>
      </c>
      <c r="Y392" s="8">
        <f>Table2[[#This Row],[DU sąnaudos]]*0.43</f>
        <v>586588.80000000005</v>
      </c>
      <c r="Z392" s="8">
        <f>Table2[[#This Row],[Apyvarta]]-Table2[[#This Row],[Ne-atlyginimų sąnaudos]]+Table2[[#This Row],[Fiks ir pelno mokestis]]</f>
        <v>1877231.8</v>
      </c>
    </row>
    <row r="393" spans="1:26" hidden="1" x14ac:dyDescent="0.2">
      <c r="A393" s="5" t="s">
        <v>122</v>
      </c>
      <c r="B393" s="5" t="s">
        <v>1586</v>
      </c>
      <c r="C393" s="5">
        <v>2019</v>
      </c>
      <c r="D393" s="5" t="s">
        <v>1721</v>
      </c>
      <c r="E393" s="5" t="s">
        <v>1721</v>
      </c>
      <c r="F393" s="5" t="s">
        <v>1721</v>
      </c>
      <c r="G393" s="5" t="s">
        <v>73</v>
      </c>
      <c r="H393" s="5" t="s">
        <v>1721</v>
      </c>
      <c r="I393" s="5" t="s">
        <v>1721</v>
      </c>
      <c r="J393" s="5" t="s">
        <v>1721</v>
      </c>
      <c r="K393" s="5" t="s">
        <v>1721</v>
      </c>
      <c r="L393" s="5" t="s">
        <v>1721</v>
      </c>
      <c r="M393" s="9">
        <v>43</v>
      </c>
      <c r="N393" s="6">
        <v>0</v>
      </c>
      <c r="O393" s="9">
        <v>2178</v>
      </c>
      <c r="P393" s="6">
        <v>0</v>
      </c>
      <c r="Q393" s="9">
        <f>Table2[[#This Row],[Atlyginimo vidurkis]]*Table2[[#This Row],[Darbuotojų skaičius]]*12</f>
        <v>1123848</v>
      </c>
      <c r="R393" s="49">
        <v>0</v>
      </c>
      <c r="S393" s="9">
        <v>14735922</v>
      </c>
      <c r="T393" s="6">
        <v>0</v>
      </c>
      <c r="U393" s="9">
        <f>IF(Table2[[#This Row],[DU sąnaudos]]=0,0,Table2[[#This Row],[Apyvarta]]-Table2[[#This Row],[DU sąnaudos]]-Table2[[#This Row],[Pelnas]])</f>
        <v>13164661</v>
      </c>
      <c r="V393" s="49">
        <v>0</v>
      </c>
      <c r="W393" s="9">
        <v>447413</v>
      </c>
      <c r="X393" s="6">
        <v>0</v>
      </c>
      <c r="Y393" s="8">
        <f>Table2[[#This Row],[DU sąnaudos]]*0.43</f>
        <v>483254.64</v>
      </c>
      <c r="Z393" s="8">
        <f>Table2[[#This Row],[Apyvarta]]-Table2[[#This Row],[Ne-atlyginimų sąnaudos]]+Table2[[#This Row],[Fiks ir pelno mokestis]]</f>
        <v>2054515.6400000001</v>
      </c>
    </row>
    <row r="394" spans="1:26" hidden="1" x14ac:dyDescent="0.2">
      <c r="A394" s="5" t="s">
        <v>122</v>
      </c>
      <c r="B394" s="5" t="s">
        <v>1586</v>
      </c>
      <c r="C394" s="5">
        <v>2020</v>
      </c>
      <c r="D394" s="5" t="s">
        <v>1721</v>
      </c>
      <c r="E394" s="5" t="s">
        <v>1721</v>
      </c>
      <c r="F394" s="5" t="s">
        <v>1721</v>
      </c>
      <c r="G394" s="5" t="s">
        <v>73</v>
      </c>
      <c r="H394" s="5" t="s">
        <v>1721</v>
      </c>
      <c r="I394" s="5" t="s">
        <v>1721</v>
      </c>
      <c r="J394" s="5" t="s">
        <v>1721</v>
      </c>
      <c r="K394" s="5" t="s">
        <v>1721</v>
      </c>
      <c r="L394" s="5" t="s">
        <v>1721</v>
      </c>
      <c r="M394" s="9">
        <v>46</v>
      </c>
      <c r="N394" s="6">
        <f>IFERROR(Table2[[#This Row],[Darbuotojų skaičius]]/M393-1,0)</f>
        <v>6.9767441860465018E-2</v>
      </c>
      <c r="O394" s="9">
        <v>2052</v>
      </c>
      <c r="P394" s="6">
        <v>-5.7851239669421517E-2</v>
      </c>
      <c r="Q394" s="9">
        <f>Table2[[#This Row],[Atlyginimo vidurkis]]*Table2[[#This Row],[Darbuotojų skaičius]]*12</f>
        <v>1132704</v>
      </c>
      <c r="R394" s="49">
        <f>IFERROR(Table2[[#This Row],[DU sąnaudos]]/Q393-1,0)</f>
        <v>7.8800691908513798E-3</v>
      </c>
      <c r="S394" s="9">
        <v>13065559</v>
      </c>
      <c r="T394" s="6">
        <v>-0.1133531379984232</v>
      </c>
      <c r="U394" s="9">
        <f>IF(Table2[[#This Row],[DU sąnaudos]]=0,0,Table2[[#This Row],[Apyvarta]]-Table2[[#This Row],[DU sąnaudos]]-Table2[[#This Row],[Pelnas]])</f>
        <v>11505966</v>
      </c>
      <c r="V394" s="49">
        <f>IFERROR(Table2[[#This Row],[Ne-atlyginimų sąnaudos]]/U393-1,0)</f>
        <v>-0.12599602830638779</v>
      </c>
      <c r="W394" s="9">
        <v>426889</v>
      </c>
      <c r="X394" s="6">
        <v>-4.5872605400379518E-2</v>
      </c>
      <c r="Y394" s="8">
        <f>Table2[[#This Row],[DU sąnaudos]]*0.43</f>
        <v>487062.72</v>
      </c>
      <c r="Z394" s="8">
        <f>Table2[[#This Row],[Apyvarta]]-Table2[[#This Row],[Ne-atlyginimų sąnaudos]]+Table2[[#This Row],[Fiks ir pelno mokestis]]</f>
        <v>2046655.72</v>
      </c>
    </row>
    <row r="395" spans="1:26" hidden="1" x14ac:dyDescent="0.2">
      <c r="A395" s="5" t="s">
        <v>122</v>
      </c>
      <c r="B395" s="5" t="s">
        <v>1586</v>
      </c>
      <c r="C395" s="5">
        <v>2021</v>
      </c>
      <c r="D395" s="5" t="s">
        <v>1721</v>
      </c>
      <c r="E395" s="5" t="s">
        <v>1721</v>
      </c>
      <c r="F395" s="5" t="s">
        <v>1721</v>
      </c>
      <c r="G395" s="5" t="s">
        <v>73</v>
      </c>
      <c r="H395" s="5" t="s">
        <v>1721</v>
      </c>
      <c r="I395" s="5" t="s">
        <v>1721</v>
      </c>
      <c r="J395" s="5" t="s">
        <v>1721</v>
      </c>
      <c r="K395" s="5" t="s">
        <v>1721</v>
      </c>
      <c r="L395" s="5" t="s">
        <v>1721</v>
      </c>
      <c r="M395" s="9">
        <v>49</v>
      </c>
      <c r="N395" s="6">
        <f>IFERROR(Table2[[#This Row],[Darbuotojų skaičius]]/M394-1,0)</f>
        <v>6.5217391304347894E-2</v>
      </c>
      <c r="O395" s="9">
        <v>2453</v>
      </c>
      <c r="P395" s="6">
        <v>0.19541910331384019</v>
      </c>
      <c r="Q395" s="9">
        <f>Table2[[#This Row],[Atlyginimo vidurkis]]*Table2[[#This Row],[Darbuotojų skaičius]]*12</f>
        <v>1442364</v>
      </c>
      <c r="R395" s="49">
        <f>IFERROR(Table2[[#This Row],[DU sąnaudos]]/Q394-1,0)</f>
        <v>0.27338121874735144</v>
      </c>
      <c r="S395" s="9">
        <v>16083759</v>
      </c>
      <c r="T395" s="6">
        <v>0.23100427620433231</v>
      </c>
      <c r="U395" s="9">
        <f>IF(Table2[[#This Row],[DU sąnaudos]]=0,0,Table2[[#This Row],[Apyvarta]]-Table2[[#This Row],[DU sąnaudos]]-Table2[[#This Row],[Pelnas]])</f>
        <v>14139661</v>
      </c>
      <c r="V395" s="49">
        <f>IFERROR(Table2[[#This Row],[Ne-atlyginimų sąnaudos]]/U394-1,0)</f>
        <v>0.22889820811220885</v>
      </c>
      <c r="W395" s="9">
        <v>501734</v>
      </c>
      <c r="X395" s="6">
        <v>0.17532660715080511</v>
      </c>
      <c r="Y395" s="8">
        <f>Table2[[#This Row],[DU sąnaudos]]*0.43</f>
        <v>620216.52</v>
      </c>
      <c r="Z395" s="8">
        <f>Table2[[#This Row],[Apyvarta]]-Table2[[#This Row],[Ne-atlyginimų sąnaudos]]+Table2[[#This Row],[Fiks ir pelno mokestis]]</f>
        <v>2564314.52</v>
      </c>
    </row>
    <row r="396" spans="1:26" hidden="1" x14ac:dyDescent="0.2">
      <c r="A396" s="5" t="s">
        <v>122</v>
      </c>
      <c r="B396" s="5" t="s">
        <v>1586</v>
      </c>
      <c r="C396" s="5">
        <v>2022</v>
      </c>
      <c r="D396" s="5" t="s">
        <v>1721</v>
      </c>
      <c r="E396" s="5" t="s">
        <v>1721</v>
      </c>
      <c r="F396" s="5" t="s">
        <v>1721</v>
      </c>
      <c r="G396" s="5" t="s">
        <v>73</v>
      </c>
      <c r="H396" s="5" t="s">
        <v>1721</v>
      </c>
      <c r="I396" s="5" t="s">
        <v>1721</v>
      </c>
      <c r="J396" s="5" t="s">
        <v>1721</v>
      </c>
      <c r="K396" s="5" t="s">
        <v>1721</v>
      </c>
      <c r="L396" s="5" t="s">
        <v>1721</v>
      </c>
      <c r="M396" s="9">
        <v>53</v>
      </c>
      <c r="N396" s="6">
        <f>IFERROR(Table2[[#This Row],[Darbuotojų skaičius]]/M395-1,0)</f>
        <v>8.163265306122458E-2</v>
      </c>
      <c r="O396" s="9">
        <v>2626</v>
      </c>
      <c r="P396" s="6">
        <v>7.052588666938453E-2</v>
      </c>
      <c r="Q396" s="9">
        <f>Table2[[#This Row],[Atlyginimo vidurkis]]*Table2[[#This Row],[Darbuotojų skaičius]]*12</f>
        <v>1670136</v>
      </c>
      <c r="R396" s="49">
        <f>IFERROR(Table2[[#This Row],[DU sąnaudos]]/Q395-1,0)</f>
        <v>0.15791575496892607</v>
      </c>
      <c r="S396" s="9">
        <v>15673573</v>
      </c>
      <c r="T396" s="6">
        <v>-2.5503117772406329E-2</v>
      </c>
      <c r="U396" s="9">
        <f>IF(Table2[[#This Row],[DU sąnaudos]]=0,0,Table2[[#This Row],[Apyvarta]]-Table2[[#This Row],[DU sąnaudos]]-Table2[[#This Row],[Pelnas]])</f>
        <v>13561843</v>
      </c>
      <c r="V396" s="49">
        <f>IFERROR(Table2[[#This Row],[Ne-atlyginimų sąnaudos]]/U395-1,0)</f>
        <v>-4.0865053271079144E-2</v>
      </c>
      <c r="W396" s="9">
        <v>441594</v>
      </c>
      <c r="X396" s="6">
        <v>-0.11986431057093989</v>
      </c>
      <c r="Y396" s="8">
        <f>Table2[[#This Row],[DU sąnaudos]]*0.43</f>
        <v>718158.48</v>
      </c>
      <c r="Z396" s="8">
        <f>Table2[[#This Row],[Apyvarta]]-Table2[[#This Row],[Ne-atlyginimų sąnaudos]]+Table2[[#This Row],[Fiks ir pelno mokestis]]</f>
        <v>2829888.48</v>
      </c>
    </row>
    <row r="397" spans="1:26" hidden="1" x14ac:dyDescent="0.2">
      <c r="A397" s="5" t="s">
        <v>122</v>
      </c>
      <c r="B397" s="5" t="s">
        <v>1586</v>
      </c>
      <c r="C397" s="5">
        <v>2023</v>
      </c>
      <c r="D397" s="5" t="s">
        <v>1721</v>
      </c>
      <c r="E397" s="5" t="s">
        <v>1721</v>
      </c>
      <c r="F397" s="5" t="s">
        <v>1721</v>
      </c>
      <c r="G397" s="5" t="s">
        <v>73</v>
      </c>
      <c r="H397" s="5" t="s">
        <v>1721</v>
      </c>
      <c r="I397" s="5" t="s">
        <v>1721</v>
      </c>
      <c r="J397" s="5" t="s">
        <v>1721</v>
      </c>
      <c r="K397" s="5" t="s">
        <v>1721</v>
      </c>
      <c r="L397" s="5" t="s">
        <v>1721</v>
      </c>
      <c r="M397" s="9">
        <v>52</v>
      </c>
      <c r="N397" s="6">
        <f>IFERROR(Table2[[#This Row],[Darbuotojų skaičius]]/M396-1,0)</f>
        <v>-1.8867924528301883E-2</v>
      </c>
      <c r="O397" s="9">
        <v>2583</v>
      </c>
      <c r="P397" s="6">
        <v>-1.6374714394516321E-2</v>
      </c>
      <c r="Q397" s="9">
        <f>Table2[[#This Row],[Atlyginimo vidurkis]]*Table2[[#This Row],[Darbuotojų skaičius]]*12</f>
        <v>1611792</v>
      </c>
      <c r="R397" s="49">
        <f>IFERROR(Table2[[#This Row],[DU sąnaudos]]/Q396-1,0)</f>
        <v>-3.4933682047450065E-2</v>
      </c>
      <c r="S397" s="9">
        <v>15193407</v>
      </c>
      <c r="T397" s="6">
        <v>-3.0635388625171789E-2</v>
      </c>
      <c r="U397" s="9">
        <f>IF(Table2[[#This Row],[DU sąnaudos]]=0,0,Table2[[#This Row],[Apyvarta]]-Table2[[#This Row],[DU sąnaudos]]-Table2[[#This Row],[Pelnas]])</f>
        <v>13170066</v>
      </c>
      <c r="V397" s="49">
        <f>IFERROR(Table2[[#This Row],[Ne-atlyginimų sąnaudos]]/U396-1,0)</f>
        <v>-2.8888182822939368E-2</v>
      </c>
      <c r="W397" s="9">
        <v>411549</v>
      </c>
      <c r="X397" s="6">
        <v>-6.803760920664681E-2</v>
      </c>
      <c r="Y397" s="8">
        <f>Table2[[#This Row],[DU sąnaudos]]*0.43</f>
        <v>693070.55999999994</v>
      </c>
      <c r="Z397" s="8">
        <f>Table2[[#This Row],[Apyvarta]]-Table2[[#This Row],[Ne-atlyginimų sąnaudos]]+Table2[[#This Row],[Fiks ir pelno mokestis]]</f>
        <v>2716411.56</v>
      </c>
    </row>
    <row r="398" spans="1:26" hidden="1" x14ac:dyDescent="0.2">
      <c r="A398" s="5" t="s">
        <v>122</v>
      </c>
      <c r="B398" s="5" t="s">
        <v>1586</v>
      </c>
      <c r="C398" s="5">
        <v>2024</v>
      </c>
      <c r="D398" s="5" t="s">
        <v>1721</v>
      </c>
      <c r="E398" s="5" t="s">
        <v>1721</v>
      </c>
      <c r="F398" s="5" t="s">
        <v>1721</v>
      </c>
      <c r="G398" s="5" t="s">
        <v>73</v>
      </c>
      <c r="H398" s="5" t="s">
        <v>1721</v>
      </c>
      <c r="I398" s="5" t="s">
        <v>1721</v>
      </c>
      <c r="J398" s="5" t="s">
        <v>1721</v>
      </c>
      <c r="K398" s="5" t="s">
        <v>1721</v>
      </c>
      <c r="L398" s="5" t="s">
        <v>1721</v>
      </c>
      <c r="M398" s="9">
        <v>53</v>
      </c>
      <c r="N398" s="6">
        <f>IFERROR(Table2[[#This Row],[Darbuotojų skaičius]]/M397-1,0)</f>
        <v>1.9230769230769162E-2</v>
      </c>
      <c r="O398" s="9">
        <v>2644</v>
      </c>
      <c r="P398" s="6">
        <v>2.3615950445218688E-2</v>
      </c>
      <c r="Q398" s="9">
        <f>Table2[[#This Row],[Atlyginimo vidurkis]]*Table2[[#This Row],[Darbuotojų skaičius]]*12</f>
        <v>1681584</v>
      </c>
      <c r="R398" s="49">
        <f>IFERROR(Table2[[#This Row],[DU sąnaudos]]/Q397-1,0)</f>
        <v>4.3300872569165261E-2</v>
      </c>
      <c r="S398" s="9">
        <v>16809406</v>
      </c>
      <c r="T398" s="6">
        <v>0.1063618581401788</v>
      </c>
      <c r="U398" s="9">
        <f>IF(Table2[[#This Row],[DU sąnaudos]]=0,0,Table2[[#This Row],[Apyvarta]]-Table2[[#This Row],[DU sąnaudos]]-Table2[[#This Row],[Pelnas]])</f>
        <v>14649133</v>
      </c>
      <c r="V398" s="49">
        <f>IFERROR(Table2[[#This Row],[Ne-atlyginimų sąnaudos]]/U397-1,0)</f>
        <v>0.11230520788582221</v>
      </c>
      <c r="W398" s="9">
        <v>478689</v>
      </c>
      <c r="X398" s="6">
        <v>0.16313974763636899</v>
      </c>
      <c r="Y398" s="8">
        <f>Table2[[#This Row],[DU sąnaudos]]*0.43</f>
        <v>723081.12</v>
      </c>
      <c r="Z398" s="8">
        <f>Table2[[#This Row],[Apyvarta]]-Table2[[#This Row],[Ne-atlyginimų sąnaudos]]+Table2[[#This Row],[Fiks ir pelno mokestis]]</f>
        <v>2883354.12</v>
      </c>
    </row>
    <row r="399" spans="1:26" x14ac:dyDescent="0.2">
      <c r="A399" s="5" t="s">
        <v>1590</v>
      </c>
      <c r="B399" s="5" t="s">
        <v>1591</v>
      </c>
      <c r="C399" s="5">
        <v>2019</v>
      </c>
      <c r="D399" s="5" t="s">
        <v>1721</v>
      </c>
      <c r="E399" s="5" t="s">
        <v>1721</v>
      </c>
      <c r="F399" s="5" t="s">
        <v>1721</v>
      </c>
      <c r="G399" s="5" t="s">
        <v>1721</v>
      </c>
      <c r="H399" s="5" t="s">
        <v>1721</v>
      </c>
      <c r="I399" s="5" t="s">
        <v>1721</v>
      </c>
      <c r="J399" s="5" t="s">
        <v>300</v>
      </c>
      <c r="K399" s="5" t="s">
        <v>1721</v>
      </c>
      <c r="L399" s="5" t="s">
        <v>1721</v>
      </c>
      <c r="M399" s="9">
        <v>0</v>
      </c>
      <c r="N399" s="6">
        <v>0</v>
      </c>
      <c r="O399" s="9">
        <v>0</v>
      </c>
      <c r="P399" s="6">
        <v>0</v>
      </c>
      <c r="Q399" s="9">
        <f>Table2[[#This Row],[Atlyginimo vidurkis]]*Table2[[#This Row],[Darbuotojų skaičius]]*12</f>
        <v>0</v>
      </c>
      <c r="R399" s="49">
        <v>0</v>
      </c>
      <c r="S399" s="9">
        <v>0</v>
      </c>
      <c r="T399" s="6">
        <v>0</v>
      </c>
      <c r="U399" s="9">
        <f>IF(Table2[[#This Row],[DU sąnaudos]]=0,0,Table2[[#This Row],[Apyvarta]]-Table2[[#This Row],[DU sąnaudos]]-Table2[[#This Row],[Pelnas]])</f>
        <v>0</v>
      </c>
      <c r="V399" s="49">
        <v>0</v>
      </c>
      <c r="W399" s="9">
        <v>0</v>
      </c>
      <c r="X399" s="6">
        <v>0</v>
      </c>
      <c r="Y399" s="8">
        <f>Table2[[#This Row],[DU sąnaudos]]*0.43</f>
        <v>0</v>
      </c>
      <c r="Z399" s="8">
        <f>Table2[[#This Row],[Apyvarta]]-Table2[[#This Row],[Ne-atlyginimų sąnaudos]]+Table2[[#This Row],[Fiks ir pelno mokestis]]</f>
        <v>0</v>
      </c>
    </row>
    <row r="400" spans="1:26" x14ac:dyDescent="0.2">
      <c r="A400" s="5" t="s">
        <v>1590</v>
      </c>
      <c r="B400" s="5" t="s">
        <v>1591</v>
      </c>
      <c r="C400" s="5">
        <v>2020</v>
      </c>
      <c r="D400" s="5" t="s">
        <v>1721</v>
      </c>
      <c r="E400" s="5" t="s">
        <v>1721</v>
      </c>
      <c r="F400" s="5" t="s">
        <v>1721</v>
      </c>
      <c r="G400" s="5" t="s">
        <v>1721</v>
      </c>
      <c r="H400" s="5" t="s">
        <v>1721</v>
      </c>
      <c r="I400" s="5" t="s">
        <v>1721</v>
      </c>
      <c r="J400" s="5" t="s">
        <v>300</v>
      </c>
      <c r="K400" s="5" t="s">
        <v>1721</v>
      </c>
      <c r="L400" s="5" t="s">
        <v>1721</v>
      </c>
      <c r="M400" s="9">
        <v>0</v>
      </c>
      <c r="N400" s="6">
        <f>IFERROR(Table2[[#This Row],[Darbuotojų skaičius]]/M399-1,0)</f>
        <v>0</v>
      </c>
      <c r="O400" s="9">
        <v>0</v>
      </c>
      <c r="P400" s="6">
        <v>0</v>
      </c>
      <c r="Q400" s="9">
        <f>Table2[[#This Row],[Atlyginimo vidurkis]]*Table2[[#This Row],[Darbuotojų skaičius]]*12</f>
        <v>0</v>
      </c>
      <c r="R400" s="49">
        <f>IFERROR(Table2[[#This Row],[DU sąnaudos]]/Q399-1,0)</f>
        <v>0</v>
      </c>
      <c r="S400" s="9">
        <v>0</v>
      </c>
      <c r="T400" s="6">
        <v>0</v>
      </c>
      <c r="U400" s="9">
        <f>IF(Table2[[#This Row],[DU sąnaudos]]=0,0,Table2[[#This Row],[Apyvarta]]-Table2[[#This Row],[DU sąnaudos]]-Table2[[#This Row],[Pelnas]])</f>
        <v>0</v>
      </c>
      <c r="V400" s="49">
        <f>IFERROR(Table2[[#This Row],[Ne-atlyginimų sąnaudos]]/U399-1,0)</f>
        <v>0</v>
      </c>
      <c r="W400" s="9">
        <v>0</v>
      </c>
      <c r="X400" s="6">
        <v>0</v>
      </c>
      <c r="Y400" s="8">
        <f>Table2[[#This Row],[DU sąnaudos]]*0.43</f>
        <v>0</v>
      </c>
      <c r="Z400" s="8">
        <f>Table2[[#This Row],[Apyvarta]]-Table2[[#This Row],[Ne-atlyginimų sąnaudos]]+Table2[[#This Row],[Fiks ir pelno mokestis]]</f>
        <v>0</v>
      </c>
    </row>
    <row r="401" spans="1:26" x14ac:dyDescent="0.2">
      <c r="A401" s="5" t="s">
        <v>1590</v>
      </c>
      <c r="B401" s="5" t="s">
        <v>1591</v>
      </c>
      <c r="C401" s="5">
        <v>2021</v>
      </c>
      <c r="D401" s="5" t="s">
        <v>1721</v>
      </c>
      <c r="E401" s="5" t="s">
        <v>1721</v>
      </c>
      <c r="F401" s="5" t="s">
        <v>1721</v>
      </c>
      <c r="G401" s="5" t="s">
        <v>1721</v>
      </c>
      <c r="H401" s="5" t="s">
        <v>1721</v>
      </c>
      <c r="I401" s="5" t="s">
        <v>1721</v>
      </c>
      <c r="J401" s="5" t="s">
        <v>300</v>
      </c>
      <c r="K401" s="5" t="s">
        <v>1721</v>
      </c>
      <c r="L401" s="5" t="s">
        <v>1721</v>
      </c>
      <c r="M401" s="9">
        <v>1</v>
      </c>
      <c r="N401" s="6">
        <f>IFERROR(Table2[[#This Row],[Darbuotojų skaičius]]/M400-1,0)</f>
        <v>0</v>
      </c>
      <c r="O401" s="9">
        <v>0</v>
      </c>
      <c r="P401" s="6">
        <v>0</v>
      </c>
      <c r="Q401" s="9">
        <f>Table2[[#This Row],[Atlyginimo vidurkis]]*Table2[[#This Row],[Darbuotojų skaičius]]*12</f>
        <v>0</v>
      </c>
      <c r="R401" s="49">
        <f>IFERROR(Table2[[#This Row],[DU sąnaudos]]/Q400-1,0)</f>
        <v>0</v>
      </c>
      <c r="S401" s="9">
        <v>71239</v>
      </c>
      <c r="T401" s="6">
        <v>0</v>
      </c>
      <c r="U401" s="9">
        <f>IF(Table2[[#This Row],[DU sąnaudos]]=0,0,Table2[[#This Row],[Apyvarta]]-Table2[[#This Row],[DU sąnaudos]]-Table2[[#This Row],[Pelnas]])</f>
        <v>0</v>
      </c>
      <c r="V401" s="49">
        <f>IFERROR(Table2[[#This Row],[Ne-atlyginimų sąnaudos]]/U400-1,0)</f>
        <v>0</v>
      </c>
      <c r="W401" s="9">
        <v>8688</v>
      </c>
      <c r="X401" s="6">
        <v>0</v>
      </c>
      <c r="Y401" s="8">
        <f>Table2[[#This Row],[DU sąnaudos]]*0.43</f>
        <v>0</v>
      </c>
      <c r="Z401" s="8">
        <f>Table2[[#This Row],[Apyvarta]]-Table2[[#This Row],[Ne-atlyginimų sąnaudos]]+Table2[[#This Row],[Fiks ir pelno mokestis]]</f>
        <v>71239</v>
      </c>
    </row>
    <row r="402" spans="1:26" x14ac:dyDescent="0.2">
      <c r="A402" s="5" t="s">
        <v>1590</v>
      </c>
      <c r="B402" s="5" t="s">
        <v>1591</v>
      </c>
      <c r="C402" s="5">
        <v>2022</v>
      </c>
      <c r="D402" s="5" t="s">
        <v>1721</v>
      </c>
      <c r="E402" s="5" t="s">
        <v>1721</v>
      </c>
      <c r="F402" s="5" t="s">
        <v>1721</v>
      </c>
      <c r="G402" s="5" t="s">
        <v>1721</v>
      </c>
      <c r="H402" s="5" t="s">
        <v>1721</v>
      </c>
      <c r="I402" s="5" t="s">
        <v>1721</v>
      </c>
      <c r="J402" s="5" t="s">
        <v>300</v>
      </c>
      <c r="K402" s="5" t="s">
        <v>1721</v>
      </c>
      <c r="L402" s="5" t="s">
        <v>1721</v>
      </c>
      <c r="M402" s="9">
        <v>2</v>
      </c>
      <c r="N402" s="6">
        <f>IFERROR(Table2[[#This Row],[Darbuotojų skaičius]]/M401-1,0)</f>
        <v>1</v>
      </c>
      <c r="O402" s="9">
        <v>0</v>
      </c>
      <c r="P402" s="6">
        <v>0</v>
      </c>
      <c r="Q402" s="9">
        <f>Table2[[#This Row],[Atlyginimo vidurkis]]*Table2[[#This Row],[Darbuotojų skaičius]]*12</f>
        <v>0</v>
      </c>
      <c r="R402" s="49">
        <f>IFERROR(Table2[[#This Row],[DU sąnaudos]]/Q401-1,0)</f>
        <v>0</v>
      </c>
      <c r="S402" s="9">
        <v>187499</v>
      </c>
      <c r="T402" s="6">
        <v>1.6319712517020171</v>
      </c>
      <c r="U402" s="9">
        <f>IF(Table2[[#This Row],[DU sąnaudos]]=0,0,Table2[[#This Row],[Apyvarta]]-Table2[[#This Row],[DU sąnaudos]]-Table2[[#This Row],[Pelnas]])</f>
        <v>0</v>
      </c>
      <c r="V402" s="49">
        <f>IFERROR(Table2[[#This Row],[Ne-atlyginimų sąnaudos]]/U401-1,0)</f>
        <v>0</v>
      </c>
      <c r="W402" s="9">
        <v>36059</v>
      </c>
      <c r="X402" s="6">
        <v>3.1504373848987108</v>
      </c>
      <c r="Y402" s="8">
        <f>Table2[[#This Row],[DU sąnaudos]]*0.43</f>
        <v>0</v>
      </c>
      <c r="Z402" s="8">
        <f>Table2[[#This Row],[Apyvarta]]-Table2[[#This Row],[Ne-atlyginimų sąnaudos]]+Table2[[#This Row],[Fiks ir pelno mokestis]]</f>
        <v>187499</v>
      </c>
    </row>
    <row r="403" spans="1:26" x14ac:dyDescent="0.2">
      <c r="A403" s="5" t="s">
        <v>1590</v>
      </c>
      <c r="B403" s="5" t="s">
        <v>1591</v>
      </c>
      <c r="C403" s="5">
        <v>2023</v>
      </c>
      <c r="D403" s="5" t="s">
        <v>1721</v>
      </c>
      <c r="E403" s="5" t="s">
        <v>1721</v>
      </c>
      <c r="F403" s="5" t="s">
        <v>1721</v>
      </c>
      <c r="G403" s="5" t="s">
        <v>1721</v>
      </c>
      <c r="H403" s="5" t="s">
        <v>1721</v>
      </c>
      <c r="I403" s="5" t="s">
        <v>1721</v>
      </c>
      <c r="J403" s="5" t="s">
        <v>300</v>
      </c>
      <c r="K403" s="5" t="s">
        <v>1721</v>
      </c>
      <c r="L403" s="5" t="s">
        <v>1721</v>
      </c>
      <c r="M403" s="9">
        <v>3</v>
      </c>
      <c r="N403" s="6">
        <f>IFERROR(Table2[[#This Row],[Darbuotojų skaičius]]/M402-1,0)</f>
        <v>0.5</v>
      </c>
      <c r="O403" s="9">
        <v>1420</v>
      </c>
      <c r="P403" s="6">
        <v>0</v>
      </c>
      <c r="Q403" s="9">
        <f>Table2[[#This Row],[Atlyginimo vidurkis]]*Table2[[#This Row],[Darbuotojų skaičius]]*12</f>
        <v>51120</v>
      </c>
      <c r="R403" s="49">
        <f>IFERROR(Table2[[#This Row],[DU sąnaudos]]/Q402-1,0)</f>
        <v>0</v>
      </c>
      <c r="S403" s="9">
        <v>239698</v>
      </c>
      <c r="T403" s="6">
        <v>0.27839615144614099</v>
      </c>
      <c r="U403" s="9">
        <f>IF(Table2[[#This Row],[DU sąnaudos]]=0,0,Table2[[#This Row],[Apyvarta]]-Table2[[#This Row],[DU sąnaudos]]-Table2[[#This Row],[Pelnas]])</f>
        <v>175671</v>
      </c>
      <c r="V403" s="49">
        <f>IFERROR(Table2[[#This Row],[Ne-atlyginimų sąnaudos]]/U402-1,0)</f>
        <v>0</v>
      </c>
      <c r="W403" s="9">
        <v>12907</v>
      </c>
      <c r="X403" s="6">
        <v>-0.6420588479991125</v>
      </c>
      <c r="Y403" s="8">
        <f>Table2[[#This Row],[DU sąnaudos]]*0.43</f>
        <v>21981.599999999999</v>
      </c>
      <c r="Z403" s="8">
        <f>Table2[[#This Row],[Apyvarta]]-Table2[[#This Row],[Ne-atlyginimų sąnaudos]]+Table2[[#This Row],[Fiks ir pelno mokestis]]</f>
        <v>86008.6</v>
      </c>
    </row>
    <row r="404" spans="1:26" x14ac:dyDescent="0.2">
      <c r="A404" s="5" t="s">
        <v>1590</v>
      </c>
      <c r="B404" s="5" t="s">
        <v>1591</v>
      </c>
      <c r="C404" s="5">
        <v>2024</v>
      </c>
      <c r="D404" s="5" t="s">
        <v>1721</v>
      </c>
      <c r="E404" s="5" t="s">
        <v>1721</v>
      </c>
      <c r="F404" s="5" t="s">
        <v>1721</v>
      </c>
      <c r="G404" s="5" t="s">
        <v>1721</v>
      </c>
      <c r="H404" s="5" t="s">
        <v>1721</v>
      </c>
      <c r="I404" s="5" t="s">
        <v>1721</v>
      </c>
      <c r="J404" s="5" t="s">
        <v>300</v>
      </c>
      <c r="K404" s="5" t="s">
        <v>1721</v>
      </c>
      <c r="L404" s="5" t="s">
        <v>1721</v>
      </c>
      <c r="M404" s="9">
        <v>5</v>
      </c>
      <c r="N404" s="6">
        <f>IFERROR(Table2[[#This Row],[Darbuotojų skaičius]]/M403-1,0)</f>
        <v>0.66666666666666674</v>
      </c>
      <c r="O404" s="9">
        <v>1995</v>
      </c>
      <c r="P404" s="6">
        <v>0.40492957746478869</v>
      </c>
      <c r="Q404" s="9">
        <f>Table2[[#This Row],[Atlyginimo vidurkis]]*Table2[[#This Row],[Darbuotojų skaičius]]*12</f>
        <v>119700</v>
      </c>
      <c r="R404" s="49">
        <f>IFERROR(Table2[[#This Row],[DU sąnaudos]]/Q403-1,0)</f>
        <v>1.341549295774648</v>
      </c>
      <c r="S404" s="9">
        <v>407865</v>
      </c>
      <c r="T404" s="6">
        <v>0.70157865313853263</v>
      </c>
      <c r="U404" s="9">
        <f>IF(Table2[[#This Row],[DU sąnaudos]]=0,0,Table2[[#This Row],[Apyvarta]]-Table2[[#This Row],[DU sąnaudos]]-Table2[[#This Row],[Pelnas]])</f>
        <v>227297</v>
      </c>
      <c r="V404" s="49">
        <f>IFERROR(Table2[[#This Row],[Ne-atlyginimų sąnaudos]]/U403-1,0)</f>
        <v>0.2938788986229941</v>
      </c>
      <c r="W404" s="9">
        <v>60868</v>
      </c>
      <c r="X404" s="6">
        <v>3.715890601998916</v>
      </c>
      <c r="Y404" s="8">
        <f>Table2[[#This Row],[DU sąnaudos]]*0.43</f>
        <v>51471</v>
      </c>
      <c r="Z404" s="8">
        <f>Table2[[#This Row],[Apyvarta]]-Table2[[#This Row],[Ne-atlyginimų sąnaudos]]+Table2[[#This Row],[Fiks ir pelno mokestis]]</f>
        <v>232039</v>
      </c>
    </row>
    <row r="405" spans="1:26" x14ac:dyDescent="0.2">
      <c r="A405" s="5" t="s">
        <v>734</v>
      </c>
      <c r="B405" s="5" t="s">
        <v>1593</v>
      </c>
      <c r="C405" s="5">
        <v>2019</v>
      </c>
      <c r="D405" s="5" t="s">
        <v>1721</v>
      </c>
      <c r="E405" s="5" t="s">
        <v>1721</v>
      </c>
      <c r="F405" s="5" t="s">
        <v>1721</v>
      </c>
      <c r="G405" s="5" t="s">
        <v>1721</v>
      </c>
      <c r="H405" s="5" t="s">
        <v>1721</v>
      </c>
      <c r="I405" s="5" t="s">
        <v>1721</v>
      </c>
      <c r="J405" s="5" t="s">
        <v>300</v>
      </c>
      <c r="K405" s="5" t="s">
        <v>1721</v>
      </c>
      <c r="L405" s="5" t="s">
        <v>1721</v>
      </c>
      <c r="M405" s="9">
        <v>0</v>
      </c>
      <c r="N405" s="6">
        <v>0</v>
      </c>
      <c r="O405" s="9">
        <v>0</v>
      </c>
      <c r="P405" s="6">
        <v>0</v>
      </c>
      <c r="Q405" s="9">
        <f>Table2[[#This Row],[Atlyginimo vidurkis]]*Table2[[#This Row],[Darbuotojų skaičius]]*12</f>
        <v>0</v>
      </c>
      <c r="R405" s="49">
        <v>0</v>
      </c>
      <c r="S405" s="9">
        <v>0</v>
      </c>
      <c r="T405" s="6">
        <v>0</v>
      </c>
      <c r="U405" s="9">
        <f>IF(Table2[[#This Row],[DU sąnaudos]]=0,0,Table2[[#This Row],[Apyvarta]]-Table2[[#This Row],[DU sąnaudos]]-Table2[[#This Row],[Pelnas]])</f>
        <v>0</v>
      </c>
      <c r="V405" s="49">
        <v>0</v>
      </c>
      <c r="W405" s="9">
        <v>0</v>
      </c>
      <c r="X405" s="6">
        <v>0</v>
      </c>
      <c r="Y405" s="8">
        <f>Table2[[#This Row],[DU sąnaudos]]*0.43</f>
        <v>0</v>
      </c>
      <c r="Z405" s="8">
        <f>Table2[[#This Row],[Apyvarta]]-Table2[[#This Row],[Ne-atlyginimų sąnaudos]]+Table2[[#This Row],[Fiks ir pelno mokestis]]</f>
        <v>0</v>
      </c>
    </row>
    <row r="406" spans="1:26" x14ac:dyDescent="0.2">
      <c r="A406" s="5" t="s">
        <v>734</v>
      </c>
      <c r="B406" s="5" t="s">
        <v>1593</v>
      </c>
      <c r="C406" s="5">
        <v>2020</v>
      </c>
      <c r="D406" s="5" t="s">
        <v>1721</v>
      </c>
      <c r="E406" s="5" t="s">
        <v>1721</v>
      </c>
      <c r="F406" s="5" t="s">
        <v>1721</v>
      </c>
      <c r="G406" s="5" t="s">
        <v>1721</v>
      </c>
      <c r="H406" s="5" t="s">
        <v>1721</v>
      </c>
      <c r="I406" s="5" t="s">
        <v>1721</v>
      </c>
      <c r="J406" s="5" t="s">
        <v>300</v>
      </c>
      <c r="K406" s="5" t="s">
        <v>1721</v>
      </c>
      <c r="L406" s="5" t="s">
        <v>1721</v>
      </c>
      <c r="M406" s="9">
        <v>0</v>
      </c>
      <c r="N406" s="6">
        <f>IFERROR(Table2[[#This Row],[Darbuotojų skaičius]]/M405-1,0)</f>
        <v>0</v>
      </c>
      <c r="O406" s="9">
        <v>0</v>
      </c>
      <c r="P406" s="6">
        <v>0</v>
      </c>
      <c r="Q406" s="9">
        <f>Table2[[#This Row],[Atlyginimo vidurkis]]*Table2[[#This Row],[Darbuotojų skaičius]]*12</f>
        <v>0</v>
      </c>
      <c r="R406" s="49">
        <f>IFERROR(Table2[[#This Row],[DU sąnaudos]]/Q405-1,0)</f>
        <v>0</v>
      </c>
      <c r="S406" s="9">
        <v>0</v>
      </c>
      <c r="T406" s="6">
        <v>0</v>
      </c>
      <c r="U406" s="9">
        <f>IF(Table2[[#This Row],[DU sąnaudos]]=0,0,Table2[[#This Row],[Apyvarta]]-Table2[[#This Row],[DU sąnaudos]]-Table2[[#This Row],[Pelnas]])</f>
        <v>0</v>
      </c>
      <c r="V406" s="49">
        <f>IFERROR(Table2[[#This Row],[Ne-atlyginimų sąnaudos]]/U405-1,0)</f>
        <v>0</v>
      </c>
      <c r="W406" s="9">
        <v>0</v>
      </c>
      <c r="X406" s="6">
        <v>0</v>
      </c>
      <c r="Y406" s="8">
        <f>Table2[[#This Row],[DU sąnaudos]]*0.43</f>
        <v>0</v>
      </c>
      <c r="Z406" s="8">
        <f>Table2[[#This Row],[Apyvarta]]-Table2[[#This Row],[Ne-atlyginimų sąnaudos]]+Table2[[#This Row],[Fiks ir pelno mokestis]]</f>
        <v>0</v>
      </c>
    </row>
    <row r="407" spans="1:26" x14ac:dyDescent="0.2">
      <c r="A407" s="5" t="s">
        <v>734</v>
      </c>
      <c r="B407" s="5" t="s">
        <v>1593</v>
      </c>
      <c r="C407" s="5">
        <v>2021</v>
      </c>
      <c r="D407" s="5" t="s">
        <v>1721</v>
      </c>
      <c r="E407" s="5" t="s">
        <v>1721</v>
      </c>
      <c r="F407" s="5" t="s">
        <v>1721</v>
      </c>
      <c r="G407" s="5" t="s">
        <v>1721</v>
      </c>
      <c r="H407" s="5" t="s">
        <v>1721</v>
      </c>
      <c r="I407" s="5" t="s">
        <v>1721</v>
      </c>
      <c r="J407" s="5" t="s">
        <v>300</v>
      </c>
      <c r="K407" s="5" t="s">
        <v>1721</v>
      </c>
      <c r="L407" s="5" t="s">
        <v>1721</v>
      </c>
      <c r="M407" s="9">
        <v>0</v>
      </c>
      <c r="N407" s="6">
        <f>IFERROR(Table2[[#This Row],[Darbuotojų skaičius]]/M406-1,0)</f>
        <v>0</v>
      </c>
      <c r="O407" s="9">
        <v>0</v>
      </c>
      <c r="P407" s="6">
        <v>0</v>
      </c>
      <c r="Q407" s="9">
        <f>Table2[[#This Row],[Atlyginimo vidurkis]]*Table2[[#This Row],[Darbuotojų skaičius]]*12</f>
        <v>0</v>
      </c>
      <c r="R407" s="49">
        <f>IFERROR(Table2[[#This Row],[DU sąnaudos]]/Q406-1,0)</f>
        <v>0</v>
      </c>
      <c r="S407" s="9">
        <v>0</v>
      </c>
      <c r="T407" s="6">
        <v>0</v>
      </c>
      <c r="U407" s="9">
        <f>IF(Table2[[#This Row],[DU sąnaudos]]=0,0,Table2[[#This Row],[Apyvarta]]-Table2[[#This Row],[DU sąnaudos]]-Table2[[#This Row],[Pelnas]])</f>
        <v>0</v>
      </c>
      <c r="V407" s="49">
        <f>IFERROR(Table2[[#This Row],[Ne-atlyginimų sąnaudos]]/U406-1,0)</f>
        <v>0</v>
      </c>
      <c r="W407" s="9">
        <v>0</v>
      </c>
      <c r="X407" s="6">
        <v>0</v>
      </c>
      <c r="Y407" s="8">
        <f>Table2[[#This Row],[DU sąnaudos]]*0.43</f>
        <v>0</v>
      </c>
      <c r="Z407" s="8">
        <f>Table2[[#This Row],[Apyvarta]]-Table2[[#This Row],[Ne-atlyginimų sąnaudos]]+Table2[[#This Row],[Fiks ir pelno mokestis]]</f>
        <v>0</v>
      </c>
    </row>
    <row r="408" spans="1:26" x14ac:dyDescent="0.2">
      <c r="A408" s="5" t="s">
        <v>734</v>
      </c>
      <c r="B408" s="5" t="s">
        <v>1593</v>
      </c>
      <c r="C408" s="5">
        <v>2022</v>
      </c>
      <c r="D408" s="5" t="s">
        <v>1721</v>
      </c>
      <c r="E408" s="5" t="s">
        <v>1721</v>
      </c>
      <c r="F408" s="5" t="s">
        <v>1721</v>
      </c>
      <c r="G408" s="5" t="s">
        <v>1721</v>
      </c>
      <c r="H408" s="5" t="s">
        <v>1721</v>
      </c>
      <c r="I408" s="5" t="s">
        <v>1721</v>
      </c>
      <c r="J408" s="5" t="s">
        <v>300</v>
      </c>
      <c r="K408" s="5" t="s">
        <v>1721</v>
      </c>
      <c r="L408" s="5" t="s">
        <v>1721</v>
      </c>
      <c r="M408" s="9">
        <v>0</v>
      </c>
      <c r="N408" s="6">
        <f>IFERROR(Table2[[#This Row],[Darbuotojų skaičius]]/M407-1,0)</f>
        <v>0</v>
      </c>
      <c r="O408" s="9">
        <v>0</v>
      </c>
      <c r="P408" s="6">
        <v>0</v>
      </c>
      <c r="Q408" s="9">
        <f>Table2[[#This Row],[Atlyginimo vidurkis]]*Table2[[#This Row],[Darbuotojų skaičius]]*12</f>
        <v>0</v>
      </c>
      <c r="R408" s="49">
        <f>IFERROR(Table2[[#This Row],[DU sąnaudos]]/Q407-1,0)</f>
        <v>0</v>
      </c>
      <c r="S408" s="9">
        <v>0</v>
      </c>
      <c r="T408" s="6">
        <v>0</v>
      </c>
      <c r="U408" s="9">
        <f>IF(Table2[[#This Row],[DU sąnaudos]]=0,0,Table2[[#This Row],[Apyvarta]]-Table2[[#This Row],[DU sąnaudos]]-Table2[[#This Row],[Pelnas]])</f>
        <v>0</v>
      </c>
      <c r="V408" s="49">
        <f>IFERROR(Table2[[#This Row],[Ne-atlyginimų sąnaudos]]/U407-1,0)</f>
        <v>0</v>
      </c>
      <c r="W408" s="9">
        <v>0</v>
      </c>
      <c r="X408" s="6">
        <v>0</v>
      </c>
      <c r="Y408" s="8">
        <f>Table2[[#This Row],[DU sąnaudos]]*0.43</f>
        <v>0</v>
      </c>
      <c r="Z408" s="8">
        <f>Table2[[#This Row],[Apyvarta]]-Table2[[#This Row],[Ne-atlyginimų sąnaudos]]+Table2[[#This Row],[Fiks ir pelno mokestis]]</f>
        <v>0</v>
      </c>
    </row>
    <row r="409" spans="1:26" x14ac:dyDescent="0.2">
      <c r="A409" s="5" t="s">
        <v>734</v>
      </c>
      <c r="B409" s="5" t="s">
        <v>1593</v>
      </c>
      <c r="C409" s="5">
        <v>2023</v>
      </c>
      <c r="D409" s="5" t="s">
        <v>1721</v>
      </c>
      <c r="E409" s="5" t="s">
        <v>1721</v>
      </c>
      <c r="F409" s="5" t="s">
        <v>1721</v>
      </c>
      <c r="G409" s="5" t="s">
        <v>1721</v>
      </c>
      <c r="H409" s="5" t="s">
        <v>1721</v>
      </c>
      <c r="I409" s="5" t="s">
        <v>1721</v>
      </c>
      <c r="J409" s="5" t="s">
        <v>300</v>
      </c>
      <c r="K409" s="5" t="s">
        <v>1721</v>
      </c>
      <c r="L409" s="5" t="s">
        <v>1721</v>
      </c>
      <c r="M409" s="9">
        <v>5</v>
      </c>
      <c r="N409" s="6">
        <f>IFERROR(Table2[[#This Row],[Darbuotojų skaičius]]/M408-1,0)</f>
        <v>0</v>
      </c>
      <c r="O409" s="9">
        <v>2871</v>
      </c>
      <c r="P409" s="6">
        <v>0</v>
      </c>
      <c r="Q409" s="9">
        <f>Table2[[#This Row],[Atlyginimo vidurkis]]*Table2[[#This Row],[Darbuotojų skaičius]]*12</f>
        <v>172260</v>
      </c>
      <c r="R409" s="49">
        <f>IFERROR(Table2[[#This Row],[DU sąnaudos]]/Q408-1,0)</f>
        <v>0</v>
      </c>
      <c r="S409" s="9">
        <v>133678</v>
      </c>
      <c r="T409" s="6">
        <v>0</v>
      </c>
      <c r="U409" s="9">
        <f>IF(Table2[[#This Row],[DU sąnaudos]]=0,0,Table2[[#This Row],[Apyvarta]]-Table2[[#This Row],[DU sąnaudos]]-Table2[[#This Row],[Pelnas]])</f>
        <v>-69443</v>
      </c>
      <c r="V409" s="49">
        <f>IFERROR(Table2[[#This Row],[Ne-atlyginimų sąnaudos]]/U408-1,0)</f>
        <v>0</v>
      </c>
      <c r="W409" s="9">
        <v>30861</v>
      </c>
      <c r="X409" s="6">
        <v>0</v>
      </c>
      <c r="Y409" s="8">
        <f>Table2[[#This Row],[DU sąnaudos]]*0.43</f>
        <v>74071.8</v>
      </c>
      <c r="Z409" s="8">
        <f>Table2[[#This Row],[Apyvarta]]-Table2[[#This Row],[Ne-atlyginimų sąnaudos]]+Table2[[#This Row],[Fiks ir pelno mokestis]]</f>
        <v>277192.8</v>
      </c>
    </row>
    <row r="410" spans="1:26" x14ac:dyDescent="0.2">
      <c r="A410" s="5" t="s">
        <v>734</v>
      </c>
      <c r="B410" s="5" t="s">
        <v>1593</v>
      </c>
      <c r="C410" s="5">
        <v>2024</v>
      </c>
      <c r="D410" s="5" t="s">
        <v>1721</v>
      </c>
      <c r="E410" s="5" t="s">
        <v>1721</v>
      </c>
      <c r="F410" s="5" t="s">
        <v>1721</v>
      </c>
      <c r="G410" s="5" t="s">
        <v>1721</v>
      </c>
      <c r="H410" s="5" t="s">
        <v>1721</v>
      </c>
      <c r="I410" s="5" t="s">
        <v>1721</v>
      </c>
      <c r="J410" s="5" t="s">
        <v>300</v>
      </c>
      <c r="K410" s="5" t="s">
        <v>1721</v>
      </c>
      <c r="L410" s="5" t="s">
        <v>1721</v>
      </c>
      <c r="M410" s="9">
        <v>6</v>
      </c>
      <c r="N410" s="6">
        <f>IFERROR(Table2[[#This Row],[Darbuotojų skaičius]]/M409-1,0)</f>
        <v>0.19999999999999996</v>
      </c>
      <c r="O410" s="9">
        <v>2938</v>
      </c>
      <c r="P410" s="6">
        <v>2.3336816440264752E-2</v>
      </c>
      <c r="Q410" s="9">
        <f>Table2[[#This Row],[Atlyginimo vidurkis]]*Table2[[#This Row],[Darbuotojų skaičius]]*12</f>
        <v>211536</v>
      </c>
      <c r="R410" s="49">
        <f>IFERROR(Table2[[#This Row],[DU sąnaudos]]/Q409-1,0)</f>
        <v>0.22800417972831766</v>
      </c>
      <c r="S410" s="9">
        <v>474855</v>
      </c>
      <c r="T410" s="6">
        <v>2.5522299854875148</v>
      </c>
      <c r="U410" s="9">
        <f>IF(Table2[[#This Row],[DU sąnaudos]]=0,0,Table2[[#This Row],[Apyvarta]]-Table2[[#This Row],[DU sąnaudos]]-Table2[[#This Row],[Pelnas]])</f>
        <v>189165</v>
      </c>
      <c r="V410" s="49">
        <f>IFERROR(Table2[[#This Row],[Ne-atlyginimų sąnaudos]]/U409-1,0)</f>
        <v>-3.7240326598793256</v>
      </c>
      <c r="W410" s="9">
        <v>74154</v>
      </c>
      <c r="X410" s="6">
        <v>1.4028385340721301</v>
      </c>
      <c r="Y410" s="8">
        <f>Table2[[#This Row],[DU sąnaudos]]*0.43</f>
        <v>90960.48</v>
      </c>
      <c r="Z410" s="8">
        <f>Table2[[#This Row],[Apyvarta]]-Table2[[#This Row],[Ne-atlyginimų sąnaudos]]+Table2[[#This Row],[Fiks ir pelno mokestis]]</f>
        <v>376650.48</v>
      </c>
    </row>
    <row r="411" spans="1:26" hidden="1" x14ac:dyDescent="0.2">
      <c r="A411" s="5" t="s">
        <v>333</v>
      </c>
      <c r="B411" s="5" t="s">
        <v>1595</v>
      </c>
      <c r="C411" s="5">
        <v>2019</v>
      </c>
      <c r="D411" s="5" t="s">
        <v>1727</v>
      </c>
      <c r="E411" s="5" t="s">
        <v>1721</v>
      </c>
      <c r="F411" s="5" t="s">
        <v>1721</v>
      </c>
      <c r="G411" s="5" t="s">
        <v>1721</v>
      </c>
      <c r="H411" s="5" t="s">
        <v>1721</v>
      </c>
      <c r="I411" s="5" t="s">
        <v>1721</v>
      </c>
      <c r="J411" s="5" t="s">
        <v>1721</v>
      </c>
      <c r="K411" s="5" t="s">
        <v>1721</v>
      </c>
      <c r="L411" s="5" t="s">
        <v>1721</v>
      </c>
      <c r="M411" s="9">
        <v>36</v>
      </c>
      <c r="N411" s="6">
        <v>0</v>
      </c>
      <c r="O411" s="9">
        <v>1280</v>
      </c>
      <c r="P411" s="6">
        <v>0</v>
      </c>
      <c r="Q411" s="9">
        <f>Table2[[#This Row],[Atlyginimo vidurkis]]*Table2[[#This Row],[Darbuotojų skaičius]]*12</f>
        <v>552960</v>
      </c>
      <c r="R411" s="49">
        <v>0</v>
      </c>
      <c r="S411" s="9">
        <v>3066953</v>
      </c>
      <c r="T411" s="6">
        <v>0</v>
      </c>
      <c r="U411" s="9">
        <f>IF(Table2[[#This Row],[DU sąnaudos]]=0,0,Table2[[#This Row],[Apyvarta]]-Table2[[#This Row],[DU sąnaudos]]-Table2[[#This Row],[Pelnas]])</f>
        <v>2301204</v>
      </c>
      <c r="V411" s="49">
        <v>0</v>
      </c>
      <c r="W411" s="9">
        <v>212789</v>
      </c>
      <c r="X411" s="6">
        <v>0</v>
      </c>
      <c r="Y411" s="8">
        <f>Table2[[#This Row],[DU sąnaudos]]*0.43</f>
        <v>237772.79999999999</v>
      </c>
      <c r="Z411" s="8">
        <f>Table2[[#This Row],[Apyvarta]]-Table2[[#This Row],[Ne-atlyginimų sąnaudos]]+Table2[[#This Row],[Fiks ir pelno mokestis]]</f>
        <v>1003521.8</v>
      </c>
    </row>
    <row r="412" spans="1:26" hidden="1" x14ac:dyDescent="0.2">
      <c r="A412" s="5" t="s">
        <v>333</v>
      </c>
      <c r="B412" s="5" t="s">
        <v>1595</v>
      </c>
      <c r="C412" s="5">
        <v>2020</v>
      </c>
      <c r="D412" s="5" t="s">
        <v>1727</v>
      </c>
      <c r="E412" s="5" t="s">
        <v>1721</v>
      </c>
      <c r="F412" s="5" t="s">
        <v>1721</v>
      </c>
      <c r="G412" s="5" t="s">
        <v>1721</v>
      </c>
      <c r="H412" s="5" t="s">
        <v>1721</v>
      </c>
      <c r="I412" s="5" t="s">
        <v>1721</v>
      </c>
      <c r="J412" s="5" t="s">
        <v>1721</v>
      </c>
      <c r="K412" s="5" t="s">
        <v>1721</v>
      </c>
      <c r="L412" s="5" t="s">
        <v>1721</v>
      </c>
      <c r="M412" s="9">
        <v>44</v>
      </c>
      <c r="N412" s="6">
        <f>IFERROR(Table2[[#This Row],[Darbuotojų skaičius]]/M411-1,0)</f>
        <v>0.22222222222222232</v>
      </c>
      <c r="O412" s="9">
        <v>1412</v>
      </c>
      <c r="P412" s="6">
        <v>0.1031249999999999</v>
      </c>
      <c r="Q412" s="9">
        <f>Table2[[#This Row],[Atlyginimo vidurkis]]*Table2[[#This Row],[Darbuotojų skaičius]]*12</f>
        <v>745536</v>
      </c>
      <c r="R412" s="49">
        <f>IFERROR(Table2[[#This Row],[DU sąnaudos]]/Q411-1,0)</f>
        <v>0.34826388888888893</v>
      </c>
      <c r="S412" s="9">
        <v>1961813</v>
      </c>
      <c r="T412" s="6">
        <v>-0.36033809451921828</v>
      </c>
      <c r="U412" s="9">
        <f>IF(Table2[[#This Row],[DU sąnaudos]]=0,0,Table2[[#This Row],[Apyvarta]]-Table2[[#This Row],[DU sąnaudos]]-Table2[[#This Row],[Pelnas]])</f>
        <v>1084079</v>
      </c>
      <c r="V412" s="49">
        <f>IFERROR(Table2[[#This Row],[Ne-atlyginimų sąnaudos]]/U411-1,0)</f>
        <v>-0.5289079108153818</v>
      </c>
      <c r="W412" s="9">
        <v>132198</v>
      </c>
      <c r="X412" s="6">
        <v>-0.37873668281725092</v>
      </c>
      <c r="Y412" s="8">
        <f>Table2[[#This Row],[DU sąnaudos]]*0.43</f>
        <v>320580.47999999998</v>
      </c>
      <c r="Z412" s="8">
        <f>Table2[[#This Row],[Apyvarta]]-Table2[[#This Row],[Ne-atlyginimų sąnaudos]]+Table2[[#This Row],[Fiks ir pelno mokestis]]</f>
        <v>1198314.48</v>
      </c>
    </row>
    <row r="413" spans="1:26" hidden="1" x14ac:dyDescent="0.2">
      <c r="A413" s="5" t="s">
        <v>333</v>
      </c>
      <c r="B413" s="5" t="s">
        <v>1595</v>
      </c>
      <c r="C413" s="5">
        <v>2021</v>
      </c>
      <c r="D413" s="5" t="s">
        <v>1727</v>
      </c>
      <c r="E413" s="5" t="s">
        <v>1721</v>
      </c>
      <c r="F413" s="5" t="s">
        <v>1721</v>
      </c>
      <c r="G413" s="5" t="s">
        <v>1721</v>
      </c>
      <c r="H413" s="5" t="s">
        <v>1721</v>
      </c>
      <c r="I413" s="5" t="s">
        <v>1721</v>
      </c>
      <c r="J413" s="5" t="s">
        <v>1721</v>
      </c>
      <c r="K413" s="5" t="s">
        <v>1721</v>
      </c>
      <c r="L413" s="5" t="s">
        <v>1721</v>
      </c>
      <c r="M413" s="9">
        <v>99</v>
      </c>
      <c r="N413" s="6">
        <f>IFERROR(Table2[[#This Row],[Darbuotojų skaičius]]/M412-1,0)</f>
        <v>1.25</v>
      </c>
      <c r="O413" s="9">
        <v>1650</v>
      </c>
      <c r="P413" s="6">
        <v>0.16855524079320119</v>
      </c>
      <c r="Q413" s="9">
        <f>Table2[[#This Row],[Atlyginimo vidurkis]]*Table2[[#This Row],[Darbuotojų skaičius]]*12</f>
        <v>1960200</v>
      </c>
      <c r="R413" s="49">
        <f>IFERROR(Table2[[#This Row],[DU sąnaudos]]/Q412-1,0)</f>
        <v>1.6292492917847023</v>
      </c>
      <c r="S413" s="9">
        <v>3042658</v>
      </c>
      <c r="T413" s="6">
        <v>0.55094190934609966</v>
      </c>
      <c r="U413" s="9">
        <f>IF(Table2[[#This Row],[DU sąnaudos]]=0,0,Table2[[#This Row],[Apyvarta]]-Table2[[#This Row],[DU sąnaudos]]-Table2[[#This Row],[Pelnas]])</f>
        <v>862591</v>
      </c>
      <c r="V413" s="49">
        <f>IFERROR(Table2[[#This Row],[Ne-atlyginimų sąnaudos]]/U412-1,0)</f>
        <v>-0.20430983350844356</v>
      </c>
      <c r="W413" s="9">
        <v>219867</v>
      </c>
      <c r="X413" s="6">
        <v>0.66316434439250216</v>
      </c>
      <c r="Y413" s="8">
        <f>Table2[[#This Row],[DU sąnaudos]]*0.43</f>
        <v>842886</v>
      </c>
      <c r="Z413" s="8">
        <f>Table2[[#This Row],[Apyvarta]]-Table2[[#This Row],[Ne-atlyginimų sąnaudos]]+Table2[[#This Row],[Fiks ir pelno mokestis]]</f>
        <v>3022953</v>
      </c>
    </row>
    <row r="414" spans="1:26" hidden="1" x14ac:dyDescent="0.2">
      <c r="A414" s="5" t="s">
        <v>333</v>
      </c>
      <c r="B414" s="5" t="s">
        <v>1595</v>
      </c>
      <c r="C414" s="5">
        <v>2022</v>
      </c>
      <c r="D414" s="5" t="s">
        <v>1727</v>
      </c>
      <c r="E414" s="5" t="s">
        <v>1721</v>
      </c>
      <c r="F414" s="5" t="s">
        <v>1721</v>
      </c>
      <c r="G414" s="5" t="s">
        <v>1721</v>
      </c>
      <c r="H414" s="5" t="s">
        <v>1721</v>
      </c>
      <c r="I414" s="5" t="s">
        <v>1721</v>
      </c>
      <c r="J414" s="5" t="s">
        <v>1721</v>
      </c>
      <c r="K414" s="5" t="s">
        <v>1721</v>
      </c>
      <c r="L414" s="5" t="s">
        <v>1721</v>
      </c>
      <c r="M414" s="9">
        <v>82</v>
      </c>
      <c r="N414" s="6">
        <f>IFERROR(Table2[[#This Row],[Darbuotojų skaičius]]/M413-1,0)</f>
        <v>-0.17171717171717171</v>
      </c>
      <c r="O414" s="9">
        <v>2101</v>
      </c>
      <c r="P414" s="6">
        <v>0.27333333333333337</v>
      </c>
      <c r="Q414" s="9">
        <f>Table2[[#This Row],[Atlyginimo vidurkis]]*Table2[[#This Row],[Darbuotojų skaičius]]*12</f>
        <v>2067384</v>
      </c>
      <c r="R414" s="49">
        <f>IFERROR(Table2[[#This Row],[DU sąnaudos]]/Q413-1,0)</f>
        <v>5.4680134680134662E-2</v>
      </c>
      <c r="S414" s="9">
        <v>4774281</v>
      </c>
      <c r="T414" s="6">
        <v>0.56911522754118282</v>
      </c>
      <c r="U414" s="9">
        <f>IF(Table2[[#This Row],[DU sąnaudos]]=0,0,Table2[[#This Row],[Apyvarta]]-Table2[[#This Row],[DU sąnaudos]]-Table2[[#This Row],[Pelnas]])</f>
        <v>2388422</v>
      </c>
      <c r="V414" s="49">
        <f>IFERROR(Table2[[#This Row],[Ne-atlyginimų sąnaudos]]/U413-1,0)</f>
        <v>1.7688927892825221</v>
      </c>
      <c r="W414" s="9">
        <v>318475</v>
      </c>
      <c r="X414" s="6">
        <v>0.44848931399436931</v>
      </c>
      <c r="Y414" s="8">
        <f>Table2[[#This Row],[DU sąnaudos]]*0.43</f>
        <v>888975.12</v>
      </c>
      <c r="Z414" s="8">
        <f>Table2[[#This Row],[Apyvarta]]-Table2[[#This Row],[Ne-atlyginimų sąnaudos]]+Table2[[#This Row],[Fiks ir pelno mokestis]]</f>
        <v>3274834.12</v>
      </c>
    </row>
    <row r="415" spans="1:26" hidden="1" x14ac:dyDescent="0.2">
      <c r="A415" s="5" t="s">
        <v>333</v>
      </c>
      <c r="B415" s="5" t="s">
        <v>1595</v>
      </c>
      <c r="C415" s="5">
        <v>2023</v>
      </c>
      <c r="D415" s="5" t="s">
        <v>1727</v>
      </c>
      <c r="E415" s="5" t="s">
        <v>1721</v>
      </c>
      <c r="F415" s="5" t="s">
        <v>1721</v>
      </c>
      <c r="G415" s="5" t="s">
        <v>1721</v>
      </c>
      <c r="H415" s="5" t="s">
        <v>1721</v>
      </c>
      <c r="I415" s="5" t="s">
        <v>1721</v>
      </c>
      <c r="J415" s="5" t="s">
        <v>1721</v>
      </c>
      <c r="K415" s="5" t="s">
        <v>1721</v>
      </c>
      <c r="L415" s="5" t="s">
        <v>1721</v>
      </c>
      <c r="M415" s="9">
        <v>78</v>
      </c>
      <c r="N415" s="6">
        <f>IFERROR(Table2[[#This Row],[Darbuotojų skaičius]]/M414-1,0)</f>
        <v>-4.8780487804878092E-2</v>
      </c>
      <c r="O415" s="9">
        <v>2396</v>
      </c>
      <c r="P415" s="6">
        <v>0.14040932889100419</v>
      </c>
      <c r="Q415" s="9">
        <f>Table2[[#This Row],[Atlyginimo vidurkis]]*Table2[[#This Row],[Darbuotojų skaičius]]*12</f>
        <v>2242656</v>
      </c>
      <c r="R415" s="49">
        <f>IFERROR(Table2[[#This Row],[DU sąnaudos]]/Q414-1,0)</f>
        <v>8.4779605530467483E-2</v>
      </c>
      <c r="S415" s="9">
        <v>5838294</v>
      </c>
      <c r="T415" s="6">
        <v>0.22286350552051701</v>
      </c>
      <c r="U415" s="9">
        <f>IF(Table2[[#This Row],[DU sąnaudos]]=0,0,Table2[[#This Row],[Apyvarta]]-Table2[[#This Row],[DU sąnaudos]]-Table2[[#This Row],[Pelnas]])</f>
        <v>3230033</v>
      </c>
      <c r="V415" s="49">
        <f>IFERROR(Table2[[#This Row],[Ne-atlyginimų sąnaudos]]/U414-1,0)</f>
        <v>0.35237114714233919</v>
      </c>
      <c r="W415" s="9">
        <v>365605</v>
      </c>
      <c r="X415" s="6">
        <v>0.14798649815527121</v>
      </c>
      <c r="Y415" s="8">
        <f>Table2[[#This Row],[DU sąnaudos]]*0.43</f>
        <v>964342.08</v>
      </c>
      <c r="Z415" s="8">
        <f>Table2[[#This Row],[Apyvarta]]-Table2[[#This Row],[Ne-atlyginimų sąnaudos]]+Table2[[#This Row],[Fiks ir pelno mokestis]]</f>
        <v>3572603.08</v>
      </c>
    </row>
    <row r="416" spans="1:26" hidden="1" x14ac:dyDescent="0.2">
      <c r="A416" s="5" t="s">
        <v>333</v>
      </c>
      <c r="B416" s="5" t="s">
        <v>1595</v>
      </c>
      <c r="C416" s="5">
        <v>2024</v>
      </c>
      <c r="D416" s="5" t="s">
        <v>1727</v>
      </c>
      <c r="E416" s="5" t="s">
        <v>1721</v>
      </c>
      <c r="F416" s="5" t="s">
        <v>1721</v>
      </c>
      <c r="G416" s="5" t="s">
        <v>1721</v>
      </c>
      <c r="H416" s="5" t="s">
        <v>1721</v>
      </c>
      <c r="I416" s="5" t="s">
        <v>1721</v>
      </c>
      <c r="J416" s="5" t="s">
        <v>1721</v>
      </c>
      <c r="K416" s="5" t="s">
        <v>1721</v>
      </c>
      <c r="L416" s="5" t="s">
        <v>1721</v>
      </c>
      <c r="M416" s="9">
        <v>30</v>
      </c>
      <c r="N416" s="6">
        <f>IFERROR(Table2[[#This Row],[Darbuotojų skaičius]]/M415-1,0)</f>
        <v>-0.61538461538461542</v>
      </c>
      <c r="O416" s="9">
        <v>2591</v>
      </c>
      <c r="P416" s="6">
        <v>8.1385642737896502E-2</v>
      </c>
      <c r="Q416" s="9">
        <f>Table2[[#This Row],[Atlyginimo vidurkis]]*Table2[[#This Row],[Darbuotojų skaičius]]*12</f>
        <v>932760</v>
      </c>
      <c r="R416" s="49">
        <f>IFERROR(Table2[[#This Row],[DU sąnaudos]]/Q415-1,0)</f>
        <v>-0.58408244510080909</v>
      </c>
      <c r="S416" s="9">
        <v>4789830</v>
      </c>
      <c r="T416" s="6">
        <v>-0.17958396750831659</v>
      </c>
      <c r="U416" s="9">
        <f>IF(Table2[[#This Row],[DU sąnaudos]]=0,0,Table2[[#This Row],[Apyvarta]]-Table2[[#This Row],[DU sąnaudos]]-Table2[[#This Row],[Pelnas]])</f>
        <v>3724250</v>
      </c>
      <c r="V416" s="49">
        <f>IFERROR(Table2[[#This Row],[Ne-atlyginimų sąnaudos]]/U415-1,0)</f>
        <v>0.15300679590580035</v>
      </c>
      <c r="W416" s="9">
        <v>132820</v>
      </c>
      <c r="X416" s="6">
        <v>-0.63671175175394212</v>
      </c>
      <c r="Y416" s="8">
        <f>Table2[[#This Row],[DU sąnaudos]]*0.43</f>
        <v>401086.8</v>
      </c>
      <c r="Z416" s="8">
        <f>Table2[[#This Row],[Apyvarta]]-Table2[[#This Row],[Ne-atlyginimų sąnaudos]]+Table2[[#This Row],[Fiks ir pelno mokestis]]</f>
        <v>1466666.8</v>
      </c>
    </row>
    <row r="417" spans="1:26" x14ac:dyDescent="0.2">
      <c r="A417" s="5" t="s">
        <v>834</v>
      </c>
      <c r="B417" s="5" t="s">
        <v>1600</v>
      </c>
      <c r="C417" s="5">
        <v>2019</v>
      </c>
      <c r="D417" s="5" t="s">
        <v>1721</v>
      </c>
      <c r="E417" s="5" t="s">
        <v>1721</v>
      </c>
      <c r="F417" s="5" t="s">
        <v>1721</v>
      </c>
      <c r="G417" s="5" t="s">
        <v>1721</v>
      </c>
      <c r="H417" s="5" t="s">
        <v>1721</v>
      </c>
      <c r="I417" s="5" t="s">
        <v>1721</v>
      </c>
      <c r="J417" s="5" t="s">
        <v>300</v>
      </c>
      <c r="K417" s="5" t="s">
        <v>1721</v>
      </c>
      <c r="L417" s="5" t="s">
        <v>1721</v>
      </c>
      <c r="M417" s="9">
        <v>0</v>
      </c>
      <c r="N417" s="6">
        <v>0</v>
      </c>
      <c r="O417" s="9">
        <v>0</v>
      </c>
      <c r="P417" s="6">
        <v>0</v>
      </c>
      <c r="Q417" s="9">
        <f>Table2[[#This Row],[Atlyginimo vidurkis]]*Table2[[#This Row],[Darbuotojų skaičius]]*12</f>
        <v>0</v>
      </c>
      <c r="R417" s="49">
        <v>0</v>
      </c>
      <c r="S417" s="9">
        <v>0</v>
      </c>
      <c r="T417" s="6">
        <v>0</v>
      </c>
      <c r="U417" s="9">
        <f>IF(Table2[[#This Row],[DU sąnaudos]]=0,0,Table2[[#This Row],[Apyvarta]]-Table2[[#This Row],[DU sąnaudos]]-Table2[[#This Row],[Pelnas]])</f>
        <v>0</v>
      </c>
      <c r="V417" s="49">
        <v>0</v>
      </c>
      <c r="W417" s="9">
        <v>0</v>
      </c>
      <c r="X417" s="6">
        <v>0</v>
      </c>
      <c r="Y417" s="8">
        <f>Table2[[#This Row],[DU sąnaudos]]*0.43</f>
        <v>0</v>
      </c>
      <c r="Z417" s="8">
        <f>Table2[[#This Row],[Apyvarta]]-Table2[[#This Row],[Ne-atlyginimų sąnaudos]]+Table2[[#This Row],[Fiks ir pelno mokestis]]</f>
        <v>0</v>
      </c>
    </row>
    <row r="418" spans="1:26" x14ac:dyDescent="0.2">
      <c r="A418" s="5" t="s">
        <v>834</v>
      </c>
      <c r="B418" s="5" t="s">
        <v>1600</v>
      </c>
      <c r="C418" s="5">
        <v>2020</v>
      </c>
      <c r="D418" s="5" t="s">
        <v>1721</v>
      </c>
      <c r="E418" s="5" t="s">
        <v>1721</v>
      </c>
      <c r="F418" s="5" t="s">
        <v>1721</v>
      </c>
      <c r="G418" s="5" t="s">
        <v>1721</v>
      </c>
      <c r="H418" s="5" t="s">
        <v>1721</v>
      </c>
      <c r="I418" s="5" t="s">
        <v>1721</v>
      </c>
      <c r="J418" s="5" t="s">
        <v>300</v>
      </c>
      <c r="K418" s="5" t="s">
        <v>1721</v>
      </c>
      <c r="L418" s="5" t="s">
        <v>1721</v>
      </c>
      <c r="M418" s="9">
        <v>0</v>
      </c>
      <c r="N418" s="6">
        <f>IFERROR(Table2[[#This Row],[Darbuotojų skaičius]]/M417-1,0)</f>
        <v>0</v>
      </c>
      <c r="O418" s="9">
        <v>0</v>
      </c>
      <c r="P418" s="6">
        <v>0</v>
      </c>
      <c r="Q418" s="9">
        <f>Table2[[#This Row],[Atlyginimo vidurkis]]*Table2[[#This Row],[Darbuotojų skaičius]]*12</f>
        <v>0</v>
      </c>
      <c r="R418" s="49">
        <f>IFERROR(Table2[[#This Row],[DU sąnaudos]]/Q417-1,0)</f>
        <v>0</v>
      </c>
      <c r="S418" s="9">
        <v>0</v>
      </c>
      <c r="T418" s="6">
        <v>0</v>
      </c>
      <c r="U418" s="9">
        <f>IF(Table2[[#This Row],[DU sąnaudos]]=0,0,Table2[[#This Row],[Apyvarta]]-Table2[[#This Row],[DU sąnaudos]]-Table2[[#This Row],[Pelnas]])</f>
        <v>0</v>
      </c>
      <c r="V418" s="49">
        <f>IFERROR(Table2[[#This Row],[Ne-atlyginimų sąnaudos]]/U417-1,0)</f>
        <v>0</v>
      </c>
      <c r="W418" s="9">
        <v>0</v>
      </c>
      <c r="X418" s="6">
        <v>0</v>
      </c>
      <c r="Y418" s="8">
        <f>Table2[[#This Row],[DU sąnaudos]]*0.43</f>
        <v>0</v>
      </c>
      <c r="Z418" s="8">
        <f>Table2[[#This Row],[Apyvarta]]-Table2[[#This Row],[Ne-atlyginimų sąnaudos]]+Table2[[#This Row],[Fiks ir pelno mokestis]]</f>
        <v>0</v>
      </c>
    </row>
    <row r="419" spans="1:26" x14ac:dyDescent="0.2">
      <c r="A419" s="5" t="s">
        <v>834</v>
      </c>
      <c r="B419" s="5" t="s">
        <v>1600</v>
      </c>
      <c r="C419" s="5">
        <v>2021</v>
      </c>
      <c r="D419" s="5" t="s">
        <v>1721</v>
      </c>
      <c r="E419" s="5" t="s">
        <v>1721</v>
      </c>
      <c r="F419" s="5" t="s">
        <v>1721</v>
      </c>
      <c r="G419" s="5" t="s">
        <v>1721</v>
      </c>
      <c r="H419" s="5" t="s">
        <v>1721</v>
      </c>
      <c r="I419" s="5" t="s">
        <v>1721</v>
      </c>
      <c r="J419" s="5" t="s">
        <v>300</v>
      </c>
      <c r="K419" s="5" t="s">
        <v>1721</v>
      </c>
      <c r="L419" s="5" t="s">
        <v>1721</v>
      </c>
      <c r="M419" s="9">
        <v>0</v>
      </c>
      <c r="N419" s="6">
        <f>IFERROR(Table2[[#This Row],[Darbuotojų skaičius]]/M418-1,0)</f>
        <v>0</v>
      </c>
      <c r="O419" s="9">
        <v>0</v>
      </c>
      <c r="P419" s="6">
        <v>0</v>
      </c>
      <c r="Q419" s="9">
        <f>Table2[[#This Row],[Atlyginimo vidurkis]]*Table2[[#This Row],[Darbuotojų skaičius]]*12</f>
        <v>0</v>
      </c>
      <c r="R419" s="49">
        <f>IFERROR(Table2[[#This Row],[DU sąnaudos]]/Q418-1,0)</f>
        <v>0</v>
      </c>
      <c r="S419" s="9">
        <v>0</v>
      </c>
      <c r="T419" s="6">
        <v>0</v>
      </c>
      <c r="U419" s="9">
        <f>IF(Table2[[#This Row],[DU sąnaudos]]=0,0,Table2[[#This Row],[Apyvarta]]-Table2[[#This Row],[DU sąnaudos]]-Table2[[#This Row],[Pelnas]])</f>
        <v>0</v>
      </c>
      <c r="V419" s="49">
        <f>IFERROR(Table2[[#This Row],[Ne-atlyginimų sąnaudos]]/U418-1,0)</f>
        <v>0</v>
      </c>
      <c r="W419" s="9">
        <v>0</v>
      </c>
      <c r="X419" s="6">
        <v>0</v>
      </c>
      <c r="Y419" s="8">
        <f>Table2[[#This Row],[DU sąnaudos]]*0.43</f>
        <v>0</v>
      </c>
      <c r="Z419" s="8">
        <f>Table2[[#This Row],[Apyvarta]]-Table2[[#This Row],[Ne-atlyginimų sąnaudos]]+Table2[[#This Row],[Fiks ir pelno mokestis]]</f>
        <v>0</v>
      </c>
    </row>
    <row r="420" spans="1:26" x14ac:dyDescent="0.2">
      <c r="A420" s="5" t="s">
        <v>834</v>
      </c>
      <c r="B420" s="5" t="s">
        <v>1600</v>
      </c>
      <c r="C420" s="5">
        <v>2022</v>
      </c>
      <c r="D420" s="5" t="s">
        <v>1721</v>
      </c>
      <c r="E420" s="5" t="s">
        <v>1721</v>
      </c>
      <c r="F420" s="5" t="s">
        <v>1721</v>
      </c>
      <c r="G420" s="5" t="s">
        <v>1721</v>
      </c>
      <c r="H420" s="5" t="s">
        <v>1721</v>
      </c>
      <c r="I420" s="5" t="s">
        <v>1721</v>
      </c>
      <c r="J420" s="5" t="s">
        <v>300</v>
      </c>
      <c r="K420" s="5" t="s">
        <v>1721</v>
      </c>
      <c r="L420" s="5" t="s">
        <v>1721</v>
      </c>
      <c r="M420" s="9">
        <v>0</v>
      </c>
      <c r="N420" s="6">
        <f>IFERROR(Table2[[#This Row],[Darbuotojų skaičius]]/M419-1,0)</f>
        <v>0</v>
      </c>
      <c r="O420" s="9">
        <v>0</v>
      </c>
      <c r="P420" s="6">
        <v>0</v>
      </c>
      <c r="Q420" s="9">
        <f>Table2[[#This Row],[Atlyginimo vidurkis]]*Table2[[#This Row],[Darbuotojų skaičius]]*12</f>
        <v>0</v>
      </c>
      <c r="R420" s="49">
        <f>IFERROR(Table2[[#This Row],[DU sąnaudos]]/Q419-1,0)</f>
        <v>0</v>
      </c>
      <c r="S420" s="9">
        <v>0</v>
      </c>
      <c r="T420" s="6">
        <v>0</v>
      </c>
      <c r="U420" s="9">
        <f>IF(Table2[[#This Row],[DU sąnaudos]]=0,0,Table2[[#This Row],[Apyvarta]]-Table2[[#This Row],[DU sąnaudos]]-Table2[[#This Row],[Pelnas]])</f>
        <v>0</v>
      </c>
      <c r="V420" s="49">
        <f>IFERROR(Table2[[#This Row],[Ne-atlyginimų sąnaudos]]/U419-1,0)</f>
        <v>0</v>
      </c>
      <c r="W420" s="9">
        <v>0</v>
      </c>
      <c r="X420" s="6">
        <v>0</v>
      </c>
      <c r="Y420" s="8">
        <f>Table2[[#This Row],[DU sąnaudos]]*0.43</f>
        <v>0</v>
      </c>
      <c r="Z420" s="8">
        <f>Table2[[#This Row],[Apyvarta]]-Table2[[#This Row],[Ne-atlyginimų sąnaudos]]+Table2[[#This Row],[Fiks ir pelno mokestis]]</f>
        <v>0</v>
      </c>
    </row>
    <row r="421" spans="1:26" x14ac:dyDescent="0.2">
      <c r="A421" s="5" t="s">
        <v>834</v>
      </c>
      <c r="B421" s="5" t="s">
        <v>1600</v>
      </c>
      <c r="C421" s="5">
        <v>2023</v>
      </c>
      <c r="D421" s="5" t="s">
        <v>1721</v>
      </c>
      <c r="E421" s="5" t="s">
        <v>1721</v>
      </c>
      <c r="F421" s="5" t="s">
        <v>1721</v>
      </c>
      <c r="G421" s="5" t="s">
        <v>1721</v>
      </c>
      <c r="H421" s="5" t="s">
        <v>1721</v>
      </c>
      <c r="I421" s="5" t="s">
        <v>1721</v>
      </c>
      <c r="J421" s="5" t="s">
        <v>300</v>
      </c>
      <c r="K421" s="5" t="s">
        <v>1721</v>
      </c>
      <c r="L421" s="5" t="s">
        <v>1721</v>
      </c>
      <c r="M421" s="9">
        <v>0</v>
      </c>
      <c r="N421" s="6">
        <f>IFERROR(Table2[[#This Row],[Darbuotojų skaičius]]/M420-1,0)</f>
        <v>0</v>
      </c>
      <c r="O421" s="9">
        <v>0</v>
      </c>
      <c r="P421" s="6">
        <v>0</v>
      </c>
      <c r="Q421" s="9">
        <f>Table2[[#This Row],[Atlyginimo vidurkis]]*Table2[[#This Row],[Darbuotojų skaičius]]*12</f>
        <v>0</v>
      </c>
      <c r="R421" s="49">
        <f>IFERROR(Table2[[#This Row],[DU sąnaudos]]/Q420-1,0)</f>
        <v>0</v>
      </c>
      <c r="S421" s="9">
        <v>0</v>
      </c>
      <c r="T421" s="6">
        <v>0</v>
      </c>
      <c r="U421" s="9">
        <f>IF(Table2[[#This Row],[DU sąnaudos]]=0,0,Table2[[#This Row],[Apyvarta]]-Table2[[#This Row],[DU sąnaudos]]-Table2[[#This Row],[Pelnas]])</f>
        <v>0</v>
      </c>
      <c r="V421" s="49">
        <f>IFERROR(Table2[[#This Row],[Ne-atlyginimų sąnaudos]]/U420-1,0)</f>
        <v>0</v>
      </c>
      <c r="W421" s="9">
        <v>0</v>
      </c>
      <c r="X421" s="6">
        <v>0</v>
      </c>
      <c r="Y421" s="8">
        <f>Table2[[#This Row],[DU sąnaudos]]*0.43</f>
        <v>0</v>
      </c>
      <c r="Z421" s="8">
        <f>Table2[[#This Row],[Apyvarta]]-Table2[[#This Row],[Ne-atlyginimų sąnaudos]]+Table2[[#This Row],[Fiks ir pelno mokestis]]</f>
        <v>0</v>
      </c>
    </row>
    <row r="422" spans="1:26" x14ac:dyDescent="0.2">
      <c r="A422" s="5" t="s">
        <v>834</v>
      </c>
      <c r="B422" s="5" t="s">
        <v>1600</v>
      </c>
      <c r="C422" s="5">
        <v>2024</v>
      </c>
      <c r="D422" s="5" t="s">
        <v>1721</v>
      </c>
      <c r="E422" s="5" t="s">
        <v>1721</v>
      </c>
      <c r="F422" s="5" t="s">
        <v>1721</v>
      </c>
      <c r="G422" s="5" t="s">
        <v>1721</v>
      </c>
      <c r="H422" s="5" t="s">
        <v>1721</v>
      </c>
      <c r="I422" s="5" t="s">
        <v>1721</v>
      </c>
      <c r="J422" s="5" t="s">
        <v>300</v>
      </c>
      <c r="K422" s="5" t="s">
        <v>1721</v>
      </c>
      <c r="L422" s="5" t="s">
        <v>1721</v>
      </c>
      <c r="M422" s="9">
        <v>0</v>
      </c>
      <c r="N422" s="6">
        <f>IFERROR(Table2[[#This Row],[Darbuotojų skaičius]]/M421-1,0)</f>
        <v>0</v>
      </c>
      <c r="O422" s="9">
        <v>0</v>
      </c>
      <c r="P422" s="6">
        <v>0</v>
      </c>
      <c r="Q422" s="9">
        <f>Table2[[#This Row],[Atlyginimo vidurkis]]*Table2[[#This Row],[Darbuotojų skaičius]]*12</f>
        <v>0</v>
      </c>
      <c r="R422" s="49">
        <f>IFERROR(Table2[[#This Row],[DU sąnaudos]]/Q421-1,0)</f>
        <v>0</v>
      </c>
      <c r="S422" s="9">
        <v>168267</v>
      </c>
      <c r="T422" s="6">
        <v>0</v>
      </c>
      <c r="U422" s="9">
        <f>IF(Table2[[#This Row],[DU sąnaudos]]=0,0,Table2[[#This Row],[Apyvarta]]-Table2[[#This Row],[DU sąnaudos]]-Table2[[#This Row],[Pelnas]])</f>
        <v>0</v>
      </c>
      <c r="V422" s="49">
        <f>IFERROR(Table2[[#This Row],[Ne-atlyginimų sąnaudos]]/U421-1,0)</f>
        <v>0</v>
      </c>
      <c r="W422" s="9">
        <v>66604</v>
      </c>
      <c r="X422" s="6">
        <v>0</v>
      </c>
      <c r="Y422" s="8">
        <f>Table2[[#This Row],[DU sąnaudos]]*0.43</f>
        <v>0</v>
      </c>
      <c r="Z422" s="8">
        <f>Table2[[#This Row],[Apyvarta]]-Table2[[#This Row],[Ne-atlyginimų sąnaudos]]+Table2[[#This Row],[Fiks ir pelno mokestis]]</f>
        <v>168267</v>
      </c>
    </row>
    <row r="423" spans="1:26" x14ac:dyDescent="0.2">
      <c r="A423" s="5" t="s">
        <v>1006</v>
      </c>
      <c r="B423" s="5" t="s">
        <v>1601</v>
      </c>
      <c r="C423" s="5">
        <v>2019</v>
      </c>
      <c r="D423" s="5" t="s">
        <v>1721</v>
      </c>
      <c r="E423" s="5" t="s">
        <v>1721</v>
      </c>
      <c r="F423" s="5" t="s">
        <v>1721</v>
      </c>
      <c r="G423" s="5" t="s">
        <v>1721</v>
      </c>
      <c r="H423" s="5" t="s">
        <v>1721</v>
      </c>
      <c r="I423" s="5" t="s">
        <v>1721</v>
      </c>
      <c r="J423" s="5" t="s">
        <v>300</v>
      </c>
      <c r="K423" s="5" t="s">
        <v>1721</v>
      </c>
      <c r="L423" s="5" t="s">
        <v>1721</v>
      </c>
      <c r="M423" s="9">
        <v>10</v>
      </c>
      <c r="N423" s="6">
        <v>0</v>
      </c>
      <c r="O423" s="9">
        <v>1527</v>
      </c>
      <c r="P423" s="6">
        <v>0</v>
      </c>
      <c r="Q423" s="9">
        <f>Table2[[#This Row],[Atlyginimo vidurkis]]*Table2[[#This Row],[Darbuotojų skaičius]]*12</f>
        <v>183240</v>
      </c>
      <c r="R423" s="49">
        <v>0</v>
      </c>
      <c r="S423" s="9">
        <v>387275</v>
      </c>
      <c r="T423" s="6">
        <v>0</v>
      </c>
      <c r="U423" s="9">
        <f>IF(Table2[[#This Row],[DU sąnaudos]]=0,0,Table2[[#This Row],[Apyvarta]]-Table2[[#This Row],[DU sąnaudos]]-Table2[[#This Row],[Pelnas]])</f>
        <v>196739</v>
      </c>
      <c r="V423" s="49">
        <v>0</v>
      </c>
      <c r="W423" s="9">
        <v>7296</v>
      </c>
      <c r="X423" s="6">
        <v>0</v>
      </c>
      <c r="Y423" s="8">
        <f>Table2[[#This Row],[DU sąnaudos]]*0.43</f>
        <v>78793.2</v>
      </c>
      <c r="Z423" s="8">
        <f>Table2[[#This Row],[Apyvarta]]-Table2[[#This Row],[Ne-atlyginimų sąnaudos]]+Table2[[#This Row],[Fiks ir pelno mokestis]]</f>
        <v>269329.2</v>
      </c>
    </row>
    <row r="424" spans="1:26" x14ac:dyDescent="0.2">
      <c r="A424" s="5" t="s">
        <v>1006</v>
      </c>
      <c r="B424" s="5" t="s">
        <v>1601</v>
      </c>
      <c r="C424" s="5">
        <v>2020</v>
      </c>
      <c r="D424" s="5" t="s">
        <v>1721</v>
      </c>
      <c r="E424" s="5" t="s">
        <v>1721</v>
      </c>
      <c r="F424" s="5" t="s">
        <v>1721</v>
      </c>
      <c r="G424" s="5" t="s">
        <v>1721</v>
      </c>
      <c r="H424" s="5" t="s">
        <v>1721</v>
      </c>
      <c r="I424" s="5" t="s">
        <v>1721</v>
      </c>
      <c r="J424" s="5" t="s">
        <v>300</v>
      </c>
      <c r="K424" s="5" t="s">
        <v>1721</v>
      </c>
      <c r="L424" s="5" t="s">
        <v>1721</v>
      </c>
      <c r="M424" s="9">
        <v>10</v>
      </c>
      <c r="N424" s="6">
        <f>IFERROR(Table2[[#This Row],[Darbuotojų skaičius]]/M423-1,0)</f>
        <v>0</v>
      </c>
      <c r="O424" s="9">
        <v>1636</v>
      </c>
      <c r="P424" s="6">
        <v>7.1381794368041929E-2</v>
      </c>
      <c r="Q424" s="9">
        <f>Table2[[#This Row],[Atlyginimo vidurkis]]*Table2[[#This Row],[Darbuotojų skaičius]]*12</f>
        <v>196320</v>
      </c>
      <c r="R424" s="49">
        <f>IFERROR(Table2[[#This Row],[DU sąnaudos]]/Q423-1,0)</f>
        <v>7.1381794368041929E-2</v>
      </c>
      <c r="S424" s="9">
        <v>339047</v>
      </c>
      <c r="T424" s="6">
        <v>-0.1245316635465754</v>
      </c>
      <c r="U424" s="9">
        <f>IF(Table2[[#This Row],[DU sąnaudos]]=0,0,Table2[[#This Row],[Apyvarta]]-Table2[[#This Row],[DU sąnaudos]]-Table2[[#This Row],[Pelnas]])</f>
        <v>134172</v>
      </c>
      <c r="V424" s="49">
        <f>IFERROR(Table2[[#This Row],[Ne-atlyginimų sąnaudos]]/U423-1,0)</f>
        <v>-0.31802032133943958</v>
      </c>
      <c r="W424" s="9">
        <v>8555</v>
      </c>
      <c r="X424" s="6">
        <v>0.17256030701754391</v>
      </c>
      <c r="Y424" s="8">
        <f>Table2[[#This Row],[DU sąnaudos]]*0.43</f>
        <v>84417.600000000006</v>
      </c>
      <c r="Z424" s="8">
        <f>Table2[[#This Row],[Apyvarta]]-Table2[[#This Row],[Ne-atlyginimų sąnaudos]]+Table2[[#This Row],[Fiks ir pelno mokestis]]</f>
        <v>289292.59999999998</v>
      </c>
    </row>
    <row r="425" spans="1:26" x14ac:dyDescent="0.2">
      <c r="A425" s="5" t="s">
        <v>1006</v>
      </c>
      <c r="B425" s="5" t="s">
        <v>1601</v>
      </c>
      <c r="C425" s="5">
        <v>2021</v>
      </c>
      <c r="D425" s="5" t="s">
        <v>1721</v>
      </c>
      <c r="E425" s="5" t="s">
        <v>1721</v>
      </c>
      <c r="F425" s="5" t="s">
        <v>1721</v>
      </c>
      <c r="G425" s="5" t="s">
        <v>1721</v>
      </c>
      <c r="H425" s="5" t="s">
        <v>1721</v>
      </c>
      <c r="I425" s="5" t="s">
        <v>1721</v>
      </c>
      <c r="J425" s="5" t="s">
        <v>300</v>
      </c>
      <c r="K425" s="5" t="s">
        <v>1721</v>
      </c>
      <c r="L425" s="5" t="s">
        <v>1721</v>
      </c>
      <c r="M425" s="9">
        <v>8</v>
      </c>
      <c r="N425" s="6">
        <f>IFERROR(Table2[[#This Row],[Darbuotojų skaičius]]/M424-1,0)</f>
        <v>-0.19999999999999996</v>
      </c>
      <c r="O425" s="9">
        <v>1635</v>
      </c>
      <c r="P425" s="6">
        <v>-6.1124694376524236E-4</v>
      </c>
      <c r="Q425" s="9">
        <f>Table2[[#This Row],[Atlyginimo vidurkis]]*Table2[[#This Row],[Darbuotojų skaičius]]*12</f>
        <v>156960</v>
      </c>
      <c r="R425" s="49">
        <f>IFERROR(Table2[[#This Row],[DU sąnaudos]]/Q424-1,0)</f>
        <v>-0.20048899755501226</v>
      </c>
      <c r="S425" s="9">
        <v>394946</v>
      </c>
      <c r="T425" s="6">
        <v>0.16487094709583031</v>
      </c>
      <c r="U425" s="9">
        <f>IF(Table2[[#This Row],[DU sąnaudos]]=0,0,Table2[[#This Row],[Apyvarta]]-Table2[[#This Row],[DU sąnaudos]]-Table2[[#This Row],[Pelnas]])</f>
        <v>235768</v>
      </c>
      <c r="V425" s="49">
        <f>IFERROR(Table2[[#This Row],[Ne-atlyginimų sąnaudos]]/U424-1,0)</f>
        <v>0.75720716692007284</v>
      </c>
      <c r="W425" s="9">
        <v>2218</v>
      </c>
      <c r="X425" s="6">
        <v>-0.74073641145528923</v>
      </c>
      <c r="Y425" s="8">
        <f>Table2[[#This Row],[DU sąnaudos]]*0.43</f>
        <v>67492.800000000003</v>
      </c>
      <c r="Z425" s="8">
        <f>Table2[[#This Row],[Apyvarta]]-Table2[[#This Row],[Ne-atlyginimų sąnaudos]]+Table2[[#This Row],[Fiks ir pelno mokestis]]</f>
        <v>226670.8</v>
      </c>
    </row>
    <row r="426" spans="1:26" x14ac:dyDescent="0.2">
      <c r="A426" s="5" t="s">
        <v>1006</v>
      </c>
      <c r="B426" s="5" t="s">
        <v>1601</v>
      </c>
      <c r="C426" s="5">
        <v>2022</v>
      </c>
      <c r="D426" s="5" t="s">
        <v>1721</v>
      </c>
      <c r="E426" s="5" t="s">
        <v>1721</v>
      </c>
      <c r="F426" s="5" t="s">
        <v>1721</v>
      </c>
      <c r="G426" s="5" t="s">
        <v>1721</v>
      </c>
      <c r="H426" s="5" t="s">
        <v>1721</v>
      </c>
      <c r="I426" s="5" t="s">
        <v>1721</v>
      </c>
      <c r="J426" s="5" t="s">
        <v>300</v>
      </c>
      <c r="K426" s="5" t="s">
        <v>1721</v>
      </c>
      <c r="L426" s="5" t="s">
        <v>1721</v>
      </c>
      <c r="M426" s="9">
        <v>7</v>
      </c>
      <c r="N426" s="6">
        <f>IFERROR(Table2[[#This Row],[Darbuotojų skaičius]]/M425-1,0)</f>
        <v>-0.125</v>
      </c>
      <c r="O426" s="9">
        <v>1578</v>
      </c>
      <c r="P426" s="6">
        <v>-3.4862385321100857E-2</v>
      </c>
      <c r="Q426" s="9">
        <f>Table2[[#This Row],[Atlyginimo vidurkis]]*Table2[[#This Row],[Darbuotojų skaičius]]*12</f>
        <v>132552</v>
      </c>
      <c r="R426" s="49">
        <f>IFERROR(Table2[[#This Row],[DU sąnaudos]]/Q425-1,0)</f>
        <v>-0.15550458715596327</v>
      </c>
      <c r="S426" s="9">
        <v>363458</v>
      </c>
      <c r="T426" s="6">
        <v>-7.9727355132094058E-2</v>
      </c>
      <c r="U426" s="9">
        <f>IF(Table2[[#This Row],[DU sąnaudos]]=0,0,Table2[[#This Row],[Apyvarta]]-Table2[[#This Row],[DU sąnaudos]]-Table2[[#This Row],[Pelnas]])</f>
        <v>212743</v>
      </c>
      <c r="V426" s="49">
        <f>IFERROR(Table2[[#This Row],[Ne-atlyginimų sąnaudos]]/U425-1,0)</f>
        <v>-9.7659563638831437E-2</v>
      </c>
      <c r="W426" s="9">
        <v>18163</v>
      </c>
      <c r="X426" s="6">
        <v>7.1889089269612256</v>
      </c>
      <c r="Y426" s="8">
        <f>Table2[[#This Row],[DU sąnaudos]]*0.43</f>
        <v>56997.36</v>
      </c>
      <c r="Z426" s="8">
        <f>Table2[[#This Row],[Apyvarta]]-Table2[[#This Row],[Ne-atlyginimų sąnaudos]]+Table2[[#This Row],[Fiks ir pelno mokestis]]</f>
        <v>207712.36</v>
      </c>
    </row>
    <row r="427" spans="1:26" x14ac:dyDescent="0.2">
      <c r="A427" s="5" t="s">
        <v>1006</v>
      </c>
      <c r="B427" s="5" t="s">
        <v>1601</v>
      </c>
      <c r="C427" s="5">
        <v>2023</v>
      </c>
      <c r="D427" s="5" t="s">
        <v>1721</v>
      </c>
      <c r="E427" s="5" t="s">
        <v>1721</v>
      </c>
      <c r="F427" s="5" t="s">
        <v>1721</v>
      </c>
      <c r="G427" s="5" t="s">
        <v>1721</v>
      </c>
      <c r="H427" s="5" t="s">
        <v>1721</v>
      </c>
      <c r="I427" s="5" t="s">
        <v>1721</v>
      </c>
      <c r="J427" s="5" t="s">
        <v>300</v>
      </c>
      <c r="K427" s="5" t="s">
        <v>1721</v>
      </c>
      <c r="L427" s="5" t="s">
        <v>1721</v>
      </c>
      <c r="M427" s="9">
        <v>6</v>
      </c>
      <c r="N427" s="6">
        <f>IFERROR(Table2[[#This Row],[Darbuotojų skaičius]]/M426-1,0)</f>
        <v>-0.1428571428571429</v>
      </c>
      <c r="O427" s="9">
        <v>2083</v>
      </c>
      <c r="P427" s="6">
        <v>0.3200253485424589</v>
      </c>
      <c r="Q427" s="9">
        <f>Table2[[#This Row],[Atlyginimo vidurkis]]*Table2[[#This Row],[Darbuotojų skaičius]]*12</f>
        <v>149976</v>
      </c>
      <c r="R427" s="49">
        <f>IFERROR(Table2[[#This Row],[DU sąnaudos]]/Q426-1,0)</f>
        <v>0.13145029875067893</v>
      </c>
      <c r="S427" s="9">
        <v>698509</v>
      </c>
      <c r="T427" s="6">
        <v>0.92184241370392184</v>
      </c>
      <c r="U427" s="9">
        <f>IF(Table2[[#This Row],[DU sąnaudos]]=0,0,Table2[[#This Row],[Apyvarta]]-Table2[[#This Row],[DU sąnaudos]]-Table2[[#This Row],[Pelnas]])</f>
        <v>528340</v>
      </c>
      <c r="V427" s="49">
        <f>IFERROR(Table2[[#This Row],[Ne-atlyginimų sąnaudos]]/U426-1,0)</f>
        <v>1.4834659659777292</v>
      </c>
      <c r="W427" s="9">
        <v>20193</v>
      </c>
      <c r="X427" s="6">
        <v>0.1117656774761879</v>
      </c>
      <c r="Y427" s="8">
        <f>Table2[[#This Row],[DU sąnaudos]]*0.43</f>
        <v>64489.68</v>
      </c>
      <c r="Z427" s="8">
        <f>Table2[[#This Row],[Apyvarta]]-Table2[[#This Row],[Ne-atlyginimų sąnaudos]]+Table2[[#This Row],[Fiks ir pelno mokestis]]</f>
        <v>234658.68</v>
      </c>
    </row>
    <row r="428" spans="1:26" x14ac:dyDescent="0.2">
      <c r="A428" s="5" t="s">
        <v>1006</v>
      </c>
      <c r="B428" s="5" t="s">
        <v>1601</v>
      </c>
      <c r="C428" s="5">
        <v>2024</v>
      </c>
      <c r="D428" s="5" t="s">
        <v>1721</v>
      </c>
      <c r="E428" s="5" t="s">
        <v>1721</v>
      </c>
      <c r="F428" s="5" t="s">
        <v>1721</v>
      </c>
      <c r="G428" s="5" t="s">
        <v>1721</v>
      </c>
      <c r="H428" s="5" t="s">
        <v>1721</v>
      </c>
      <c r="I428" s="5" t="s">
        <v>1721</v>
      </c>
      <c r="J428" s="5" t="s">
        <v>300</v>
      </c>
      <c r="K428" s="5" t="s">
        <v>1721</v>
      </c>
      <c r="L428" s="5" t="s">
        <v>1721</v>
      </c>
      <c r="M428" s="9">
        <v>6</v>
      </c>
      <c r="N428" s="6">
        <f>IFERROR(Table2[[#This Row],[Darbuotojų skaičius]]/M427-1,0)</f>
        <v>0</v>
      </c>
      <c r="O428" s="9">
        <v>2965</v>
      </c>
      <c r="P428" s="6">
        <v>0.4234277484397504</v>
      </c>
      <c r="Q428" s="9">
        <f>Table2[[#This Row],[Atlyginimo vidurkis]]*Table2[[#This Row],[Darbuotojų skaičius]]*12</f>
        <v>213480</v>
      </c>
      <c r="R428" s="49">
        <f>IFERROR(Table2[[#This Row],[DU sąnaudos]]/Q427-1,0)</f>
        <v>0.4234277484397504</v>
      </c>
      <c r="S428" s="20">
        <v>0</v>
      </c>
      <c r="T428" s="6">
        <v>0</v>
      </c>
      <c r="U428" s="9">
        <f>IF(Table2[[#This Row],[DU sąnaudos]]=0,0,Table2[[#This Row],[Apyvarta]]-Table2[[#This Row],[DU sąnaudos]]-Table2[[#This Row],[Pelnas]])</f>
        <v>-213480</v>
      </c>
      <c r="V428" s="49">
        <f>IFERROR(Table2[[#This Row],[Ne-atlyginimų sąnaudos]]/U427-1,0)</f>
        <v>-1.4040579929590793</v>
      </c>
      <c r="W428" s="9">
        <v>0</v>
      </c>
      <c r="X428" s="6">
        <v>0</v>
      </c>
      <c r="Y428" s="8">
        <f>Table2[[#This Row],[DU sąnaudos]]*0.43</f>
        <v>91796.4</v>
      </c>
      <c r="Z428" s="8">
        <f>Table2[[#This Row],[Apyvarta]]-Table2[[#This Row],[Ne-atlyginimų sąnaudos]]+Table2[[#This Row],[Fiks ir pelno mokestis]]</f>
        <v>305276.40000000002</v>
      </c>
    </row>
    <row r="429" spans="1:26" hidden="1" x14ac:dyDescent="0.2">
      <c r="A429" s="5" t="s">
        <v>1603</v>
      </c>
      <c r="B429" s="5" t="s">
        <v>1728</v>
      </c>
      <c r="C429" s="5">
        <v>2019</v>
      </c>
      <c r="D429" s="5" t="s">
        <v>1721</v>
      </c>
      <c r="E429" s="5" t="s">
        <v>1721</v>
      </c>
      <c r="F429" s="5" t="s">
        <v>1721</v>
      </c>
      <c r="G429" s="5" t="s">
        <v>1721</v>
      </c>
      <c r="H429" s="5" t="s">
        <v>1721</v>
      </c>
      <c r="I429" s="5" t="s">
        <v>280</v>
      </c>
      <c r="J429" s="5" t="s">
        <v>1721</v>
      </c>
      <c r="K429" s="5" t="s">
        <v>193</v>
      </c>
      <c r="L429" s="5" t="s">
        <v>1721</v>
      </c>
      <c r="M429" s="9">
        <v>17</v>
      </c>
      <c r="N429" s="6">
        <v>0</v>
      </c>
      <c r="O429" s="9">
        <v>1300</v>
      </c>
      <c r="P429" s="6">
        <v>0</v>
      </c>
      <c r="Q429" s="9">
        <f>Table2[[#This Row],[Atlyginimo vidurkis]]*Table2[[#This Row],[Darbuotojų skaičius]]*12</f>
        <v>265200</v>
      </c>
      <c r="R429" s="49">
        <v>0</v>
      </c>
      <c r="S429" s="9">
        <v>595599</v>
      </c>
      <c r="T429" s="6">
        <v>0</v>
      </c>
      <c r="U429" s="9">
        <f>IF(Table2[[#This Row],[DU sąnaudos]]=0,0,Table2[[#This Row],[Apyvarta]]-Table2[[#This Row],[DU sąnaudos]]-Table2[[#This Row],[Pelnas]])</f>
        <v>294682</v>
      </c>
      <c r="V429" s="49">
        <v>0</v>
      </c>
      <c r="W429" s="9">
        <v>35717</v>
      </c>
      <c r="X429" s="6">
        <v>0</v>
      </c>
      <c r="Y429" s="8">
        <f>Table2[[#This Row],[DU sąnaudos]]*0.43</f>
        <v>114036</v>
      </c>
      <c r="Z429" s="8">
        <f>Table2[[#This Row],[Apyvarta]]-Table2[[#This Row],[Ne-atlyginimų sąnaudos]]+Table2[[#This Row],[Fiks ir pelno mokestis]]</f>
        <v>414953</v>
      </c>
    </row>
    <row r="430" spans="1:26" hidden="1" x14ac:dyDescent="0.2">
      <c r="A430" s="5" t="s">
        <v>1603</v>
      </c>
      <c r="B430" s="5" t="s">
        <v>1728</v>
      </c>
      <c r="C430" s="5">
        <v>2020</v>
      </c>
      <c r="D430" s="5" t="s">
        <v>1721</v>
      </c>
      <c r="E430" s="5" t="s">
        <v>1721</v>
      </c>
      <c r="F430" s="5" t="s">
        <v>1721</v>
      </c>
      <c r="G430" s="5" t="s">
        <v>1721</v>
      </c>
      <c r="H430" s="5" t="s">
        <v>1721</v>
      </c>
      <c r="I430" s="5" t="s">
        <v>280</v>
      </c>
      <c r="J430" s="5" t="s">
        <v>1721</v>
      </c>
      <c r="K430" s="5" t="s">
        <v>193</v>
      </c>
      <c r="L430" s="5" t="s">
        <v>1721</v>
      </c>
      <c r="M430" s="9">
        <v>15</v>
      </c>
      <c r="N430" s="6">
        <f>IFERROR(Table2[[#This Row],[Darbuotojų skaičius]]/M429-1,0)</f>
        <v>-0.11764705882352944</v>
      </c>
      <c r="O430" s="9">
        <v>1249</v>
      </c>
      <c r="P430" s="6">
        <v>-3.923076923076918E-2</v>
      </c>
      <c r="Q430" s="9">
        <f>Table2[[#This Row],[Atlyginimo vidurkis]]*Table2[[#This Row],[Darbuotojų skaičius]]*12</f>
        <v>224820</v>
      </c>
      <c r="R430" s="49">
        <f>IFERROR(Table2[[#This Row],[DU sąnaudos]]/Q429-1,0)</f>
        <v>-0.15226244343891404</v>
      </c>
      <c r="S430" s="9">
        <v>561515</v>
      </c>
      <c r="T430" s="6">
        <v>-5.7226422475524667E-2</v>
      </c>
      <c r="U430" s="9">
        <f>IF(Table2[[#This Row],[DU sąnaudos]]=0,0,Table2[[#This Row],[Apyvarta]]-Table2[[#This Row],[DU sąnaudos]]-Table2[[#This Row],[Pelnas]])</f>
        <v>233291</v>
      </c>
      <c r="V430" s="49">
        <f>IFERROR(Table2[[#This Row],[Ne-atlyginimų sąnaudos]]/U429-1,0)</f>
        <v>-0.20832965705404471</v>
      </c>
      <c r="W430" s="9">
        <v>103404</v>
      </c>
      <c r="X430" s="6">
        <v>1.8950919730100511</v>
      </c>
      <c r="Y430" s="8">
        <f>Table2[[#This Row],[DU sąnaudos]]*0.43</f>
        <v>96672.599999999991</v>
      </c>
      <c r="Z430" s="8">
        <f>Table2[[#This Row],[Apyvarta]]-Table2[[#This Row],[Ne-atlyginimų sąnaudos]]+Table2[[#This Row],[Fiks ir pelno mokestis]]</f>
        <v>424896.6</v>
      </c>
    </row>
    <row r="431" spans="1:26" hidden="1" x14ac:dyDescent="0.2">
      <c r="A431" s="5" t="s">
        <v>1603</v>
      </c>
      <c r="B431" s="5" t="s">
        <v>1728</v>
      </c>
      <c r="C431" s="5">
        <v>2021</v>
      </c>
      <c r="D431" s="5" t="s">
        <v>1721</v>
      </c>
      <c r="E431" s="5" t="s">
        <v>1721</v>
      </c>
      <c r="F431" s="5" t="s">
        <v>1721</v>
      </c>
      <c r="G431" s="5" t="s">
        <v>1721</v>
      </c>
      <c r="H431" s="5" t="s">
        <v>1721</v>
      </c>
      <c r="I431" s="5" t="s">
        <v>280</v>
      </c>
      <c r="J431" s="5" t="s">
        <v>1721</v>
      </c>
      <c r="K431" s="5" t="s">
        <v>193</v>
      </c>
      <c r="L431" s="5" t="s">
        <v>1721</v>
      </c>
      <c r="M431" s="9">
        <v>15</v>
      </c>
      <c r="N431" s="6">
        <f>IFERROR(Table2[[#This Row],[Darbuotojų skaičius]]/M430-1,0)</f>
        <v>0</v>
      </c>
      <c r="O431" s="9">
        <v>1588</v>
      </c>
      <c r="P431" s="6">
        <v>0.27141713370696552</v>
      </c>
      <c r="Q431" s="9">
        <f>Table2[[#This Row],[Atlyginimo vidurkis]]*Table2[[#This Row],[Darbuotojų skaičius]]*12</f>
        <v>285840</v>
      </c>
      <c r="R431" s="49">
        <f>IFERROR(Table2[[#This Row],[DU sąnaudos]]/Q430-1,0)</f>
        <v>0.27141713370696552</v>
      </c>
      <c r="S431" s="9">
        <v>762011</v>
      </c>
      <c r="T431" s="6">
        <v>0.3570625896013464</v>
      </c>
      <c r="U431" s="9">
        <f>IF(Table2[[#This Row],[DU sąnaudos]]=0,0,Table2[[#This Row],[Apyvarta]]-Table2[[#This Row],[DU sąnaudos]]-Table2[[#This Row],[Pelnas]])</f>
        <v>398539</v>
      </c>
      <c r="V431" s="49">
        <f>IFERROR(Table2[[#This Row],[Ne-atlyginimų sąnaudos]]/U430-1,0)</f>
        <v>0.70833422635249543</v>
      </c>
      <c r="W431" s="9">
        <v>77632</v>
      </c>
      <c r="X431" s="6">
        <v>-0.24923600634404861</v>
      </c>
      <c r="Y431" s="8">
        <f>Table2[[#This Row],[DU sąnaudos]]*0.43</f>
        <v>122911.2</v>
      </c>
      <c r="Z431" s="8">
        <f>Table2[[#This Row],[Apyvarta]]-Table2[[#This Row],[Ne-atlyginimų sąnaudos]]+Table2[[#This Row],[Fiks ir pelno mokestis]]</f>
        <v>486383.2</v>
      </c>
    </row>
    <row r="432" spans="1:26" hidden="1" x14ac:dyDescent="0.2">
      <c r="A432" s="5" t="s">
        <v>1603</v>
      </c>
      <c r="B432" s="5" t="s">
        <v>1728</v>
      </c>
      <c r="C432" s="5">
        <v>2022</v>
      </c>
      <c r="D432" s="5" t="s">
        <v>1721</v>
      </c>
      <c r="E432" s="5" t="s">
        <v>1721</v>
      </c>
      <c r="F432" s="5" t="s">
        <v>1721</v>
      </c>
      <c r="G432" s="5" t="s">
        <v>1721</v>
      </c>
      <c r="H432" s="5" t="s">
        <v>1721</v>
      </c>
      <c r="I432" s="5" t="s">
        <v>280</v>
      </c>
      <c r="J432" s="5" t="s">
        <v>1721</v>
      </c>
      <c r="K432" s="5" t="s">
        <v>193</v>
      </c>
      <c r="L432" s="5" t="s">
        <v>1721</v>
      </c>
      <c r="M432" s="9">
        <v>15</v>
      </c>
      <c r="N432" s="6">
        <f>IFERROR(Table2[[#This Row],[Darbuotojų skaičius]]/M431-1,0)</f>
        <v>0</v>
      </c>
      <c r="O432" s="9">
        <v>1795</v>
      </c>
      <c r="P432" s="6">
        <v>0.13035264483627201</v>
      </c>
      <c r="Q432" s="9">
        <f>Table2[[#This Row],[Atlyginimo vidurkis]]*Table2[[#This Row],[Darbuotojų skaičius]]*12</f>
        <v>323100</v>
      </c>
      <c r="R432" s="49">
        <f>IFERROR(Table2[[#This Row],[DU sąnaudos]]/Q431-1,0)</f>
        <v>0.13035264483627196</v>
      </c>
      <c r="S432" s="9">
        <v>838212</v>
      </c>
      <c r="T432" s="6">
        <v>9.9999868768298583E-2</v>
      </c>
      <c r="U432" s="9">
        <f>IF(Table2[[#This Row],[DU sąnaudos]]=0,0,Table2[[#This Row],[Apyvarta]]-Table2[[#This Row],[DU sąnaudos]]-Table2[[#This Row],[Pelnas]])</f>
        <v>431911</v>
      </c>
      <c r="V432" s="49">
        <f>IFERROR(Table2[[#This Row],[Ne-atlyginimų sąnaudos]]/U431-1,0)</f>
        <v>8.3735845174499834E-2</v>
      </c>
      <c r="W432" s="9">
        <v>83201</v>
      </c>
      <c r="X432" s="6">
        <v>7.1735882110469884E-2</v>
      </c>
      <c r="Y432" s="8">
        <f>Table2[[#This Row],[DU sąnaudos]]*0.43</f>
        <v>138933</v>
      </c>
      <c r="Z432" s="8">
        <f>Table2[[#This Row],[Apyvarta]]-Table2[[#This Row],[Ne-atlyginimų sąnaudos]]+Table2[[#This Row],[Fiks ir pelno mokestis]]</f>
        <v>545234</v>
      </c>
    </row>
    <row r="433" spans="1:26" hidden="1" x14ac:dyDescent="0.2">
      <c r="A433" s="5" t="s">
        <v>1603</v>
      </c>
      <c r="B433" s="5" t="s">
        <v>1728</v>
      </c>
      <c r="C433" s="5">
        <v>2023</v>
      </c>
      <c r="D433" s="5" t="s">
        <v>1721</v>
      </c>
      <c r="E433" s="5" t="s">
        <v>1721</v>
      </c>
      <c r="F433" s="5" t="s">
        <v>1721</v>
      </c>
      <c r="G433" s="5" t="s">
        <v>1721</v>
      </c>
      <c r="H433" s="5" t="s">
        <v>1721</v>
      </c>
      <c r="I433" s="5" t="s">
        <v>280</v>
      </c>
      <c r="J433" s="5" t="s">
        <v>1721</v>
      </c>
      <c r="K433" s="5" t="s">
        <v>193</v>
      </c>
      <c r="L433" s="5" t="s">
        <v>1721</v>
      </c>
      <c r="M433" s="9">
        <v>14</v>
      </c>
      <c r="N433" s="6">
        <f>IFERROR(Table2[[#This Row],[Darbuotojų skaičius]]/M432-1,0)</f>
        <v>-6.6666666666666652E-2</v>
      </c>
      <c r="O433" s="9">
        <v>1791</v>
      </c>
      <c r="P433" s="6">
        <v>-2.2284122562674651E-3</v>
      </c>
      <c r="Q433" s="9">
        <f>Table2[[#This Row],[Atlyginimo vidurkis]]*Table2[[#This Row],[Darbuotojų skaičius]]*12</f>
        <v>300888</v>
      </c>
      <c r="R433" s="49">
        <f>IFERROR(Table2[[#This Row],[DU sąnaudos]]/Q432-1,0)</f>
        <v>-6.874651810584953E-2</v>
      </c>
      <c r="S433" s="9">
        <v>769072</v>
      </c>
      <c r="T433" s="6">
        <v>-8.2485099235038439E-2</v>
      </c>
      <c r="U433" s="9">
        <f>IF(Table2[[#This Row],[DU sąnaudos]]=0,0,Table2[[#This Row],[Apyvarta]]-Table2[[#This Row],[DU sąnaudos]]-Table2[[#This Row],[Pelnas]])</f>
        <v>400925</v>
      </c>
      <c r="V433" s="49">
        <f>IFERROR(Table2[[#This Row],[Ne-atlyginimų sąnaudos]]/U432-1,0)</f>
        <v>-7.1741631956583674E-2</v>
      </c>
      <c r="W433" s="9">
        <v>67259</v>
      </c>
      <c r="X433" s="6">
        <v>-0.19160827393901511</v>
      </c>
      <c r="Y433" s="8">
        <f>Table2[[#This Row],[DU sąnaudos]]*0.43</f>
        <v>129381.84</v>
      </c>
      <c r="Z433" s="8">
        <f>Table2[[#This Row],[Apyvarta]]-Table2[[#This Row],[Ne-atlyginimų sąnaudos]]+Table2[[#This Row],[Fiks ir pelno mokestis]]</f>
        <v>497528.83999999997</v>
      </c>
    </row>
    <row r="434" spans="1:26" hidden="1" x14ac:dyDescent="0.2">
      <c r="A434" s="5" t="s">
        <v>1603</v>
      </c>
      <c r="B434" s="5" t="s">
        <v>1728</v>
      </c>
      <c r="C434" s="5">
        <v>2024</v>
      </c>
      <c r="D434" s="5" t="s">
        <v>1721</v>
      </c>
      <c r="E434" s="5" t="s">
        <v>1721</v>
      </c>
      <c r="F434" s="5" t="s">
        <v>1721</v>
      </c>
      <c r="G434" s="5" t="s">
        <v>1721</v>
      </c>
      <c r="H434" s="5" t="s">
        <v>1721</v>
      </c>
      <c r="I434" s="5" t="s">
        <v>280</v>
      </c>
      <c r="J434" s="5" t="s">
        <v>1721</v>
      </c>
      <c r="K434" s="5" t="s">
        <v>193</v>
      </c>
      <c r="L434" s="5" t="s">
        <v>1721</v>
      </c>
      <c r="M434" s="9">
        <v>15</v>
      </c>
      <c r="N434" s="6">
        <f>IFERROR(Table2[[#This Row],[Darbuotojų skaičius]]/M433-1,0)</f>
        <v>7.1428571428571397E-2</v>
      </c>
      <c r="O434" s="9">
        <v>1938</v>
      </c>
      <c r="P434" s="6">
        <v>8.2077051926298106E-2</v>
      </c>
      <c r="Q434" s="9">
        <f>Table2[[#This Row],[Atlyginimo vidurkis]]*Table2[[#This Row],[Darbuotojų skaičius]]*12</f>
        <v>348840</v>
      </c>
      <c r="R434" s="49">
        <f>IFERROR(Table2[[#This Row],[DU sąnaudos]]/Q433-1,0)</f>
        <v>0.1593682699210337</v>
      </c>
      <c r="S434" s="9">
        <v>835662</v>
      </c>
      <c r="T434" s="6">
        <v>8.6584871117398654E-2</v>
      </c>
      <c r="U434" s="9">
        <f>IF(Table2[[#This Row],[DU sąnaudos]]=0,0,Table2[[#This Row],[Apyvarta]]-Table2[[#This Row],[DU sąnaudos]]-Table2[[#This Row],[Pelnas]])</f>
        <v>431843</v>
      </c>
      <c r="V434" s="49">
        <f>IFERROR(Table2[[#This Row],[Ne-atlyginimų sąnaudos]]/U433-1,0)</f>
        <v>7.7116667705930064E-2</v>
      </c>
      <c r="W434" s="9">
        <v>54979</v>
      </c>
      <c r="X434" s="6">
        <v>-0.1825777962800518</v>
      </c>
      <c r="Y434" s="8">
        <f>Table2[[#This Row],[DU sąnaudos]]*0.43</f>
        <v>150001.20000000001</v>
      </c>
      <c r="Z434" s="8">
        <f>Table2[[#This Row],[Apyvarta]]-Table2[[#This Row],[Ne-atlyginimų sąnaudos]]+Table2[[#This Row],[Fiks ir pelno mokestis]]</f>
        <v>553820.19999999995</v>
      </c>
    </row>
    <row r="435" spans="1:26" x14ac:dyDescent="0.2">
      <c r="A435" s="5" t="s">
        <v>354</v>
      </c>
      <c r="B435" s="5" t="s">
        <v>1607</v>
      </c>
      <c r="C435" s="5">
        <v>2019</v>
      </c>
      <c r="D435" s="5" t="s">
        <v>1721</v>
      </c>
      <c r="E435" s="5" t="s">
        <v>1721</v>
      </c>
      <c r="F435" s="5" t="s">
        <v>1721</v>
      </c>
      <c r="G435" s="5" t="s">
        <v>1721</v>
      </c>
      <c r="H435" s="5" t="s">
        <v>1721</v>
      </c>
      <c r="I435" s="5" t="s">
        <v>1721</v>
      </c>
      <c r="J435" s="5" t="s">
        <v>300</v>
      </c>
      <c r="K435" s="5" t="s">
        <v>1721</v>
      </c>
      <c r="L435" s="5" t="s">
        <v>1721</v>
      </c>
      <c r="M435" s="9">
        <v>20</v>
      </c>
      <c r="N435" s="6">
        <v>0</v>
      </c>
      <c r="O435" s="9">
        <v>2883</v>
      </c>
      <c r="P435" s="6">
        <v>0</v>
      </c>
      <c r="Q435" s="9">
        <f>Table2[[#This Row],[Atlyginimo vidurkis]]*Table2[[#This Row],[Darbuotojų skaičius]]*12</f>
        <v>691920</v>
      </c>
      <c r="R435" s="49">
        <v>0</v>
      </c>
      <c r="S435" s="9">
        <v>3590407</v>
      </c>
      <c r="T435" s="6">
        <v>0</v>
      </c>
      <c r="U435" s="9">
        <f>IF(Table2[[#This Row],[DU sąnaudos]]=0,0,Table2[[#This Row],[Apyvarta]]-Table2[[#This Row],[DU sąnaudos]]-Table2[[#This Row],[Pelnas]])</f>
        <v>2220406</v>
      </c>
      <c r="V435" s="49">
        <v>0</v>
      </c>
      <c r="W435" s="9">
        <v>678081</v>
      </c>
      <c r="X435" s="6">
        <v>0</v>
      </c>
      <c r="Y435" s="8">
        <f>Table2[[#This Row],[DU sąnaudos]]*0.43</f>
        <v>297525.59999999998</v>
      </c>
      <c r="Z435" s="8">
        <f>Table2[[#This Row],[Apyvarta]]-Table2[[#This Row],[Ne-atlyginimų sąnaudos]]+Table2[[#This Row],[Fiks ir pelno mokestis]]</f>
        <v>1667526.6</v>
      </c>
    </row>
    <row r="436" spans="1:26" x14ac:dyDescent="0.2">
      <c r="A436" s="5" t="s">
        <v>354</v>
      </c>
      <c r="B436" s="5" t="s">
        <v>1607</v>
      </c>
      <c r="C436" s="5">
        <v>2020</v>
      </c>
      <c r="D436" s="5" t="s">
        <v>1721</v>
      </c>
      <c r="E436" s="5" t="s">
        <v>1721</v>
      </c>
      <c r="F436" s="5" t="s">
        <v>1721</v>
      </c>
      <c r="G436" s="5" t="s">
        <v>1721</v>
      </c>
      <c r="H436" s="5" t="s">
        <v>1721</v>
      </c>
      <c r="I436" s="5" t="s">
        <v>1721</v>
      </c>
      <c r="J436" s="5" t="s">
        <v>300</v>
      </c>
      <c r="K436" s="5" t="s">
        <v>1721</v>
      </c>
      <c r="L436" s="5" t="s">
        <v>1721</v>
      </c>
      <c r="M436" s="9">
        <v>20</v>
      </c>
      <c r="N436" s="6">
        <f>IFERROR(Table2[[#This Row],[Darbuotojų skaičius]]/M435-1,0)</f>
        <v>0</v>
      </c>
      <c r="O436" s="9">
        <v>3361</v>
      </c>
      <c r="P436" s="6">
        <v>0.1657995143947277</v>
      </c>
      <c r="Q436" s="9">
        <f>Table2[[#This Row],[Atlyginimo vidurkis]]*Table2[[#This Row],[Darbuotojų skaičius]]*12</f>
        <v>806640</v>
      </c>
      <c r="R436" s="49">
        <f>IFERROR(Table2[[#This Row],[DU sąnaudos]]/Q435-1,0)</f>
        <v>0.16579951439472773</v>
      </c>
      <c r="S436" s="9">
        <v>3042886</v>
      </c>
      <c r="T436" s="6">
        <v>-0.1524955248806055</v>
      </c>
      <c r="U436" s="9">
        <f>IF(Table2[[#This Row],[DU sąnaudos]]=0,0,Table2[[#This Row],[Apyvarta]]-Table2[[#This Row],[DU sąnaudos]]-Table2[[#This Row],[Pelnas]])</f>
        <v>1874326</v>
      </c>
      <c r="V436" s="49">
        <f>IFERROR(Table2[[#This Row],[Ne-atlyginimų sąnaudos]]/U435-1,0)</f>
        <v>-0.15586338714631465</v>
      </c>
      <c r="W436" s="9">
        <v>361920</v>
      </c>
      <c r="X436" s="6">
        <v>-0.46625845584819509</v>
      </c>
      <c r="Y436" s="8">
        <f>Table2[[#This Row],[DU sąnaudos]]*0.43</f>
        <v>346855.2</v>
      </c>
      <c r="Z436" s="8">
        <f>Table2[[#This Row],[Apyvarta]]-Table2[[#This Row],[Ne-atlyginimų sąnaudos]]+Table2[[#This Row],[Fiks ir pelno mokestis]]</f>
        <v>1515415.2</v>
      </c>
    </row>
    <row r="437" spans="1:26" x14ac:dyDescent="0.2">
      <c r="A437" s="5" t="s">
        <v>354</v>
      </c>
      <c r="B437" s="5" t="s">
        <v>1607</v>
      </c>
      <c r="C437" s="5">
        <v>2021</v>
      </c>
      <c r="D437" s="5" t="s">
        <v>1721</v>
      </c>
      <c r="E437" s="5" t="s">
        <v>1721</v>
      </c>
      <c r="F437" s="5" t="s">
        <v>1721</v>
      </c>
      <c r="G437" s="5" t="s">
        <v>1721</v>
      </c>
      <c r="H437" s="5" t="s">
        <v>1721</v>
      </c>
      <c r="I437" s="5" t="s">
        <v>1721</v>
      </c>
      <c r="J437" s="5" t="s">
        <v>300</v>
      </c>
      <c r="K437" s="5" t="s">
        <v>1721</v>
      </c>
      <c r="L437" s="5" t="s">
        <v>1721</v>
      </c>
      <c r="M437" s="9">
        <v>22</v>
      </c>
      <c r="N437" s="6">
        <f>IFERROR(Table2[[#This Row],[Darbuotojų skaičius]]/M436-1,0)</f>
        <v>0.10000000000000009</v>
      </c>
      <c r="O437" s="9">
        <v>3888</v>
      </c>
      <c r="P437" s="6">
        <v>0.1567985718536149</v>
      </c>
      <c r="Q437" s="9">
        <f>Table2[[#This Row],[Atlyginimo vidurkis]]*Table2[[#This Row],[Darbuotojų skaičius]]*12</f>
        <v>1026432</v>
      </c>
      <c r="R437" s="49">
        <f>IFERROR(Table2[[#This Row],[DU sąnaudos]]/Q436-1,0)</f>
        <v>0.27247842903897657</v>
      </c>
      <c r="S437" s="9">
        <v>4312296</v>
      </c>
      <c r="T437" s="6">
        <v>0.4171730390162498</v>
      </c>
      <c r="U437" s="9">
        <f>IF(Table2[[#This Row],[DU sąnaudos]]=0,0,Table2[[#This Row],[Apyvarta]]-Table2[[#This Row],[DU sąnaudos]]-Table2[[#This Row],[Pelnas]])</f>
        <v>2557487</v>
      </c>
      <c r="V437" s="49">
        <f>IFERROR(Table2[[#This Row],[Ne-atlyginimų sąnaudos]]/U436-1,0)</f>
        <v>0.36448355302119273</v>
      </c>
      <c r="W437" s="9">
        <v>728377</v>
      </c>
      <c r="X437" s="6">
        <v>1.0125359195402299</v>
      </c>
      <c r="Y437" s="8">
        <f>Table2[[#This Row],[DU sąnaudos]]*0.43</f>
        <v>441365.76000000001</v>
      </c>
      <c r="Z437" s="8">
        <f>Table2[[#This Row],[Apyvarta]]-Table2[[#This Row],[Ne-atlyginimų sąnaudos]]+Table2[[#This Row],[Fiks ir pelno mokestis]]</f>
        <v>2196174.7599999998</v>
      </c>
    </row>
    <row r="438" spans="1:26" x14ac:dyDescent="0.2">
      <c r="A438" s="5" t="s">
        <v>354</v>
      </c>
      <c r="B438" s="5" t="s">
        <v>1607</v>
      </c>
      <c r="C438" s="5">
        <v>2022</v>
      </c>
      <c r="D438" s="5" t="s">
        <v>1721</v>
      </c>
      <c r="E438" s="5" t="s">
        <v>1721</v>
      </c>
      <c r="F438" s="5" t="s">
        <v>1721</v>
      </c>
      <c r="G438" s="5" t="s">
        <v>1721</v>
      </c>
      <c r="H438" s="5" t="s">
        <v>1721</v>
      </c>
      <c r="I438" s="5" t="s">
        <v>1721</v>
      </c>
      <c r="J438" s="5" t="s">
        <v>300</v>
      </c>
      <c r="K438" s="5" t="s">
        <v>1721</v>
      </c>
      <c r="L438" s="5" t="s">
        <v>1721</v>
      </c>
      <c r="M438" s="9">
        <v>25</v>
      </c>
      <c r="N438" s="6">
        <f>IFERROR(Table2[[#This Row],[Darbuotojų skaičius]]/M437-1,0)</f>
        <v>0.13636363636363646</v>
      </c>
      <c r="O438" s="9">
        <v>3765</v>
      </c>
      <c r="P438" s="6">
        <v>-3.1635802469135783E-2</v>
      </c>
      <c r="Q438" s="9">
        <f>Table2[[#This Row],[Atlyginimo vidurkis]]*Table2[[#This Row],[Darbuotojų skaičius]]*12</f>
        <v>1129500</v>
      </c>
      <c r="R438" s="49">
        <f>IFERROR(Table2[[#This Row],[DU sąnaudos]]/Q437-1,0)</f>
        <v>0.10041386083052739</v>
      </c>
      <c r="S438" s="9">
        <v>4312150</v>
      </c>
      <c r="T438" s="6">
        <v>-3.3856674031662592E-5</v>
      </c>
      <c r="U438" s="9">
        <f>IF(Table2[[#This Row],[DU sąnaudos]]=0,0,Table2[[#This Row],[Apyvarta]]-Table2[[#This Row],[DU sąnaudos]]-Table2[[#This Row],[Pelnas]])</f>
        <v>2423408</v>
      </c>
      <c r="V438" s="49">
        <f>IFERROR(Table2[[#This Row],[Ne-atlyginimų sąnaudos]]/U437-1,0)</f>
        <v>-5.2426072938005164E-2</v>
      </c>
      <c r="W438" s="9">
        <v>759242</v>
      </c>
      <c r="X438" s="6">
        <v>4.2375033808041751E-2</v>
      </c>
      <c r="Y438" s="8">
        <f>Table2[[#This Row],[DU sąnaudos]]*0.43</f>
        <v>485685</v>
      </c>
      <c r="Z438" s="8">
        <f>Table2[[#This Row],[Apyvarta]]-Table2[[#This Row],[Ne-atlyginimų sąnaudos]]+Table2[[#This Row],[Fiks ir pelno mokestis]]</f>
        <v>2374427</v>
      </c>
    </row>
    <row r="439" spans="1:26" x14ac:dyDescent="0.2">
      <c r="A439" s="5" t="s">
        <v>354</v>
      </c>
      <c r="B439" s="5" t="s">
        <v>1607</v>
      </c>
      <c r="C439" s="5">
        <v>2023</v>
      </c>
      <c r="D439" s="5" t="s">
        <v>1721</v>
      </c>
      <c r="E439" s="5" t="s">
        <v>1721</v>
      </c>
      <c r="F439" s="5" t="s">
        <v>1721</v>
      </c>
      <c r="G439" s="5" t="s">
        <v>1721</v>
      </c>
      <c r="H439" s="5" t="s">
        <v>1721</v>
      </c>
      <c r="I439" s="5" t="s">
        <v>1721</v>
      </c>
      <c r="J439" s="5" t="s">
        <v>300</v>
      </c>
      <c r="K439" s="5" t="s">
        <v>1721</v>
      </c>
      <c r="L439" s="5" t="s">
        <v>1721</v>
      </c>
      <c r="M439" s="9">
        <v>26</v>
      </c>
      <c r="N439" s="6">
        <f>IFERROR(Table2[[#This Row],[Darbuotojų skaičius]]/M438-1,0)</f>
        <v>4.0000000000000036E-2</v>
      </c>
      <c r="O439" s="9">
        <v>4390</v>
      </c>
      <c r="P439" s="6">
        <v>0.16600265604249681</v>
      </c>
      <c r="Q439" s="9">
        <f>Table2[[#This Row],[Atlyginimo vidurkis]]*Table2[[#This Row],[Darbuotojų skaičius]]*12</f>
        <v>1369680</v>
      </c>
      <c r="R439" s="49">
        <f>IFERROR(Table2[[#This Row],[DU sąnaudos]]/Q438-1,0)</f>
        <v>0.21264276228419665</v>
      </c>
      <c r="S439" s="9">
        <v>4315944</v>
      </c>
      <c r="T439" s="6">
        <v>8.7983952320769276E-4</v>
      </c>
      <c r="U439" s="9">
        <f>IF(Table2[[#This Row],[DU sąnaudos]]=0,0,Table2[[#This Row],[Apyvarta]]-Table2[[#This Row],[DU sąnaudos]]-Table2[[#This Row],[Pelnas]])</f>
        <v>2117575</v>
      </c>
      <c r="V439" s="49">
        <f>IFERROR(Table2[[#This Row],[Ne-atlyginimų sąnaudos]]/U438-1,0)</f>
        <v>-0.12619955038524255</v>
      </c>
      <c r="W439" s="9">
        <v>828689</v>
      </c>
      <c r="X439" s="6">
        <v>9.1468859731152818E-2</v>
      </c>
      <c r="Y439" s="8">
        <f>Table2[[#This Row],[DU sąnaudos]]*0.43</f>
        <v>588962.4</v>
      </c>
      <c r="Z439" s="8">
        <f>Table2[[#This Row],[Apyvarta]]-Table2[[#This Row],[Ne-atlyginimų sąnaudos]]+Table2[[#This Row],[Fiks ir pelno mokestis]]</f>
        <v>2787331.4</v>
      </c>
    </row>
    <row r="440" spans="1:26" x14ac:dyDescent="0.2">
      <c r="A440" s="5" t="s">
        <v>354</v>
      </c>
      <c r="B440" s="5" t="s">
        <v>1607</v>
      </c>
      <c r="C440" s="5">
        <v>2024</v>
      </c>
      <c r="D440" s="5" t="s">
        <v>1721</v>
      </c>
      <c r="E440" s="5" t="s">
        <v>1721</v>
      </c>
      <c r="F440" s="5" t="s">
        <v>1721</v>
      </c>
      <c r="G440" s="5" t="s">
        <v>1721</v>
      </c>
      <c r="H440" s="5" t="s">
        <v>1721</v>
      </c>
      <c r="I440" s="5" t="s">
        <v>1721</v>
      </c>
      <c r="J440" s="5" t="s">
        <v>300</v>
      </c>
      <c r="K440" s="5" t="s">
        <v>1721</v>
      </c>
      <c r="L440" s="5" t="s">
        <v>1721</v>
      </c>
      <c r="M440" s="9">
        <v>24</v>
      </c>
      <c r="N440" s="6">
        <f>IFERROR(Table2[[#This Row],[Darbuotojų skaičius]]/M439-1,0)</f>
        <v>-7.6923076923076872E-2</v>
      </c>
      <c r="O440" s="9">
        <v>4929</v>
      </c>
      <c r="P440" s="6">
        <v>0.1227790432801823</v>
      </c>
      <c r="Q440" s="9">
        <f>Table2[[#This Row],[Atlyginimo vidurkis]]*Table2[[#This Row],[Darbuotojų skaičius]]*12</f>
        <v>1419552</v>
      </c>
      <c r="R440" s="49">
        <f>IFERROR(Table2[[#This Row],[DU sąnaudos]]/Q439-1,0)</f>
        <v>3.641142456632207E-2</v>
      </c>
      <c r="S440" s="9">
        <v>4743413</v>
      </c>
      <c r="T440" s="6">
        <v>9.9044148858279835E-2</v>
      </c>
      <c r="U440" s="9">
        <f>IF(Table2[[#This Row],[DU sąnaudos]]=0,0,Table2[[#This Row],[Apyvarta]]-Table2[[#This Row],[DU sąnaudos]]-Table2[[#This Row],[Pelnas]])</f>
        <v>2639502</v>
      </c>
      <c r="V440" s="49">
        <f>IFERROR(Table2[[#This Row],[Ne-atlyginimų sąnaudos]]/U439-1,0)</f>
        <v>0.24647391473737645</v>
      </c>
      <c r="W440" s="9">
        <v>684359</v>
      </c>
      <c r="X440" s="6">
        <v>-0.1741666656610622</v>
      </c>
      <c r="Y440" s="8">
        <f>Table2[[#This Row],[DU sąnaudos]]*0.43</f>
        <v>610407.36</v>
      </c>
      <c r="Z440" s="8">
        <f>Table2[[#This Row],[Apyvarta]]-Table2[[#This Row],[Ne-atlyginimų sąnaudos]]+Table2[[#This Row],[Fiks ir pelno mokestis]]</f>
        <v>2714318.36</v>
      </c>
    </row>
    <row r="441" spans="1:26" hidden="1" x14ac:dyDescent="0.2">
      <c r="A441" s="5" t="s">
        <v>649</v>
      </c>
      <c r="B441" s="5" t="s">
        <v>1611</v>
      </c>
      <c r="C441" s="5">
        <v>2019</v>
      </c>
      <c r="D441" s="5" t="s">
        <v>1721</v>
      </c>
      <c r="E441" s="5" t="s">
        <v>1721</v>
      </c>
      <c r="F441" s="5" t="s">
        <v>1721</v>
      </c>
      <c r="G441" s="5" t="s">
        <v>1721</v>
      </c>
      <c r="H441" s="5" t="s">
        <v>1721</v>
      </c>
      <c r="I441" s="5" t="s">
        <v>1721</v>
      </c>
      <c r="J441" s="5" t="s">
        <v>1721</v>
      </c>
      <c r="K441" s="5" t="s">
        <v>193</v>
      </c>
      <c r="L441" s="5" t="s">
        <v>1721</v>
      </c>
      <c r="M441" s="9">
        <v>8</v>
      </c>
      <c r="N441" s="6">
        <v>0</v>
      </c>
      <c r="O441" s="9">
        <v>1445</v>
      </c>
      <c r="P441" s="6">
        <v>0</v>
      </c>
      <c r="Q441" s="9">
        <f>Table2[[#This Row],[Atlyginimo vidurkis]]*Table2[[#This Row],[Darbuotojų skaičius]]*12</f>
        <v>138720</v>
      </c>
      <c r="R441" s="49">
        <v>0</v>
      </c>
      <c r="S441" s="9">
        <v>388517</v>
      </c>
      <c r="T441" s="6">
        <v>0</v>
      </c>
      <c r="U441" s="9">
        <f>IF(Table2[[#This Row],[DU sąnaudos]]=0,0,Table2[[#This Row],[Apyvarta]]-Table2[[#This Row],[DU sąnaudos]]-Table2[[#This Row],[Pelnas]])</f>
        <v>285720</v>
      </c>
      <c r="V441" s="49">
        <v>0</v>
      </c>
      <c r="W441" s="9">
        <v>-35923</v>
      </c>
      <c r="X441" s="6">
        <v>0</v>
      </c>
      <c r="Y441" s="8">
        <f>Table2[[#This Row],[DU sąnaudos]]*0.43</f>
        <v>59649.599999999999</v>
      </c>
      <c r="Z441" s="8">
        <f>Table2[[#This Row],[Apyvarta]]-Table2[[#This Row],[Ne-atlyginimų sąnaudos]]+Table2[[#This Row],[Fiks ir pelno mokestis]]</f>
        <v>162446.6</v>
      </c>
    </row>
    <row r="442" spans="1:26" hidden="1" x14ac:dyDescent="0.2">
      <c r="A442" s="5" t="s">
        <v>649</v>
      </c>
      <c r="B442" s="5" t="s">
        <v>1611</v>
      </c>
      <c r="C442" s="5">
        <v>2020</v>
      </c>
      <c r="D442" s="5" t="s">
        <v>1721</v>
      </c>
      <c r="E442" s="5" t="s">
        <v>1721</v>
      </c>
      <c r="F442" s="5" t="s">
        <v>1721</v>
      </c>
      <c r="G442" s="5" t="s">
        <v>1721</v>
      </c>
      <c r="H442" s="5" t="s">
        <v>1721</v>
      </c>
      <c r="I442" s="5" t="s">
        <v>1721</v>
      </c>
      <c r="J442" s="5" t="s">
        <v>1721</v>
      </c>
      <c r="K442" s="5" t="s">
        <v>193</v>
      </c>
      <c r="L442" s="5" t="s">
        <v>1721</v>
      </c>
      <c r="M442" s="9">
        <v>8</v>
      </c>
      <c r="N442" s="6">
        <f>IFERROR(Table2[[#This Row],[Darbuotojų skaičius]]/M441-1,0)</f>
        <v>0</v>
      </c>
      <c r="O442" s="9">
        <v>1860</v>
      </c>
      <c r="P442" s="6">
        <v>0.28719723183390999</v>
      </c>
      <c r="Q442" s="9">
        <f>Table2[[#This Row],[Atlyginimo vidurkis]]*Table2[[#This Row],[Darbuotojų skaičius]]*12</f>
        <v>178560</v>
      </c>
      <c r="R442" s="49">
        <f>IFERROR(Table2[[#This Row],[DU sąnaudos]]/Q441-1,0)</f>
        <v>0.28719723183390999</v>
      </c>
      <c r="S442" s="9">
        <v>481436</v>
      </c>
      <c r="T442" s="6">
        <v>0.23916327985648</v>
      </c>
      <c r="U442" s="9">
        <f>IF(Table2[[#This Row],[DU sąnaudos]]=0,0,Table2[[#This Row],[Apyvarta]]-Table2[[#This Row],[DU sąnaudos]]-Table2[[#This Row],[Pelnas]])</f>
        <v>334461</v>
      </c>
      <c r="V442" s="49">
        <f>IFERROR(Table2[[#This Row],[Ne-atlyginimų sąnaudos]]/U441-1,0)</f>
        <v>0.17059008819823607</v>
      </c>
      <c r="W442" s="9">
        <v>-31585</v>
      </c>
      <c r="X442" s="6">
        <v>-0.12075828856164569</v>
      </c>
      <c r="Y442" s="8">
        <f>Table2[[#This Row],[DU sąnaudos]]*0.43</f>
        <v>76780.800000000003</v>
      </c>
      <c r="Z442" s="8">
        <f>Table2[[#This Row],[Apyvarta]]-Table2[[#This Row],[Ne-atlyginimų sąnaudos]]+Table2[[#This Row],[Fiks ir pelno mokestis]]</f>
        <v>223755.8</v>
      </c>
    </row>
    <row r="443" spans="1:26" hidden="1" x14ac:dyDescent="0.2">
      <c r="A443" s="5" t="s">
        <v>649</v>
      </c>
      <c r="B443" s="5" t="s">
        <v>1611</v>
      </c>
      <c r="C443" s="5">
        <v>2021</v>
      </c>
      <c r="D443" s="5" t="s">
        <v>1721</v>
      </c>
      <c r="E443" s="5" t="s">
        <v>1721</v>
      </c>
      <c r="F443" s="5" t="s">
        <v>1721</v>
      </c>
      <c r="G443" s="5" t="s">
        <v>1721</v>
      </c>
      <c r="H443" s="5" t="s">
        <v>1721</v>
      </c>
      <c r="I443" s="5" t="s">
        <v>1721</v>
      </c>
      <c r="J443" s="5" t="s">
        <v>1721</v>
      </c>
      <c r="K443" s="5" t="s">
        <v>193</v>
      </c>
      <c r="L443" s="5" t="s">
        <v>1721</v>
      </c>
      <c r="M443" s="9">
        <v>5</v>
      </c>
      <c r="N443" s="6">
        <f>IFERROR(Table2[[#This Row],[Darbuotojų skaičius]]/M442-1,0)</f>
        <v>-0.375</v>
      </c>
      <c r="O443" s="9">
        <v>2168</v>
      </c>
      <c r="P443" s="6">
        <v>0.16559139784946231</v>
      </c>
      <c r="Q443" s="9">
        <f>Table2[[#This Row],[Atlyginimo vidurkis]]*Table2[[#This Row],[Darbuotojų skaičius]]*12</f>
        <v>130080</v>
      </c>
      <c r="R443" s="49">
        <f>IFERROR(Table2[[#This Row],[DU sąnaudos]]/Q442-1,0)</f>
        <v>-0.271505376344086</v>
      </c>
      <c r="S443" s="9">
        <v>545455</v>
      </c>
      <c r="T443" s="6">
        <v>0.13297509949401379</v>
      </c>
      <c r="U443" s="9">
        <f>IF(Table2[[#This Row],[DU sąnaudos]]=0,0,Table2[[#This Row],[Apyvarta]]-Table2[[#This Row],[DU sąnaudos]]-Table2[[#This Row],[Pelnas]])</f>
        <v>367955</v>
      </c>
      <c r="V443" s="49">
        <f>IFERROR(Table2[[#This Row],[Ne-atlyginimų sąnaudos]]/U442-1,0)</f>
        <v>0.10014321550195682</v>
      </c>
      <c r="W443" s="9">
        <v>47420</v>
      </c>
      <c r="X443" s="6">
        <v>-2.501345575431376</v>
      </c>
      <c r="Y443" s="8">
        <f>Table2[[#This Row],[DU sąnaudos]]*0.43</f>
        <v>55934.400000000001</v>
      </c>
      <c r="Z443" s="8">
        <f>Table2[[#This Row],[Apyvarta]]-Table2[[#This Row],[Ne-atlyginimų sąnaudos]]+Table2[[#This Row],[Fiks ir pelno mokestis]]</f>
        <v>233434.4</v>
      </c>
    </row>
    <row r="444" spans="1:26" hidden="1" x14ac:dyDescent="0.2">
      <c r="A444" s="5" t="s">
        <v>649</v>
      </c>
      <c r="B444" s="5" t="s">
        <v>1611</v>
      </c>
      <c r="C444" s="5">
        <v>2022</v>
      </c>
      <c r="D444" s="5" t="s">
        <v>1721</v>
      </c>
      <c r="E444" s="5" t="s">
        <v>1721</v>
      </c>
      <c r="F444" s="5" t="s">
        <v>1721</v>
      </c>
      <c r="G444" s="5" t="s">
        <v>1721</v>
      </c>
      <c r="H444" s="5" t="s">
        <v>1721</v>
      </c>
      <c r="I444" s="5" t="s">
        <v>1721</v>
      </c>
      <c r="J444" s="5" t="s">
        <v>1721</v>
      </c>
      <c r="K444" s="5" t="s">
        <v>193</v>
      </c>
      <c r="L444" s="5" t="s">
        <v>1721</v>
      </c>
      <c r="M444" s="9">
        <v>5</v>
      </c>
      <c r="N444" s="6">
        <f>IFERROR(Table2[[#This Row],[Darbuotojų skaičius]]/M443-1,0)</f>
        <v>0</v>
      </c>
      <c r="O444" s="9">
        <v>2786</v>
      </c>
      <c r="P444" s="6">
        <v>0.28505535055350562</v>
      </c>
      <c r="Q444" s="9">
        <f>Table2[[#This Row],[Atlyginimo vidurkis]]*Table2[[#This Row],[Darbuotojų skaičius]]*12</f>
        <v>167160</v>
      </c>
      <c r="R444" s="49">
        <f>IFERROR(Table2[[#This Row],[DU sąnaudos]]/Q443-1,0)</f>
        <v>0.28505535055350562</v>
      </c>
      <c r="S444" s="9">
        <v>555622</v>
      </c>
      <c r="T444" s="6">
        <v>1.863948446709629E-2</v>
      </c>
      <c r="U444" s="9">
        <f>IF(Table2[[#This Row],[DU sąnaudos]]=0,0,Table2[[#This Row],[Apyvarta]]-Table2[[#This Row],[DU sąnaudos]]-Table2[[#This Row],[Pelnas]])</f>
        <v>396212</v>
      </c>
      <c r="V444" s="49">
        <f>IFERROR(Table2[[#This Row],[Ne-atlyginimų sąnaudos]]/U443-1,0)</f>
        <v>7.6794716745254066E-2</v>
      </c>
      <c r="W444" s="9">
        <v>-7750</v>
      </c>
      <c r="X444" s="6">
        <v>-1.16343315056938</v>
      </c>
      <c r="Y444" s="8">
        <f>Table2[[#This Row],[DU sąnaudos]]*0.43</f>
        <v>71878.8</v>
      </c>
      <c r="Z444" s="8">
        <f>Table2[[#This Row],[Apyvarta]]-Table2[[#This Row],[Ne-atlyginimų sąnaudos]]+Table2[[#This Row],[Fiks ir pelno mokestis]]</f>
        <v>231288.8</v>
      </c>
    </row>
    <row r="445" spans="1:26" hidden="1" x14ac:dyDescent="0.2">
      <c r="A445" s="5" t="s">
        <v>649</v>
      </c>
      <c r="B445" s="5" t="s">
        <v>1611</v>
      </c>
      <c r="C445" s="5">
        <v>2023</v>
      </c>
      <c r="D445" s="5" t="s">
        <v>1721</v>
      </c>
      <c r="E445" s="5" t="s">
        <v>1721</v>
      </c>
      <c r="F445" s="5" t="s">
        <v>1721</v>
      </c>
      <c r="G445" s="5" t="s">
        <v>1721</v>
      </c>
      <c r="H445" s="5" t="s">
        <v>1721</v>
      </c>
      <c r="I445" s="5" t="s">
        <v>1721</v>
      </c>
      <c r="J445" s="5" t="s">
        <v>1721</v>
      </c>
      <c r="K445" s="5" t="s">
        <v>193</v>
      </c>
      <c r="L445" s="5" t="s">
        <v>1721</v>
      </c>
      <c r="M445" s="9">
        <v>7</v>
      </c>
      <c r="N445" s="6">
        <f>IFERROR(Table2[[#This Row],[Darbuotojų skaičius]]/M444-1,0)</f>
        <v>0.39999999999999991</v>
      </c>
      <c r="O445" s="9">
        <v>2400</v>
      </c>
      <c r="P445" s="6">
        <v>-0.13854989231873649</v>
      </c>
      <c r="Q445" s="9">
        <f>Table2[[#This Row],[Atlyginimo vidurkis]]*Table2[[#This Row],[Darbuotojų skaičius]]*12</f>
        <v>201600</v>
      </c>
      <c r="R445" s="49">
        <f>IFERROR(Table2[[#This Row],[DU sąnaudos]]/Q444-1,0)</f>
        <v>0.20603015075376874</v>
      </c>
      <c r="S445" s="9">
        <v>539977</v>
      </c>
      <c r="T445" s="6">
        <v>-2.815763234717128E-2</v>
      </c>
      <c r="U445" s="9">
        <f>IF(Table2[[#This Row],[DU sąnaudos]]=0,0,Table2[[#This Row],[Apyvarta]]-Table2[[#This Row],[DU sąnaudos]]-Table2[[#This Row],[Pelnas]])</f>
        <v>334847</v>
      </c>
      <c r="V445" s="49">
        <f>IFERROR(Table2[[#This Row],[Ne-atlyginimų sąnaudos]]/U444-1,0)</f>
        <v>-0.15487920608159267</v>
      </c>
      <c r="W445" s="9">
        <v>3530</v>
      </c>
      <c r="X445" s="6">
        <v>-1.455483870967742</v>
      </c>
      <c r="Y445" s="8">
        <f>Table2[[#This Row],[DU sąnaudos]]*0.43</f>
        <v>86688</v>
      </c>
      <c r="Z445" s="8">
        <f>Table2[[#This Row],[Apyvarta]]-Table2[[#This Row],[Ne-atlyginimų sąnaudos]]+Table2[[#This Row],[Fiks ir pelno mokestis]]</f>
        <v>291818</v>
      </c>
    </row>
    <row r="446" spans="1:26" hidden="1" x14ac:dyDescent="0.2">
      <c r="A446" s="5" t="s">
        <v>649</v>
      </c>
      <c r="B446" s="5" t="s">
        <v>1611</v>
      </c>
      <c r="C446" s="5">
        <v>2024</v>
      </c>
      <c r="D446" s="5" t="s">
        <v>1721</v>
      </c>
      <c r="E446" s="5" t="s">
        <v>1721</v>
      </c>
      <c r="F446" s="5" t="s">
        <v>1721</v>
      </c>
      <c r="G446" s="5" t="s">
        <v>1721</v>
      </c>
      <c r="H446" s="5" t="s">
        <v>1721</v>
      </c>
      <c r="I446" s="5" t="s">
        <v>1721</v>
      </c>
      <c r="J446" s="5" t="s">
        <v>1721</v>
      </c>
      <c r="K446" s="5" t="s">
        <v>193</v>
      </c>
      <c r="L446" s="5" t="s">
        <v>1721</v>
      </c>
      <c r="M446" s="9">
        <v>7</v>
      </c>
      <c r="N446" s="6">
        <f>IFERROR(Table2[[#This Row],[Darbuotojų skaičius]]/M445-1,0)</f>
        <v>0</v>
      </c>
      <c r="O446" s="9">
        <v>2948</v>
      </c>
      <c r="P446" s="6">
        <v>0.2283333333333333</v>
      </c>
      <c r="Q446" s="9">
        <f>Table2[[#This Row],[Atlyginimo vidurkis]]*Table2[[#This Row],[Darbuotojų skaičius]]*12</f>
        <v>247632</v>
      </c>
      <c r="R446" s="49">
        <f>IFERROR(Table2[[#This Row],[DU sąnaudos]]/Q445-1,0)</f>
        <v>0.22833333333333328</v>
      </c>
      <c r="S446" s="9">
        <v>843249</v>
      </c>
      <c r="T446" s="6">
        <v>0.5616387364647013</v>
      </c>
      <c r="U446" s="9">
        <f>IF(Table2[[#This Row],[DU sąnaudos]]=0,0,Table2[[#This Row],[Apyvarta]]-Table2[[#This Row],[DU sąnaudos]]-Table2[[#This Row],[Pelnas]])</f>
        <v>592720</v>
      </c>
      <c r="V446" s="49">
        <f>IFERROR(Table2[[#This Row],[Ne-atlyginimų sąnaudos]]/U445-1,0)</f>
        <v>0.77012187655854758</v>
      </c>
      <c r="W446" s="9">
        <v>2897</v>
      </c>
      <c r="X446" s="6">
        <v>-0.17932011331444761</v>
      </c>
      <c r="Y446" s="8">
        <f>Table2[[#This Row],[DU sąnaudos]]*0.43</f>
        <v>106481.76</v>
      </c>
      <c r="Z446" s="8">
        <f>Table2[[#This Row],[Apyvarta]]-Table2[[#This Row],[Ne-atlyginimų sąnaudos]]+Table2[[#This Row],[Fiks ir pelno mokestis]]</f>
        <v>357010.76</v>
      </c>
    </row>
    <row r="447" spans="1:26" hidden="1" x14ac:dyDescent="0.2">
      <c r="A447" s="5" t="s">
        <v>191</v>
      </c>
      <c r="B447" s="5" t="s">
        <v>1613</v>
      </c>
      <c r="C447" s="5">
        <v>2019</v>
      </c>
      <c r="D447" s="5" t="s">
        <v>1721</v>
      </c>
      <c r="E447" s="5" t="s">
        <v>1721</v>
      </c>
      <c r="F447" s="5" t="s">
        <v>1721</v>
      </c>
      <c r="G447" s="5" t="s">
        <v>73</v>
      </c>
      <c r="H447" s="5" t="s">
        <v>1721</v>
      </c>
      <c r="I447" s="5" t="s">
        <v>1721</v>
      </c>
      <c r="J447" s="5" t="s">
        <v>1721</v>
      </c>
      <c r="K447" s="5" t="s">
        <v>193</v>
      </c>
      <c r="L447" s="5" t="s">
        <v>1721</v>
      </c>
      <c r="M447" s="9">
        <v>17</v>
      </c>
      <c r="N447" s="6">
        <v>0</v>
      </c>
      <c r="O447" s="9">
        <v>2233</v>
      </c>
      <c r="P447" s="6">
        <v>0</v>
      </c>
      <c r="Q447" s="9">
        <f>Table2[[#This Row],[Atlyginimo vidurkis]]*Table2[[#This Row],[Darbuotojų skaičius]]*12</f>
        <v>455532</v>
      </c>
      <c r="R447" s="49">
        <v>0</v>
      </c>
      <c r="S447" s="9">
        <v>3984255</v>
      </c>
      <c r="T447" s="6">
        <v>0</v>
      </c>
      <c r="U447" s="9">
        <f>IF(Table2[[#This Row],[DU sąnaudos]]=0,0,Table2[[#This Row],[Apyvarta]]-Table2[[#This Row],[DU sąnaudos]]-Table2[[#This Row],[Pelnas]])</f>
        <v>3317315</v>
      </c>
      <c r="V447" s="49">
        <v>0</v>
      </c>
      <c r="W447" s="9">
        <v>211408</v>
      </c>
      <c r="X447" s="6">
        <v>0</v>
      </c>
      <c r="Y447" s="8">
        <f>Table2[[#This Row],[DU sąnaudos]]*0.43</f>
        <v>195878.76</v>
      </c>
      <c r="Z447" s="8">
        <f>Table2[[#This Row],[Apyvarta]]-Table2[[#This Row],[Ne-atlyginimų sąnaudos]]+Table2[[#This Row],[Fiks ir pelno mokestis]]</f>
        <v>862818.76</v>
      </c>
    </row>
    <row r="448" spans="1:26" hidden="1" x14ac:dyDescent="0.2">
      <c r="A448" s="5" t="s">
        <v>191</v>
      </c>
      <c r="B448" s="5" t="s">
        <v>1613</v>
      </c>
      <c r="C448" s="5">
        <v>2020</v>
      </c>
      <c r="D448" s="5" t="s">
        <v>1721</v>
      </c>
      <c r="E448" s="5" t="s">
        <v>1721</v>
      </c>
      <c r="F448" s="5" t="s">
        <v>1721</v>
      </c>
      <c r="G448" s="5" t="s">
        <v>73</v>
      </c>
      <c r="H448" s="5" t="s">
        <v>1721</v>
      </c>
      <c r="I448" s="5" t="s">
        <v>1721</v>
      </c>
      <c r="J448" s="5" t="s">
        <v>1721</v>
      </c>
      <c r="K448" s="5" t="s">
        <v>193</v>
      </c>
      <c r="L448" s="5" t="s">
        <v>1721</v>
      </c>
      <c r="M448" s="9">
        <v>21</v>
      </c>
      <c r="N448" s="6">
        <f>IFERROR(Table2[[#This Row],[Darbuotojų skaičius]]/M447-1,0)</f>
        <v>0.23529411764705888</v>
      </c>
      <c r="O448" s="9">
        <v>2199</v>
      </c>
      <c r="P448" s="6">
        <v>-1.522615315718767E-2</v>
      </c>
      <c r="Q448" s="9">
        <f>Table2[[#This Row],[Atlyginimo vidurkis]]*Table2[[#This Row],[Darbuotojų skaičius]]*12</f>
        <v>554148</v>
      </c>
      <c r="R448" s="49">
        <f>IFERROR(Table2[[#This Row],[DU sąnaudos]]/Q447-1,0)</f>
        <v>0.21648534021759169</v>
      </c>
      <c r="S448" s="9">
        <v>5638018</v>
      </c>
      <c r="T448" s="6">
        <v>0.41507458734443459</v>
      </c>
      <c r="U448" s="9">
        <f>IF(Table2[[#This Row],[DU sąnaudos]]=0,0,Table2[[#This Row],[Apyvarta]]-Table2[[#This Row],[DU sąnaudos]]-Table2[[#This Row],[Pelnas]])</f>
        <v>4518432</v>
      </c>
      <c r="V448" s="49">
        <f>IFERROR(Table2[[#This Row],[Ne-atlyginimų sąnaudos]]/U447-1,0)</f>
        <v>0.36207505166075582</v>
      </c>
      <c r="W448" s="9">
        <v>565438</v>
      </c>
      <c r="X448" s="6">
        <v>1.6746291531067889</v>
      </c>
      <c r="Y448" s="8">
        <f>Table2[[#This Row],[DU sąnaudos]]*0.43</f>
        <v>238283.63999999998</v>
      </c>
      <c r="Z448" s="8">
        <f>Table2[[#This Row],[Apyvarta]]-Table2[[#This Row],[Ne-atlyginimų sąnaudos]]+Table2[[#This Row],[Fiks ir pelno mokestis]]</f>
        <v>1357869.64</v>
      </c>
    </row>
    <row r="449" spans="1:26" hidden="1" x14ac:dyDescent="0.2">
      <c r="A449" s="5" t="s">
        <v>191</v>
      </c>
      <c r="B449" s="5" t="s">
        <v>1613</v>
      </c>
      <c r="C449" s="5">
        <v>2021</v>
      </c>
      <c r="D449" s="5" t="s">
        <v>1721</v>
      </c>
      <c r="E449" s="5" t="s">
        <v>1721</v>
      </c>
      <c r="F449" s="5" t="s">
        <v>1721</v>
      </c>
      <c r="G449" s="5" t="s">
        <v>73</v>
      </c>
      <c r="H449" s="5" t="s">
        <v>1721</v>
      </c>
      <c r="I449" s="5" t="s">
        <v>1721</v>
      </c>
      <c r="J449" s="5" t="s">
        <v>1721</v>
      </c>
      <c r="K449" s="5" t="s">
        <v>193</v>
      </c>
      <c r="L449" s="5" t="s">
        <v>1721</v>
      </c>
      <c r="M449" s="9">
        <v>27</v>
      </c>
      <c r="N449" s="6">
        <f>IFERROR(Table2[[#This Row],[Darbuotojų skaičius]]/M448-1,0)</f>
        <v>0.28571428571428581</v>
      </c>
      <c r="O449" s="9">
        <v>2483</v>
      </c>
      <c r="P449" s="6">
        <v>0.129149613460664</v>
      </c>
      <c r="Q449" s="9">
        <f>Table2[[#This Row],[Atlyginimo vidurkis]]*Table2[[#This Row],[Darbuotojų skaičius]]*12</f>
        <v>804492</v>
      </c>
      <c r="R449" s="49">
        <f>IFERROR(Table2[[#This Row],[DU sąnaudos]]/Q448-1,0)</f>
        <v>0.45176378873513934</v>
      </c>
      <c r="S449" s="9">
        <v>7175635</v>
      </c>
      <c r="T449" s="6">
        <v>0.27272296753930192</v>
      </c>
      <c r="U449" s="9">
        <f>IF(Table2[[#This Row],[DU sąnaudos]]=0,0,Table2[[#This Row],[Apyvarta]]-Table2[[#This Row],[DU sąnaudos]]-Table2[[#This Row],[Pelnas]])</f>
        <v>5902283</v>
      </c>
      <c r="V449" s="49">
        <f>IFERROR(Table2[[#This Row],[Ne-atlyginimų sąnaudos]]/U448-1,0)</f>
        <v>0.30626797083590063</v>
      </c>
      <c r="W449" s="9">
        <v>468860</v>
      </c>
      <c r="X449" s="6">
        <v>-0.17080210385577199</v>
      </c>
      <c r="Y449" s="8">
        <f>Table2[[#This Row],[DU sąnaudos]]*0.43</f>
        <v>345931.56</v>
      </c>
      <c r="Z449" s="8">
        <f>Table2[[#This Row],[Apyvarta]]-Table2[[#This Row],[Ne-atlyginimų sąnaudos]]+Table2[[#This Row],[Fiks ir pelno mokestis]]</f>
        <v>1619283.56</v>
      </c>
    </row>
    <row r="450" spans="1:26" hidden="1" x14ac:dyDescent="0.2">
      <c r="A450" s="5" t="s">
        <v>191</v>
      </c>
      <c r="B450" s="5" t="s">
        <v>1613</v>
      </c>
      <c r="C450" s="5">
        <v>2022</v>
      </c>
      <c r="D450" s="5" t="s">
        <v>1721</v>
      </c>
      <c r="E450" s="5" t="s">
        <v>1721</v>
      </c>
      <c r="F450" s="5" t="s">
        <v>1721</v>
      </c>
      <c r="G450" s="5" t="s">
        <v>73</v>
      </c>
      <c r="H450" s="5" t="s">
        <v>1721</v>
      </c>
      <c r="I450" s="5" t="s">
        <v>1721</v>
      </c>
      <c r="J450" s="5" t="s">
        <v>1721</v>
      </c>
      <c r="K450" s="5" t="s">
        <v>193</v>
      </c>
      <c r="L450" s="5" t="s">
        <v>1721</v>
      </c>
      <c r="M450" s="9">
        <v>30</v>
      </c>
      <c r="N450" s="6">
        <f>IFERROR(Table2[[#This Row],[Darbuotojų skaičius]]/M449-1,0)</f>
        <v>0.11111111111111116</v>
      </c>
      <c r="O450" s="9">
        <v>2808</v>
      </c>
      <c r="P450" s="6">
        <v>0.130890052356021</v>
      </c>
      <c r="Q450" s="9">
        <f>Table2[[#This Row],[Atlyginimo vidurkis]]*Table2[[#This Row],[Darbuotojų skaičius]]*12</f>
        <v>1010880</v>
      </c>
      <c r="R450" s="49">
        <f>IFERROR(Table2[[#This Row],[DU sąnaudos]]/Q449-1,0)</f>
        <v>0.25654450261780104</v>
      </c>
      <c r="S450" s="9">
        <v>11433659</v>
      </c>
      <c r="T450" s="6">
        <v>0.59340030533883059</v>
      </c>
      <c r="U450" s="9">
        <f>IF(Table2[[#This Row],[DU sąnaudos]]=0,0,Table2[[#This Row],[Apyvarta]]-Table2[[#This Row],[DU sąnaudos]]-Table2[[#This Row],[Pelnas]])</f>
        <v>9835360</v>
      </c>
      <c r="V450" s="49">
        <f>IFERROR(Table2[[#This Row],[Ne-atlyginimų sąnaudos]]/U449-1,0)</f>
        <v>0.66636537082345937</v>
      </c>
      <c r="W450" s="9">
        <v>587419</v>
      </c>
      <c r="X450" s="6">
        <v>0.25286652732158837</v>
      </c>
      <c r="Y450" s="8">
        <f>Table2[[#This Row],[DU sąnaudos]]*0.43</f>
        <v>434678.39999999997</v>
      </c>
      <c r="Z450" s="8">
        <f>Table2[[#This Row],[Apyvarta]]-Table2[[#This Row],[Ne-atlyginimų sąnaudos]]+Table2[[#This Row],[Fiks ir pelno mokestis]]</f>
        <v>2032977.4</v>
      </c>
    </row>
    <row r="451" spans="1:26" hidden="1" x14ac:dyDescent="0.2">
      <c r="A451" s="5" t="s">
        <v>191</v>
      </c>
      <c r="B451" s="5" t="s">
        <v>1613</v>
      </c>
      <c r="C451" s="5">
        <v>2023</v>
      </c>
      <c r="D451" s="5" t="s">
        <v>1721</v>
      </c>
      <c r="E451" s="5" t="s">
        <v>1721</v>
      </c>
      <c r="F451" s="5" t="s">
        <v>1721</v>
      </c>
      <c r="G451" s="5" t="s">
        <v>73</v>
      </c>
      <c r="H451" s="5" t="s">
        <v>1721</v>
      </c>
      <c r="I451" s="5" t="s">
        <v>1721</v>
      </c>
      <c r="J451" s="5" t="s">
        <v>1721</v>
      </c>
      <c r="K451" s="5" t="s">
        <v>193</v>
      </c>
      <c r="L451" s="5" t="s">
        <v>1721</v>
      </c>
      <c r="M451" s="9">
        <v>29</v>
      </c>
      <c r="N451" s="6">
        <f>IFERROR(Table2[[#This Row],[Darbuotojų skaičius]]/M450-1,0)</f>
        <v>-3.3333333333333326E-2</v>
      </c>
      <c r="O451" s="9">
        <v>3307</v>
      </c>
      <c r="P451" s="6">
        <v>0.1777065527065527</v>
      </c>
      <c r="Q451" s="9">
        <f>Table2[[#This Row],[Atlyginimo vidurkis]]*Table2[[#This Row],[Darbuotojų skaičius]]*12</f>
        <v>1150836</v>
      </c>
      <c r="R451" s="49">
        <f>IFERROR(Table2[[#This Row],[DU sąnaudos]]/Q450-1,0)</f>
        <v>0.13844966761633426</v>
      </c>
      <c r="S451" s="9">
        <v>19745738</v>
      </c>
      <c r="T451" s="6">
        <v>0.72698328680258872</v>
      </c>
      <c r="U451" s="9">
        <f>IF(Table2[[#This Row],[DU sąnaudos]]=0,0,Table2[[#This Row],[Apyvarta]]-Table2[[#This Row],[DU sąnaudos]]-Table2[[#This Row],[Pelnas]])</f>
        <v>18249529</v>
      </c>
      <c r="V451" s="49">
        <f>IFERROR(Table2[[#This Row],[Ne-atlyginimų sąnaudos]]/U450-1,0)</f>
        <v>0.85550188300174068</v>
      </c>
      <c r="W451" s="9">
        <v>345373</v>
      </c>
      <c r="X451" s="6">
        <v>-0.41205000178748052</v>
      </c>
      <c r="Y451" s="8">
        <f>Table2[[#This Row],[DU sąnaudos]]*0.43</f>
        <v>494859.48</v>
      </c>
      <c r="Z451" s="8">
        <f>Table2[[#This Row],[Apyvarta]]-Table2[[#This Row],[Ne-atlyginimų sąnaudos]]+Table2[[#This Row],[Fiks ir pelno mokestis]]</f>
        <v>1991068.48</v>
      </c>
    </row>
    <row r="452" spans="1:26" hidden="1" x14ac:dyDescent="0.2">
      <c r="A452" s="5" t="s">
        <v>191</v>
      </c>
      <c r="B452" s="5" t="s">
        <v>1613</v>
      </c>
      <c r="C452" s="5">
        <v>2024</v>
      </c>
      <c r="D452" s="5" t="s">
        <v>1721</v>
      </c>
      <c r="E452" s="5" t="s">
        <v>1721</v>
      </c>
      <c r="F452" s="5" t="s">
        <v>1721</v>
      </c>
      <c r="G452" s="5" t="s">
        <v>73</v>
      </c>
      <c r="H452" s="5" t="s">
        <v>1721</v>
      </c>
      <c r="I452" s="5" t="s">
        <v>1721</v>
      </c>
      <c r="J452" s="5" t="s">
        <v>1721</v>
      </c>
      <c r="K452" s="5" t="s">
        <v>193</v>
      </c>
      <c r="L452" s="5" t="s">
        <v>1721</v>
      </c>
      <c r="M452" s="9">
        <v>25</v>
      </c>
      <c r="N452" s="6">
        <f>IFERROR(Table2[[#This Row],[Darbuotojų skaičius]]/M451-1,0)</f>
        <v>-0.13793103448275867</v>
      </c>
      <c r="O452" s="9">
        <v>3578</v>
      </c>
      <c r="P452" s="6">
        <v>8.1947384336256368E-2</v>
      </c>
      <c r="Q452" s="9">
        <f>Table2[[#This Row],[Atlyginimo vidurkis]]*Table2[[#This Row],[Darbuotojų skaičius]]*12</f>
        <v>1073400</v>
      </c>
      <c r="R452" s="49">
        <f>IFERROR(Table2[[#This Row],[DU sąnaudos]]/Q451-1,0)</f>
        <v>-6.7286737641158223E-2</v>
      </c>
      <c r="S452" s="9">
        <v>11526712</v>
      </c>
      <c r="T452" s="6">
        <v>-0.41624303938399271</v>
      </c>
      <c r="U452" s="9">
        <f>IF(Table2[[#This Row],[DU sąnaudos]]=0,0,Table2[[#This Row],[Apyvarta]]-Table2[[#This Row],[DU sąnaudos]]-Table2[[#This Row],[Pelnas]])</f>
        <v>10357949</v>
      </c>
      <c r="V452" s="49">
        <f>IFERROR(Table2[[#This Row],[Ne-atlyginimų sąnaudos]]/U451-1,0)</f>
        <v>-0.43242650262371152</v>
      </c>
      <c r="W452" s="9">
        <v>95363</v>
      </c>
      <c r="X452" s="6">
        <v>-0.72388403262559609</v>
      </c>
      <c r="Y452" s="8">
        <f>Table2[[#This Row],[DU sąnaudos]]*0.43</f>
        <v>461562</v>
      </c>
      <c r="Z452" s="8">
        <f>Table2[[#This Row],[Apyvarta]]-Table2[[#This Row],[Ne-atlyginimų sąnaudos]]+Table2[[#This Row],[Fiks ir pelno mokestis]]</f>
        <v>1630325</v>
      </c>
    </row>
    <row r="453" spans="1:26" hidden="1" x14ac:dyDescent="0.2">
      <c r="A453" s="5" t="s">
        <v>1614</v>
      </c>
      <c r="B453" t="s">
        <v>1615</v>
      </c>
      <c r="C453">
        <v>2019</v>
      </c>
      <c r="D453" s="5" t="s">
        <v>1721</v>
      </c>
      <c r="E453" s="5" t="s">
        <v>1721</v>
      </c>
      <c r="F453" s="5" t="s">
        <v>1721</v>
      </c>
      <c r="G453" s="5" t="s">
        <v>1721</v>
      </c>
      <c r="H453" s="5" t="s">
        <v>1721</v>
      </c>
      <c r="I453" s="5" t="s">
        <v>1721</v>
      </c>
      <c r="J453" s="5" t="s">
        <v>1721</v>
      </c>
      <c r="K453" s="5" t="s">
        <v>193</v>
      </c>
      <c r="L453" s="5" t="s">
        <v>1721</v>
      </c>
      <c r="M453" s="9">
        <v>6</v>
      </c>
      <c r="N453" s="6">
        <v>0</v>
      </c>
      <c r="O453" s="9">
        <v>1122</v>
      </c>
      <c r="P453" s="6">
        <v>0</v>
      </c>
      <c r="Q453" s="9">
        <f>Table2[[#This Row],[Atlyginimo vidurkis]]*Table2[[#This Row],[Darbuotojų skaičius]]*12</f>
        <v>80784</v>
      </c>
      <c r="R453" s="49">
        <v>0</v>
      </c>
      <c r="S453" s="9">
        <v>180509</v>
      </c>
      <c r="T453" s="6">
        <v>0</v>
      </c>
      <c r="U453" s="9">
        <f>IF(Table2[[#This Row],[DU sąnaudos]]=0,0,Table2[[#This Row],[Apyvarta]]-Table2[[#This Row],[DU sąnaudos]]-Table2[[#This Row],[Pelnas]])</f>
        <v>84755</v>
      </c>
      <c r="V453" s="49">
        <v>0</v>
      </c>
      <c r="W453" s="9">
        <v>14970</v>
      </c>
      <c r="X453" s="6">
        <v>0</v>
      </c>
      <c r="Y453" s="8">
        <f>Table2[[#This Row],[DU sąnaudos]]*0.43</f>
        <v>34737.120000000003</v>
      </c>
      <c r="Z453" s="8">
        <f>Table2[[#This Row],[Apyvarta]]-Table2[[#This Row],[Ne-atlyginimų sąnaudos]]+Table2[[#This Row],[Fiks ir pelno mokestis]]</f>
        <v>130491.12</v>
      </c>
    </row>
    <row r="454" spans="1:26" hidden="1" x14ac:dyDescent="0.2">
      <c r="A454" s="5" t="s">
        <v>1614</v>
      </c>
      <c r="B454" t="s">
        <v>1615</v>
      </c>
      <c r="C454">
        <v>2020</v>
      </c>
      <c r="D454" s="5" t="s">
        <v>1721</v>
      </c>
      <c r="E454" s="5" t="s">
        <v>1721</v>
      </c>
      <c r="F454" s="5" t="s">
        <v>1721</v>
      </c>
      <c r="G454" s="5" t="s">
        <v>1721</v>
      </c>
      <c r="H454" s="5" t="s">
        <v>1721</v>
      </c>
      <c r="I454" s="5" t="s">
        <v>1721</v>
      </c>
      <c r="J454" s="5" t="s">
        <v>1721</v>
      </c>
      <c r="K454" s="5" t="s">
        <v>193</v>
      </c>
      <c r="L454" s="5" t="s">
        <v>1721</v>
      </c>
      <c r="M454" s="9">
        <v>5</v>
      </c>
      <c r="N454" s="6">
        <f>IFERROR(Table2[[#This Row],[Darbuotojų skaičius]]/M453-1,0)</f>
        <v>-0.16666666666666663</v>
      </c>
      <c r="O454" s="9">
        <v>1681</v>
      </c>
      <c r="P454" s="6">
        <v>0.5</v>
      </c>
      <c r="Q454" s="9">
        <f>Table2[[#This Row],[Atlyginimo vidurkis]]*Table2[[#This Row],[Darbuotojų skaičius]]*12</f>
        <v>100860</v>
      </c>
      <c r="R454" s="49">
        <f>IFERROR(Table2[[#This Row],[DU sąnaudos]]/Q453-1,0)</f>
        <v>0.24851455733808669</v>
      </c>
      <c r="S454" s="9">
        <v>246330</v>
      </c>
      <c r="T454" s="6">
        <v>0.36</v>
      </c>
      <c r="U454" s="9">
        <f>IF(Table2[[#This Row],[DU sąnaudos]]=0,0,Table2[[#This Row],[Apyvarta]]-Table2[[#This Row],[DU sąnaudos]]-Table2[[#This Row],[Pelnas]])</f>
        <v>109221</v>
      </c>
      <c r="V454" s="49">
        <f>IFERROR(Table2[[#This Row],[Ne-atlyginimų sąnaudos]]/U453-1,0)</f>
        <v>0.28866733526045651</v>
      </c>
      <c r="W454" s="9">
        <v>36249</v>
      </c>
      <c r="X454" s="6">
        <v>1.42</v>
      </c>
      <c r="Y454" s="8">
        <f>Table2[[#This Row],[DU sąnaudos]]*0.43</f>
        <v>43369.8</v>
      </c>
      <c r="Z454" s="8">
        <f>Table2[[#This Row],[Apyvarta]]-Table2[[#This Row],[Ne-atlyginimų sąnaudos]]+Table2[[#This Row],[Fiks ir pelno mokestis]]</f>
        <v>180478.8</v>
      </c>
    </row>
    <row r="455" spans="1:26" hidden="1" x14ac:dyDescent="0.2">
      <c r="A455" s="5" t="s">
        <v>1614</v>
      </c>
      <c r="B455" t="s">
        <v>1615</v>
      </c>
      <c r="C455">
        <v>2021</v>
      </c>
      <c r="D455" s="5" t="s">
        <v>1721</v>
      </c>
      <c r="E455" s="5" t="s">
        <v>1721</v>
      </c>
      <c r="F455" s="5" t="s">
        <v>1721</v>
      </c>
      <c r="G455" s="5" t="s">
        <v>1721</v>
      </c>
      <c r="H455" s="5" t="s">
        <v>1721</v>
      </c>
      <c r="I455" s="5" t="s">
        <v>1721</v>
      </c>
      <c r="J455" s="5" t="s">
        <v>1721</v>
      </c>
      <c r="K455" s="5" t="s">
        <v>193</v>
      </c>
      <c r="L455" s="5" t="s">
        <v>1721</v>
      </c>
      <c r="M455" s="9">
        <v>7</v>
      </c>
      <c r="N455" s="6">
        <f>IFERROR(Table2[[#This Row],[Darbuotojų skaičius]]/M454-1,0)</f>
        <v>0.39999999999999991</v>
      </c>
      <c r="O455" s="9">
        <v>1944</v>
      </c>
      <c r="P455" s="6">
        <v>0.16</v>
      </c>
      <c r="Q455" s="9">
        <f>Table2[[#This Row],[Atlyginimo vidurkis]]*Table2[[#This Row],[Darbuotojų skaičius]]*12</f>
        <v>163296</v>
      </c>
      <c r="R455" s="49">
        <f>IFERROR(Table2[[#This Row],[DU sąnaudos]]/Q454-1,0)</f>
        <v>0.6190362879238549</v>
      </c>
      <c r="S455" s="9">
        <v>377769</v>
      </c>
      <c r="T455" s="6">
        <v>0.53</v>
      </c>
      <c r="U455" s="9">
        <f>IF(Table2[[#This Row],[DU sąnaudos]]=0,0,Table2[[#This Row],[Apyvarta]]-Table2[[#This Row],[DU sąnaudos]]-Table2[[#This Row],[Pelnas]])</f>
        <v>170168</v>
      </c>
      <c r="V455" s="49">
        <f>IFERROR(Table2[[#This Row],[Ne-atlyginimų sąnaudos]]/U454-1,0)</f>
        <v>0.5580153999688704</v>
      </c>
      <c r="W455" s="9">
        <v>44305</v>
      </c>
      <c r="X455" s="6">
        <v>0.22</v>
      </c>
      <c r="Y455" s="8">
        <f>Table2[[#This Row],[DU sąnaudos]]*0.43</f>
        <v>70217.279999999999</v>
      </c>
      <c r="Z455" s="8">
        <f>Table2[[#This Row],[Apyvarta]]-Table2[[#This Row],[Ne-atlyginimų sąnaudos]]+Table2[[#This Row],[Fiks ir pelno mokestis]]</f>
        <v>277818.28000000003</v>
      </c>
    </row>
    <row r="456" spans="1:26" hidden="1" x14ac:dyDescent="0.2">
      <c r="A456" s="5" t="s">
        <v>1614</v>
      </c>
      <c r="B456" t="s">
        <v>1615</v>
      </c>
      <c r="C456">
        <v>2022</v>
      </c>
      <c r="D456" s="5" t="s">
        <v>1721</v>
      </c>
      <c r="E456" s="5" t="s">
        <v>1721</v>
      </c>
      <c r="F456" s="5" t="s">
        <v>1721</v>
      </c>
      <c r="G456" s="5" t="s">
        <v>1721</v>
      </c>
      <c r="H456" s="5" t="s">
        <v>1721</v>
      </c>
      <c r="I456" s="5" t="s">
        <v>1721</v>
      </c>
      <c r="J456" s="5" t="s">
        <v>1721</v>
      </c>
      <c r="K456" s="5" t="s">
        <v>193</v>
      </c>
      <c r="L456" s="5" t="s">
        <v>1721</v>
      </c>
      <c r="M456" s="9">
        <v>9</v>
      </c>
      <c r="N456" s="6">
        <f>IFERROR(Table2[[#This Row],[Darbuotojų skaičius]]/M455-1,0)</f>
        <v>0.28571428571428581</v>
      </c>
      <c r="O456" s="9">
        <v>2381</v>
      </c>
      <c r="P456" s="6">
        <v>0.22</v>
      </c>
      <c r="Q456" s="9">
        <f>Table2[[#This Row],[Atlyginimo vidurkis]]*Table2[[#This Row],[Darbuotojų skaičius]]*12</f>
        <v>257148</v>
      </c>
      <c r="R456" s="49">
        <f>IFERROR(Table2[[#This Row],[DU sąnaudos]]/Q455-1,0)</f>
        <v>0.57473544973544977</v>
      </c>
      <c r="S456" s="9">
        <v>628198</v>
      </c>
      <c r="T456" s="6">
        <v>0.66</v>
      </c>
      <c r="U456" s="9">
        <f>IF(Table2[[#This Row],[DU sąnaudos]]=0,0,Table2[[#This Row],[Apyvarta]]-Table2[[#This Row],[DU sąnaudos]]-Table2[[#This Row],[Pelnas]])</f>
        <v>285341</v>
      </c>
      <c r="V456" s="49">
        <f>IFERROR(Table2[[#This Row],[Ne-atlyginimų sąnaudos]]/U455-1,0)</f>
        <v>0.67681937849654461</v>
      </c>
      <c r="W456" s="9">
        <v>85709</v>
      </c>
      <c r="X456" s="6">
        <v>0.93</v>
      </c>
      <c r="Y456" s="8">
        <f>Table2[[#This Row],[DU sąnaudos]]*0.43</f>
        <v>110573.64</v>
      </c>
      <c r="Z456" s="8">
        <f>Table2[[#This Row],[Apyvarta]]-Table2[[#This Row],[Ne-atlyginimų sąnaudos]]+Table2[[#This Row],[Fiks ir pelno mokestis]]</f>
        <v>453430.64</v>
      </c>
    </row>
    <row r="457" spans="1:26" hidden="1" x14ac:dyDescent="0.2">
      <c r="A457" s="5" t="s">
        <v>1614</v>
      </c>
      <c r="B457" t="s">
        <v>1615</v>
      </c>
      <c r="C457">
        <v>2023</v>
      </c>
      <c r="D457" s="5" t="s">
        <v>1721</v>
      </c>
      <c r="E457" s="5" t="s">
        <v>1721</v>
      </c>
      <c r="F457" s="5" t="s">
        <v>1721</v>
      </c>
      <c r="G457" s="5" t="s">
        <v>1721</v>
      </c>
      <c r="H457" s="5" t="s">
        <v>1721</v>
      </c>
      <c r="I457" s="5" t="s">
        <v>1721</v>
      </c>
      <c r="J457" s="5" t="s">
        <v>1721</v>
      </c>
      <c r="K457" s="5" t="s">
        <v>193</v>
      </c>
      <c r="L457" s="5" t="s">
        <v>1721</v>
      </c>
      <c r="M457" s="9">
        <v>9</v>
      </c>
      <c r="N457" s="6">
        <f>IFERROR(Table2[[#This Row],[Darbuotojų skaičius]]/M456-1,0)</f>
        <v>0</v>
      </c>
      <c r="O457" s="9">
        <v>2815</v>
      </c>
      <c r="P457" s="6">
        <v>0.18</v>
      </c>
      <c r="Q457" s="9">
        <f>Table2[[#This Row],[Atlyginimo vidurkis]]*Table2[[#This Row],[Darbuotojų skaičius]]*12</f>
        <v>304020</v>
      </c>
      <c r="R457" s="49">
        <f>IFERROR(Table2[[#This Row],[DU sąnaudos]]/Q456-1,0)</f>
        <v>0.18227635447291046</v>
      </c>
      <c r="S457" s="9">
        <v>645494</v>
      </c>
      <c r="T457" s="6">
        <v>0.03</v>
      </c>
      <c r="U457" s="9">
        <f>IF(Table2[[#This Row],[DU sąnaudos]]=0,0,Table2[[#This Row],[Apyvarta]]-Table2[[#This Row],[DU sąnaudos]]-Table2[[#This Row],[Pelnas]])</f>
        <v>279679</v>
      </c>
      <c r="V457" s="49">
        <f>IFERROR(Table2[[#This Row],[Ne-atlyginimų sąnaudos]]/U456-1,0)</f>
        <v>-1.9842924781226623E-2</v>
      </c>
      <c r="W457" s="9">
        <v>61795</v>
      </c>
      <c r="X457" s="6">
        <v>-0.28000000000000003</v>
      </c>
      <c r="Y457" s="8">
        <f>Table2[[#This Row],[DU sąnaudos]]*0.43</f>
        <v>130728.59999999999</v>
      </c>
      <c r="Z457" s="8">
        <f>Table2[[#This Row],[Apyvarta]]-Table2[[#This Row],[Ne-atlyginimų sąnaudos]]+Table2[[#This Row],[Fiks ir pelno mokestis]]</f>
        <v>496543.6</v>
      </c>
    </row>
    <row r="458" spans="1:26" hidden="1" x14ac:dyDescent="0.2">
      <c r="A458" s="5" t="s">
        <v>1614</v>
      </c>
      <c r="B458" t="s">
        <v>1615</v>
      </c>
      <c r="C458">
        <v>2024</v>
      </c>
      <c r="D458" s="5" t="s">
        <v>1721</v>
      </c>
      <c r="E458" s="5" t="s">
        <v>1721</v>
      </c>
      <c r="F458" s="5" t="s">
        <v>1721</v>
      </c>
      <c r="G458" s="5" t="s">
        <v>1721</v>
      </c>
      <c r="H458" s="5" t="s">
        <v>1721</v>
      </c>
      <c r="I458" s="5" t="s">
        <v>1721</v>
      </c>
      <c r="J458" s="5" t="s">
        <v>1721</v>
      </c>
      <c r="K458" s="5" t="s">
        <v>193</v>
      </c>
      <c r="L458" s="5" t="s">
        <v>1721</v>
      </c>
      <c r="M458" s="9">
        <v>9</v>
      </c>
      <c r="N458" s="6">
        <f>IFERROR(Table2[[#This Row],[Darbuotojų skaičius]]/M457-1,0)</f>
        <v>0</v>
      </c>
      <c r="O458" s="9">
        <v>3161</v>
      </c>
      <c r="P458" s="6">
        <v>0.12</v>
      </c>
      <c r="Q458" s="9">
        <f>Table2[[#This Row],[Atlyginimo vidurkis]]*Table2[[#This Row],[Darbuotojų skaičius]]*12</f>
        <v>341388</v>
      </c>
      <c r="R458" s="49">
        <f>IFERROR(Table2[[#This Row],[DU sąnaudos]]/Q457-1,0)</f>
        <v>0.12291296625222015</v>
      </c>
      <c r="S458" s="9">
        <v>770285</v>
      </c>
      <c r="T458" s="6">
        <v>0.19</v>
      </c>
      <c r="U458" s="9">
        <f>IF(Table2[[#This Row],[DU sąnaudos]]=0,0,Table2[[#This Row],[Apyvarta]]-Table2[[#This Row],[DU sąnaudos]]-Table2[[#This Row],[Pelnas]])</f>
        <v>342222</v>
      </c>
      <c r="V458" s="49">
        <f>IFERROR(Table2[[#This Row],[Ne-atlyginimų sąnaudos]]/U457-1,0)</f>
        <v>0.22362422634520285</v>
      </c>
      <c r="W458" s="9">
        <v>86675</v>
      </c>
      <c r="X458" s="6">
        <v>0.4</v>
      </c>
      <c r="Y458" s="8">
        <f>Table2[[#This Row],[DU sąnaudos]]*0.43</f>
        <v>146796.84</v>
      </c>
      <c r="Z458" s="8">
        <f>Table2[[#This Row],[Apyvarta]]-Table2[[#This Row],[Ne-atlyginimų sąnaudos]]+Table2[[#This Row],[Fiks ir pelno mokestis]]</f>
        <v>574859.84</v>
      </c>
    </row>
    <row r="459" spans="1:26" hidden="1" x14ac:dyDescent="0.2">
      <c r="A459" s="5" t="s">
        <v>581</v>
      </c>
      <c r="B459" s="5" t="s">
        <v>1636</v>
      </c>
      <c r="C459" s="5">
        <v>2019</v>
      </c>
      <c r="D459" s="5" t="s">
        <v>1721</v>
      </c>
      <c r="E459" s="5" t="s">
        <v>1721</v>
      </c>
      <c r="F459" s="5" t="s">
        <v>1726</v>
      </c>
      <c r="G459" s="5" t="s">
        <v>1721</v>
      </c>
      <c r="H459" s="5" t="s">
        <v>1721</v>
      </c>
      <c r="I459" s="5" t="s">
        <v>1721</v>
      </c>
      <c r="J459" s="5" t="s">
        <v>1721</v>
      </c>
      <c r="K459" s="5" t="s">
        <v>1721</v>
      </c>
      <c r="L459" s="5" t="s">
        <v>1721</v>
      </c>
      <c r="M459" s="9">
        <v>3</v>
      </c>
      <c r="N459" s="6">
        <v>0</v>
      </c>
      <c r="O459" s="9">
        <v>0</v>
      </c>
      <c r="P459" s="6">
        <v>0</v>
      </c>
      <c r="Q459" s="9">
        <f>Table2[[#This Row],[Atlyginimo vidurkis]]*Table2[[#This Row],[Darbuotojų skaičius]]*12</f>
        <v>0</v>
      </c>
      <c r="R459" s="49">
        <v>0</v>
      </c>
      <c r="S459" s="9">
        <v>328025</v>
      </c>
      <c r="T459" s="6">
        <v>0</v>
      </c>
      <c r="U459" s="9">
        <f>IF(Table2[[#This Row],[DU sąnaudos]]=0,0,Table2[[#This Row],[Apyvarta]]-Table2[[#This Row],[DU sąnaudos]]-Table2[[#This Row],[Pelnas]])</f>
        <v>0</v>
      </c>
      <c r="V459" s="49">
        <v>0</v>
      </c>
      <c r="W459" s="9">
        <v>107649</v>
      </c>
      <c r="X459" s="6">
        <v>0</v>
      </c>
      <c r="Y459" s="8">
        <f>Table2[[#This Row],[DU sąnaudos]]*0.43</f>
        <v>0</v>
      </c>
      <c r="Z459" s="8">
        <f>Table2[[#This Row],[Apyvarta]]-Table2[[#This Row],[Ne-atlyginimų sąnaudos]]+Table2[[#This Row],[Fiks ir pelno mokestis]]</f>
        <v>328025</v>
      </c>
    </row>
    <row r="460" spans="1:26" hidden="1" x14ac:dyDescent="0.2">
      <c r="A460" s="5" t="s">
        <v>581</v>
      </c>
      <c r="B460" s="5" t="s">
        <v>1636</v>
      </c>
      <c r="C460" s="5">
        <v>2020</v>
      </c>
      <c r="D460" s="5" t="s">
        <v>1721</v>
      </c>
      <c r="E460" s="5" t="s">
        <v>1721</v>
      </c>
      <c r="F460" s="5" t="s">
        <v>1726</v>
      </c>
      <c r="G460" s="5" t="s">
        <v>1721</v>
      </c>
      <c r="H460" s="5" t="s">
        <v>1721</v>
      </c>
      <c r="I460" s="5" t="s">
        <v>1721</v>
      </c>
      <c r="J460" s="5" t="s">
        <v>1721</v>
      </c>
      <c r="K460" s="5" t="s">
        <v>1721</v>
      </c>
      <c r="L460" s="5" t="s">
        <v>1721</v>
      </c>
      <c r="M460" s="9">
        <v>4</v>
      </c>
      <c r="N460" s="6">
        <f>IFERROR(Table2[[#This Row],[Darbuotojų skaičius]]/M459-1,0)</f>
        <v>0.33333333333333326</v>
      </c>
      <c r="O460" s="9">
        <v>1195</v>
      </c>
      <c r="P460" s="6">
        <v>0</v>
      </c>
      <c r="Q460" s="9">
        <f>Table2[[#This Row],[Atlyginimo vidurkis]]*Table2[[#This Row],[Darbuotojų skaičius]]*12</f>
        <v>57360</v>
      </c>
      <c r="R460" s="49">
        <f>IFERROR(Table2[[#This Row],[DU sąnaudos]]/Q459-1,0)</f>
        <v>0</v>
      </c>
      <c r="S460" s="9">
        <v>451893</v>
      </c>
      <c r="T460" s="6">
        <v>0.37761755963722288</v>
      </c>
      <c r="U460" s="9">
        <f>IF(Table2[[#This Row],[DU sąnaudos]]=0,0,Table2[[#This Row],[Apyvarta]]-Table2[[#This Row],[DU sąnaudos]]-Table2[[#This Row],[Pelnas]])</f>
        <v>227136</v>
      </c>
      <c r="V460" s="49">
        <f>IFERROR(Table2[[#This Row],[Ne-atlyginimų sąnaudos]]/U459-1,0)</f>
        <v>0</v>
      </c>
      <c r="W460" s="9">
        <v>167397</v>
      </c>
      <c r="X460" s="6">
        <v>0.55502605690717055</v>
      </c>
      <c r="Y460" s="8">
        <f>Table2[[#This Row],[DU sąnaudos]]*0.43</f>
        <v>24664.799999999999</v>
      </c>
      <c r="Z460" s="8">
        <f>Table2[[#This Row],[Apyvarta]]-Table2[[#This Row],[Ne-atlyginimų sąnaudos]]+Table2[[#This Row],[Fiks ir pelno mokestis]]</f>
        <v>249421.8</v>
      </c>
    </row>
    <row r="461" spans="1:26" hidden="1" x14ac:dyDescent="0.2">
      <c r="A461" s="5" t="s">
        <v>581</v>
      </c>
      <c r="B461" s="5" t="s">
        <v>1636</v>
      </c>
      <c r="C461" s="5">
        <v>2021</v>
      </c>
      <c r="D461" s="5" t="s">
        <v>1721</v>
      </c>
      <c r="E461" s="5" t="s">
        <v>1721</v>
      </c>
      <c r="F461" s="5" t="s">
        <v>1726</v>
      </c>
      <c r="G461" s="5" t="s">
        <v>1721</v>
      </c>
      <c r="H461" s="5" t="s">
        <v>1721</v>
      </c>
      <c r="I461" s="5" t="s">
        <v>1721</v>
      </c>
      <c r="J461" s="5" t="s">
        <v>1721</v>
      </c>
      <c r="K461" s="5" t="s">
        <v>1721</v>
      </c>
      <c r="L461" s="5" t="s">
        <v>1721</v>
      </c>
      <c r="M461" s="9">
        <v>4</v>
      </c>
      <c r="N461" s="6">
        <f>IFERROR(Table2[[#This Row],[Darbuotojų skaičius]]/M460-1,0)</f>
        <v>0</v>
      </c>
      <c r="O461" s="9">
        <v>1060</v>
      </c>
      <c r="P461" s="6">
        <v>-0.11297071129707111</v>
      </c>
      <c r="Q461" s="9">
        <f>Table2[[#This Row],[Atlyginimo vidurkis]]*Table2[[#This Row],[Darbuotojų skaičius]]*12</f>
        <v>50880</v>
      </c>
      <c r="R461" s="49">
        <f>IFERROR(Table2[[#This Row],[DU sąnaudos]]/Q460-1,0)</f>
        <v>-0.11297071129707115</v>
      </c>
      <c r="S461" s="9">
        <v>614560</v>
      </c>
      <c r="T461" s="6">
        <v>0.35996795701637341</v>
      </c>
      <c r="U461" s="9">
        <f>IF(Table2[[#This Row],[DU sąnaudos]]=0,0,Table2[[#This Row],[Apyvarta]]-Table2[[#This Row],[DU sąnaudos]]-Table2[[#This Row],[Pelnas]])</f>
        <v>270575</v>
      </c>
      <c r="V461" s="49">
        <f>IFERROR(Table2[[#This Row],[Ne-atlyginimų sąnaudos]]/U460-1,0)</f>
        <v>0.19124665398703855</v>
      </c>
      <c r="W461" s="9">
        <v>293105</v>
      </c>
      <c r="X461" s="6">
        <v>0.75095730508909964</v>
      </c>
      <c r="Y461" s="8">
        <f>Table2[[#This Row],[DU sąnaudos]]*0.43</f>
        <v>21878.400000000001</v>
      </c>
      <c r="Z461" s="8">
        <f>Table2[[#This Row],[Apyvarta]]-Table2[[#This Row],[Ne-atlyginimų sąnaudos]]+Table2[[#This Row],[Fiks ir pelno mokestis]]</f>
        <v>365863.4</v>
      </c>
    </row>
    <row r="462" spans="1:26" hidden="1" x14ac:dyDescent="0.2">
      <c r="A462" s="5" t="s">
        <v>581</v>
      </c>
      <c r="B462" s="5" t="s">
        <v>1636</v>
      </c>
      <c r="C462" s="5">
        <v>2022</v>
      </c>
      <c r="D462" s="5" t="s">
        <v>1721</v>
      </c>
      <c r="E462" s="5" t="s">
        <v>1721</v>
      </c>
      <c r="F462" s="5" t="s">
        <v>1726</v>
      </c>
      <c r="G462" s="5" t="s">
        <v>1721</v>
      </c>
      <c r="H462" s="5" t="s">
        <v>1721</v>
      </c>
      <c r="I462" s="5" t="s">
        <v>1721</v>
      </c>
      <c r="J462" s="5" t="s">
        <v>1721</v>
      </c>
      <c r="K462" s="5" t="s">
        <v>1721</v>
      </c>
      <c r="L462" s="5" t="s">
        <v>1721</v>
      </c>
      <c r="M462" s="9">
        <v>5</v>
      </c>
      <c r="N462" s="6">
        <f>IFERROR(Table2[[#This Row],[Darbuotojų skaičius]]/M461-1,0)</f>
        <v>0.25</v>
      </c>
      <c r="O462" s="9">
        <v>1269</v>
      </c>
      <c r="P462" s="6">
        <v>0.1971698113207547</v>
      </c>
      <c r="Q462" s="9">
        <f>Table2[[#This Row],[Atlyginimo vidurkis]]*Table2[[#This Row],[Darbuotojų skaičius]]*12</f>
        <v>76140</v>
      </c>
      <c r="R462" s="49">
        <f>IFERROR(Table2[[#This Row],[DU sąnaudos]]/Q461-1,0)</f>
        <v>0.4964622641509433</v>
      </c>
      <c r="S462" s="9">
        <v>766536</v>
      </c>
      <c r="T462" s="6">
        <v>0.24729237177818281</v>
      </c>
      <c r="U462" s="9">
        <f>IF(Table2[[#This Row],[DU sąnaudos]]=0,0,Table2[[#This Row],[Apyvarta]]-Table2[[#This Row],[DU sąnaudos]]-Table2[[#This Row],[Pelnas]])</f>
        <v>324821</v>
      </c>
      <c r="V462" s="49">
        <f>IFERROR(Table2[[#This Row],[Ne-atlyginimų sąnaudos]]/U461-1,0)</f>
        <v>0.20048415411623388</v>
      </c>
      <c r="W462" s="9">
        <v>365575</v>
      </c>
      <c r="X462" s="6">
        <v>0.2472492792685215</v>
      </c>
      <c r="Y462" s="8">
        <f>Table2[[#This Row],[DU sąnaudos]]*0.43</f>
        <v>32740.2</v>
      </c>
      <c r="Z462" s="8">
        <f>Table2[[#This Row],[Apyvarta]]-Table2[[#This Row],[Ne-atlyginimų sąnaudos]]+Table2[[#This Row],[Fiks ir pelno mokestis]]</f>
        <v>474455.2</v>
      </c>
    </row>
    <row r="463" spans="1:26" hidden="1" x14ac:dyDescent="0.2">
      <c r="A463" s="5" t="s">
        <v>581</v>
      </c>
      <c r="B463" s="5" t="s">
        <v>1636</v>
      </c>
      <c r="C463" s="5">
        <v>2023</v>
      </c>
      <c r="D463" s="5" t="s">
        <v>1721</v>
      </c>
      <c r="E463" s="5" t="s">
        <v>1721</v>
      </c>
      <c r="F463" s="5" t="s">
        <v>1726</v>
      </c>
      <c r="G463" s="5" t="s">
        <v>1721</v>
      </c>
      <c r="H463" s="5" t="s">
        <v>1721</v>
      </c>
      <c r="I463" s="5" t="s">
        <v>1721</v>
      </c>
      <c r="J463" s="5" t="s">
        <v>1721</v>
      </c>
      <c r="K463" s="5" t="s">
        <v>1721</v>
      </c>
      <c r="L463" s="5" t="s">
        <v>1721</v>
      </c>
      <c r="M463" s="9">
        <v>7</v>
      </c>
      <c r="N463" s="6">
        <f>IFERROR(Table2[[#This Row],[Darbuotojų skaičius]]/M462-1,0)</f>
        <v>0.39999999999999991</v>
      </c>
      <c r="O463" s="9">
        <v>1899</v>
      </c>
      <c r="P463" s="6">
        <v>0.49645390070921991</v>
      </c>
      <c r="Q463" s="9">
        <f>Table2[[#This Row],[Atlyginimo vidurkis]]*Table2[[#This Row],[Darbuotojų skaičius]]*12</f>
        <v>159516</v>
      </c>
      <c r="R463" s="49">
        <f>IFERROR(Table2[[#This Row],[DU sąnaudos]]/Q462-1,0)</f>
        <v>1.0950354609929076</v>
      </c>
      <c r="S463" s="9">
        <v>1054535</v>
      </c>
      <c r="T463" s="6">
        <v>0.37571490445328082</v>
      </c>
      <c r="U463" s="9">
        <f>IF(Table2[[#This Row],[DU sąnaudos]]=0,0,Table2[[#This Row],[Apyvarta]]-Table2[[#This Row],[DU sąnaudos]]-Table2[[#This Row],[Pelnas]])</f>
        <v>408664</v>
      </c>
      <c r="V463" s="49">
        <f>IFERROR(Table2[[#This Row],[Ne-atlyginimų sąnaudos]]/U462-1,0)</f>
        <v>0.25812062643733014</v>
      </c>
      <c r="W463" s="9">
        <v>486355</v>
      </c>
      <c r="X463" s="6">
        <v>0.33038364220748129</v>
      </c>
      <c r="Y463" s="8">
        <f>Table2[[#This Row],[DU sąnaudos]]*0.43</f>
        <v>68591.88</v>
      </c>
      <c r="Z463" s="8">
        <f>Table2[[#This Row],[Apyvarta]]-Table2[[#This Row],[Ne-atlyginimų sąnaudos]]+Table2[[#This Row],[Fiks ir pelno mokestis]]</f>
        <v>714462.88</v>
      </c>
    </row>
    <row r="464" spans="1:26" hidden="1" x14ac:dyDescent="0.2">
      <c r="A464" s="5" t="s">
        <v>581</v>
      </c>
      <c r="B464" s="5" t="s">
        <v>1636</v>
      </c>
      <c r="C464" s="5">
        <v>2024</v>
      </c>
      <c r="D464" s="5" t="s">
        <v>1721</v>
      </c>
      <c r="E464" s="5" t="s">
        <v>1721</v>
      </c>
      <c r="F464" s="5" t="s">
        <v>1726</v>
      </c>
      <c r="G464" s="5" t="s">
        <v>1721</v>
      </c>
      <c r="H464" s="5" t="s">
        <v>1721</v>
      </c>
      <c r="I464" s="5" t="s">
        <v>1721</v>
      </c>
      <c r="J464" s="5" t="s">
        <v>1721</v>
      </c>
      <c r="K464" s="5" t="s">
        <v>1721</v>
      </c>
      <c r="L464" s="5" t="s">
        <v>1721</v>
      </c>
      <c r="M464" s="9">
        <v>11</v>
      </c>
      <c r="N464" s="6">
        <f>IFERROR(Table2[[#This Row],[Darbuotojų skaičius]]/M463-1,0)</f>
        <v>0.5714285714285714</v>
      </c>
      <c r="O464" s="9">
        <v>2711</v>
      </c>
      <c r="P464" s="6">
        <v>0.42759347024749861</v>
      </c>
      <c r="Q464" s="9">
        <f>Table2[[#This Row],[Atlyginimo vidurkis]]*Table2[[#This Row],[Darbuotojų skaičius]]*12</f>
        <v>357852</v>
      </c>
      <c r="R464" s="49">
        <f>IFERROR(Table2[[#This Row],[DU sąnaudos]]/Q463-1,0)</f>
        <v>1.2433611675317837</v>
      </c>
      <c r="S464" s="9">
        <v>1415385</v>
      </c>
      <c r="T464" s="6">
        <v>0.34218873721592941</v>
      </c>
      <c r="U464" s="9">
        <f>IF(Table2[[#This Row],[DU sąnaudos]]=0,0,Table2[[#This Row],[Apyvarta]]-Table2[[#This Row],[DU sąnaudos]]-Table2[[#This Row],[Pelnas]])</f>
        <v>539434</v>
      </c>
      <c r="V464" s="49">
        <f>IFERROR(Table2[[#This Row],[Ne-atlyginimų sąnaudos]]/U463-1,0)</f>
        <v>0.3199939314449034</v>
      </c>
      <c r="W464" s="9">
        <v>518099</v>
      </c>
      <c r="X464" s="6">
        <v>6.5269196368907378E-2</v>
      </c>
      <c r="Y464" s="8">
        <f>Table2[[#This Row],[DU sąnaudos]]*0.43</f>
        <v>153876.35999999999</v>
      </c>
      <c r="Z464" s="8">
        <f>Table2[[#This Row],[Apyvarta]]-Table2[[#This Row],[Ne-atlyginimų sąnaudos]]+Table2[[#This Row],[Fiks ir pelno mokestis]]</f>
        <v>1029827.36</v>
      </c>
    </row>
    <row r="465" spans="1:26" hidden="1" x14ac:dyDescent="0.2">
      <c r="A465" s="5" t="s">
        <v>1616</v>
      </c>
      <c r="B465" t="s">
        <v>1617</v>
      </c>
      <c r="C465">
        <v>2019</v>
      </c>
      <c r="D465" s="5" t="s">
        <v>1721</v>
      </c>
      <c r="E465" s="5" t="s">
        <v>1721</v>
      </c>
      <c r="F465" s="5" t="s">
        <v>1721</v>
      </c>
      <c r="G465" s="5" t="s">
        <v>73</v>
      </c>
      <c r="H465" s="5" t="s">
        <v>1721</v>
      </c>
      <c r="I465" s="5" t="s">
        <v>1721</v>
      </c>
      <c r="J465" s="5" t="s">
        <v>1721</v>
      </c>
      <c r="K465" s="5" t="s">
        <v>193</v>
      </c>
      <c r="L465" s="5" t="s">
        <v>1721</v>
      </c>
      <c r="M465" s="9">
        <v>6</v>
      </c>
      <c r="N465" s="6">
        <v>0</v>
      </c>
      <c r="O465" s="9">
        <v>2858</v>
      </c>
      <c r="P465" s="6">
        <v>0</v>
      </c>
      <c r="Q465" s="9">
        <f>Table2[[#This Row],[Atlyginimo vidurkis]]*Table2[[#This Row],[Darbuotojų skaičius]]*12</f>
        <v>205776</v>
      </c>
      <c r="R465" s="49">
        <v>0</v>
      </c>
      <c r="S465" s="9">
        <v>992725</v>
      </c>
      <c r="T465" s="6">
        <v>0</v>
      </c>
      <c r="U465" s="9">
        <f>IF(Table2[[#This Row],[DU sąnaudos]]=0,0,Table2[[#This Row],[Apyvarta]]-Table2[[#This Row],[DU sąnaudos]]-Table2[[#This Row],[Pelnas]])</f>
        <v>720200</v>
      </c>
      <c r="V465" s="49">
        <v>0</v>
      </c>
      <c r="W465" s="9">
        <v>66749</v>
      </c>
      <c r="X465" s="6">
        <v>0</v>
      </c>
      <c r="Y465" s="8">
        <f>Table2[[#This Row],[DU sąnaudos]]*0.43</f>
        <v>88483.68</v>
      </c>
      <c r="Z465" s="8">
        <f>Table2[[#This Row],[Apyvarta]]-Table2[[#This Row],[Ne-atlyginimų sąnaudos]]+Table2[[#This Row],[Fiks ir pelno mokestis]]</f>
        <v>361008.68</v>
      </c>
    </row>
    <row r="466" spans="1:26" hidden="1" x14ac:dyDescent="0.2">
      <c r="A466" s="5" t="s">
        <v>1616</v>
      </c>
      <c r="B466" t="s">
        <v>1617</v>
      </c>
      <c r="C466">
        <v>2020</v>
      </c>
      <c r="D466" s="5" t="s">
        <v>1721</v>
      </c>
      <c r="E466" s="5" t="s">
        <v>1721</v>
      </c>
      <c r="F466" s="5" t="s">
        <v>1721</v>
      </c>
      <c r="G466" s="5" t="s">
        <v>73</v>
      </c>
      <c r="H466" s="5" t="s">
        <v>1721</v>
      </c>
      <c r="I466" s="5" t="s">
        <v>1721</v>
      </c>
      <c r="J466" s="5" t="s">
        <v>1721</v>
      </c>
      <c r="K466" s="5" t="s">
        <v>193</v>
      </c>
      <c r="L466" s="5" t="s">
        <v>1721</v>
      </c>
      <c r="M466" s="9">
        <v>7</v>
      </c>
      <c r="N466" s="6">
        <f>IFERROR(Table2[[#This Row],[Darbuotojų skaičius]]/M465-1,0)</f>
        <v>0.16666666666666674</v>
      </c>
      <c r="O466" s="9">
        <v>3139</v>
      </c>
      <c r="P466" s="6">
        <v>0.1</v>
      </c>
      <c r="Q466" s="9">
        <f>Table2[[#This Row],[Atlyginimo vidurkis]]*Table2[[#This Row],[Darbuotojų skaičius]]*12</f>
        <v>263676</v>
      </c>
      <c r="R466" s="49">
        <f>IFERROR(Table2[[#This Row],[DU sąnaudos]]/Q465-1,0)</f>
        <v>0.28137392115698634</v>
      </c>
      <c r="S466" s="9">
        <v>1086282</v>
      </c>
      <c r="T466" s="6">
        <v>0.09</v>
      </c>
      <c r="U466" s="9">
        <f>IF(Table2[[#This Row],[DU sąnaudos]]=0,0,Table2[[#This Row],[Apyvarta]]-Table2[[#This Row],[DU sąnaudos]]-Table2[[#This Row],[Pelnas]])</f>
        <v>756125</v>
      </c>
      <c r="V466" s="49">
        <f>IFERROR(Table2[[#This Row],[Ne-atlyginimų sąnaudos]]/U465-1,0)</f>
        <v>4.9881977228547703E-2</v>
      </c>
      <c r="W466" s="9">
        <v>66481</v>
      </c>
      <c r="X466" s="6">
        <v>0</v>
      </c>
      <c r="Y466" s="8">
        <f>Table2[[#This Row],[DU sąnaudos]]*0.43</f>
        <v>113380.68</v>
      </c>
      <c r="Z466" s="8">
        <f>Table2[[#This Row],[Apyvarta]]-Table2[[#This Row],[Ne-atlyginimų sąnaudos]]+Table2[[#This Row],[Fiks ir pelno mokestis]]</f>
        <v>443537.68</v>
      </c>
    </row>
    <row r="467" spans="1:26" hidden="1" x14ac:dyDescent="0.2">
      <c r="A467" s="5" t="s">
        <v>1616</v>
      </c>
      <c r="B467" t="s">
        <v>1617</v>
      </c>
      <c r="C467">
        <v>2021</v>
      </c>
      <c r="D467" s="5" t="s">
        <v>1721</v>
      </c>
      <c r="E467" s="5" t="s">
        <v>1721</v>
      </c>
      <c r="F467" s="5" t="s">
        <v>1721</v>
      </c>
      <c r="G467" s="5" t="s">
        <v>73</v>
      </c>
      <c r="H467" s="5" t="s">
        <v>1721</v>
      </c>
      <c r="I467" s="5" t="s">
        <v>1721</v>
      </c>
      <c r="J467" s="5" t="s">
        <v>1721</v>
      </c>
      <c r="K467" s="5" t="s">
        <v>193</v>
      </c>
      <c r="L467" s="5" t="s">
        <v>1721</v>
      </c>
      <c r="M467" s="9">
        <v>6</v>
      </c>
      <c r="N467" s="6">
        <f>IFERROR(Table2[[#This Row],[Darbuotojų skaičius]]/M466-1,0)</f>
        <v>-0.1428571428571429</v>
      </c>
      <c r="O467" s="9">
        <v>4661</v>
      </c>
      <c r="P467" s="6">
        <v>0.48</v>
      </c>
      <c r="Q467" s="9">
        <f>Table2[[#This Row],[Atlyginimo vidurkis]]*Table2[[#This Row],[Darbuotojų skaičius]]*12</f>
        <v>335592</v>
      </c>
      <c r="R467" s="49">
        <f>IFERROR(Table2[[#This Row],[DU sąnaudos]]/Q466-1,0)</f>
        <v>0.2727438219633187</v>
      </c>
      <c r="S467" s="9">
        <v>1341762</v>
      </c>
      <c r="T467" s="6">
        <v>0.24</v>
      </c>
      <c r="U467" s="9">
        <f>IF(Table2[[#This Row],[DU sąnaudos]]=0,0,Table2[[#This Row],[Apyvarta]]-Table2[[#This Row],[DU sąnaudos]]-Table2[[#This Row],[Pelnas]])</f>
        <v>958675</v>
      </c>
      <c r="V467" s="49">
        <f>IFERROR(Table2[[#This Row],[Ne-atlyginimų sąnaudos]]/U466-1,0)</f>
        <v>0.26787898826252277</v>
      </c>
      <c r="W467" s="9">
        <v>47495</v>
      </c>
      <c r="X467" s="6">
        <v>-0.28999999999999998</v>
      </c>
      <c r="Y467" s="8">
        <f>Table2[[#This Row],[DU sąnaudos]]*0.43</f>
        <v>144304.56</v>
      </c>
      <c r="Z467" s="8">
        <f>Table2[[#This Row],[Apyvarta]]-Table2[[#This Row],[Ne-atlyginimų sąnaudos]]+Table2[[#This Row],[Fiks ir pelno mokestis]]</f>
        <v>527391.56000000006</v>
      </c>
    </row>
    <row r="468" spans="1:26" hidden="1" x14ac:dyDescent="0.2">
      <c r="A468" s="5" t="s">
        <v>1616</v>
      </c>
      <c r="B468" t="s">
        <v>1617</v>
      </c>
      <c r="C468">
        <v>2022</v>
      </c>
      <c r="D468" s="5" t="s">
        <v>1721</v>
      </c>
      <c r="E468" s="5" t="s">
        <v>1721</v>
      </c>
      <c r="F468" s="5" t="s">
        <v>1721</v>
      </c>
      <c r="G468" s="5" t="s">
        <v>73</v>
      </c>
      <c r="H468" s="5" t="s">
        <v>1721</v>
      </c>
      <c r="I468" s="5" t="s">
        <v>1721</v>
      </c>
      <c r="J468" s="5" t="s">
        <v>1721</v>
      </c>
      <c r="K468" s="5" t="s">
        <v>193</v>
      </c>
      <c r="L468" s="5" t="s">
        <v>1721</v>
      </c>
      <c r="M468" s="9">
        <v>7</v>
      </c>
      <c r="N468" s="6">
        <f>IFERROR(Table2[[#This Row],[Darbuotojų skaičius]]/M467-1,0)</f>
        <v>0.16666666666666674</v>
      </c>
      <c r="O468" s="9">
        <v>4471</v>
      </c>
      <c r="P468" s="6">
        <v>-0.04</v>
      </c>
      <c r="Q468" s="9">
        <f>Table2[[#This Row],[Atlyginimo vidurkis]]*Table2[[#This Row],[Darbuotojų skaičius]]*12</f>
        <v>375564</v>
      </c>
      <c r="R468" s="49">
        <f>IFERROR(Table2[[#This Row],[DU sąnaudos]]/Q467-1,0)</f>
        <v>0.11910891797182299</v>
      </c>
      <c r="S468" s="9">
        <v>1988223</v>
      </c>
      <c r="T468" s="6">
        <v>0.48</v>
      </c>
      <c r="U468" s="9">
        <f>IF(Table2[[#This Row],[DU sąnaudos]]=0,0,Table2[[#This Row],[Apyvarta]]-Table2[[#This Row],[DU sąnaudos]]-Table2[[#This Row],[Pelnas]])</f>
        <v>1524775</v>
      </c>
      <c r="V468" s="49">
        <f>IFERROR(Table2[[#This Row],[Ne-atlyginimų sąnaudos]]/U467-1,0)</f>
        <v>0.59050251649411956</v>
      </c>
      <c r="W468" s="9">
        <v>87884</v>
      </c>
      <c r="X468" s="6">
        <v>0.85</v>
      </c>
      <c r="Y468" s="8">
        <f>Table2[[#This Row],[DU sąnaudos]]*0.43</f>
        <v>161492.51999999999</v>
      </c>
      <c r="Z468" s="8">
        <f>Table2[[#This Row],[Apyvarta]]-Table2[[#This Row],[Ne-atlyginimų sąnaudos]]+Table2[[#This Row],[Fiks ir pelno mokestis]]</f>
        <v>624940.52</v>
      </c>
    </row>
    <row r="469" spans="1:26" hidden="1" x14ac:dyDescent="0.2">
      <c r="A469" s="5" t="s">
        <v>1616</v>
      </c>
      <c r="B469" t="s">
        <v>1617</v>
      </c>
      <c r="C469">
        <v>2023</v>
      </c>
      <c r="D469" s="5" t="s">
        <v>1721</v>
      </c>
      <c r="E469" s="5" t="s">
        <v>1721</v>
      </c>
      <c r="F469" s="5" t="s">
        <v>1721</v>
      </c>
      <c r="G469" s="5" t="s">
        <v>73</v>
      </c>
      <c r="H469" s="5" t="s">
        <v>1721</v>
      </c>
      <c r="I469" s="5" t="s">
        <v>1721</v>
      </c>
      <c r="J469" s="5" t="s">
        <v>1721</v>
      </c>
      <c r="K469" s="5" t="s">
        <v>193</v>
      </c>
      <c r="L469" s="5" t="s">
        <v>1721</v>
      </c>
      <c r="M469" s="9">
        <v>6</v>
      </c>
      <c r="N469" s="6">
        <f>IFERROR(Table2[[#This Row],[Darbuotojų skaičius]]/M468-1,0)</f>
        <v>-0.1428571428571429</v>
      </c>
      <c r="O469" s="9">
        <v>5086</v>
      </c>
      <c r="P469" s="6">
        <v>0.14000000000000001</v>
      </c>
      <c r="Q469" s="9">
        <f>Table2[[#This Row],[Atlyginimo vidurkis]]*Table2[[#This Row],[Darbuotojų skaičius]]*12</f>
        <v>366192</v>
      </c>
      <c r="R469" s="49">
        <f>IFERROR(Table2[[#This Row],[DU sąnaudos]]/Q468-1,0)</f>
        <v>-2.4954468479406966E-2</v>
      </c>
      <c r="S469" s="9">
        <v>2655646</v>
      </c>
      <c r="T469" s="6">
        <v>0.34</v>
      </c>
      <c r="U469" s="9">
        <f>IF(Table2[[#This Row],[DU sąnaudos]]=0,0,Table2[[#This Row],[Apyvarta]]-Table2[[#This Row],[DU sąnaudos]]-Table2[[#This Row],[Pelnas]])</f>
        <v>2256979</v>
      </c>
      <c r="V469" s="49">
        <f>IFERROR(Table2[[#This Row],[Ne-atlyginimų sąnaudos]]/U468-1,0)</f>
        <v>0.48020462035382261</v>
      </c>
      <c r="W469" s="9">
        <v>32475</v>
      </c>
      <c r="X469" s="6">
        <v>-0.63</v>
      </c>
      <c r="Y469" s="8">
        <f>Table2[[#This Row],[DU sąnaudos]]*0.43</f>
        <v>157462.56</v>
      </c>
      <c r="Z469" s="8">
        <f>Table2[[#This Row],[Apyvarta]]-Table2[[#This Row],[Ne-atlyginimų sąnaudos]]+Table2[[#This Row],[Fiks ir pelno mokestis]]</f>
        <v>556129.56000000006</v>
      </c>
    </row>
    <row r="470" spans="1:26" hidden="1" x14ac:dyDescent="0.2">
      <c r="A470" s="5" t="s">
        <v>1616</v>
      </c>
      <c r="B470" t="s">
        <v>1617</v>
      </c>
      <c r="C470">
        <v>2024</v>
      </c>
      <c r="D470" s="5" t="s">
        <v>1721</v>
      </c>
      <c r="E470" s="5" t="s">
        <v>1721</v>
      </c>
      <c r="F470" s="5" t="s">
        <v>1721</v>
      </c>
      <c r="G470" s="5" t="s">
        <v>73</v>
      </c>
      <c r="H470" s="5" t="s">
        <v>1721</v>
      </c>
      <c r="I470" s="5" t="s">
        <v>1721</v>
      </c>
      <c r="J470" s="5" t="s">
        <v>1721</v>
      </c>
      <c r="K470" s="5" t="s">
        <v>193</v>
      </c>
      <c r="L470" s="5" t="s">
        <v>1721</v>
      </c>
      <c r="M470" s="9">
        <v>6</v>
      </c>
      <c r="N470" s="6">
        <f>IFERROR(Table2[[#This Row],[Darbuotojų skaičius]]/M469-1,0)</f>
        <v>0</v>
      </c>
      <c r="O470" s="9">
        <v>5911</v>
      </c>
      <c r="P470" s="6">
        <v>0.16</v>
      </c>
      <c r="Q470" s="9">
        <f>Table2[[#This Row],[Atlyginimo vidurkis]]*Table2[[#This Row],[Darbuotojų skaičius]]*12</f>
        <v>425592</v>
      </c>
      <c r="R470" s="49">
        <f>IFERROR(Table2[[#This Row],[DU sąnaudos]]/Q469-1,0)</f>
        <v>0.16220998820290999</v>
      </c>
      <c r="S470" s="9">
        <v>2521409</v>
      </c>
      <c r="T470" s="6">
        <v>-0.05</v>
      </c>
      <c r="U470" s="9">
        <f>IF(Table2[[#This Row],[DU sąnaudos]]=0,0,Table2[[#This Row],[Apyvarta]]-Table2[[#This Row],[DU sąnaudos]]-Table2[[#This Row],[Pelnas]])</f>
        <v>2015690</v>
      </c>
      <c r="V470" s="49">
        <f>IFERROR(Table2[[#This Row],[Ne-atlyginimų sąnaudos]]/U469-1,0)</f>
        <v>-0.10690795084934335</v>
      </c>
      <c r="W470" s="9">
        <v>80127</v>
      </c>
      <c r="X470" s="6">
        <v>1.47</v>
      </c>
      <c r="Y470" s="8">
        <f>Table2[[#This Row],[DU sąnaudos]]*0.43</f>
        <v>183004.56</v>
      </c>
      <c r="Z470" s="8">
        <f>Table2[[#This Row],[Apyvarta]]-Table2[[#This Row],[Ne-atlyginimų sąnaudos]]+Table2[[#This Row],[Fiks ir pelno mokestis]]</f>
        <v>688723.56</v>
      </c>
    </row>
    <row r="471" spans="1:26" hidden="1" x14ac:dyDescent="0.2">
      <c r="A471" s="5" t="s">
        <v>1618</v>
      </c>
      <c r="B471" t="s">
        <v>1619</v>
      </c>
      <c r="C471">
        <v>2021</v>
      </c>
      <c r="D471" s="5" t="s">
        <v>1721</v>
      </c>
      <c r="E471" s="5" t="s">
        <v>1721</v>
      </c>
      <c r="F471" s="5" t="s">
        <v>1721</v>
      </c>
      <c r="G471" s="5" t="s">
        <v>1721</v>
      </c>
      <c r="H471" s="5" t="s">
        <v>1721</v>
      </c>
      <c r="I471" s="5" t="s">
        <v>1721</v>
      </c>
      <c r="J471" s="5" t="s">
        <v>1721</v>
      </c>
      <c r="K471" s="5" t="s">
        <v>1721</v>
      </c>
      <c r="L471" t="s">
        <v>301</v>
      </c>
      <c r="M471" s="9">
        <v>2</v>
      </c>
      <c r="N471" s="6">
        <f>IFERROR(Table2[[#This Row],[Darbuotojų skaičius]]/M470-1,0)</f>
        <v>-0.66666666666666674</v>
      </c>
      <c r="O471" s="9">
        <v>0</v>
      </c>
      <c r="P471" s="6">
        <v>0</v>
      </c>
      <c r="Q471" s="9">
        <f>Table2[[#This Row],[Atlyginimo vidurkis]]*Table2[[#This Row],[Darbuotojų skaičius]]*12</f>
        <v>0</v>
      </c>
      <c r="R471" s="49">
        <f>IFERROR(Table2[[#This Row],[DU sąnaudos]]/Q470-1,0)</f>
        <v>-1</v>
      </c>
      <c r="S471" s="9">
        <v>56983</v>
      </c>
      <c r="T471" s="6">
        <v>0</v>
      </c>
      <c r="U471" s="9">
        <f>IF(Table2[[#This Row],[DU sąnaudos]]=0,0,Table2[[#This Row],[Apyvarta]]-Table2[[#This Row],[DU sąnaudos]]-Table2[[#This Row],[Pelnas]])</f>
        <v>0</v>
      </c>
      <c r="V471" s="49">
        <f>IFERROR(Table2[[#This Row],[Ne-atlyginimų sąnaudos]]/U470-1,0)</f>
        <v>-1</v>
      </c>
      <c r="W471" s="9">
        <v>40177</v>
      </c>
      <c r="X471" s="6">
        <v>0</v>
      </c>
      <c r="Y471" s="8">
        <f>Table2[[#This Row],[DU sąnaudos]]*0.43</f>
        <v>0</v>
      </c>
      <c r="Z471" s="8">
        <f>Table2[[#This Row],[Apyvarta]]-Table2[[#This Row],[Ne-atlyginimų sąnaudos]]+Table2[[#This Row],[Fiks ir pelno mokestis]]</f>
        <v>56983</v>
      </c>
    </row>
    <row r="472" spans="1:26" hidden="1" x14ac:dyDescent="0.2">
      <c r="A472" s="5" t="s">
        <v>1618</v>
      </c>
      <c r="B472" t="s">
        <v>1619</v>
      </c>
      <c r="C472">
        <v>2022</v>
      </c>
      <c r="D472" s="5" t="s">
        <v>1721</v>
      </c>
      <c r="E472" s="5" t="s">
        <v>1721</v>
      </c>
      <c r="F472" s="5" t="s">
        <v>1721</v>
      </c>
      <c r="G472" s="5" t="s">
        <v>1721</v>
      </c>
      <c r="H472" s="5" t="s">
        <v>1721</v>
      </c>
      <c r="I472" s="5" t="s">
        <v>1721</v>
      </c>
      <c r="J472" s="5" t="s">
        <v>1721</v>
      </c>
      <c r="K472" s="5" t="s">
        <v>1721</v>
      </c>
      <c r="L472" t="s">
        <v>301</v>
      </c>
      <c r="M472" s="9">
        <v>3</v>
      </c>
      <c r="N472" s="6">
        <f>IFERROR(Table2[[#This Row],[Darbuotojų skaičius]]/M471-1,0)</f>
        <v>0.5</v>
      </c>
      <c r="O472" s="9">
        <v>0</v>
      </c>
      <c r="P472" s="6">
        <v>0</v>
      </c>
      <c r="Q472" s="9">
        <f>Table2[[#This Row],[Atlyginimo vidurkis]]*Table2[[#This Row],[Darbuotojų skaičius]]*12</f>
        <v>0</v>
      </c>
      <c r="R472" s="49">
        <f>IFERROR(Table2[[#This Row],[DU sąnaudos]]/Q471-1,0)</f>
        <v>0</v>
      </c>
      <c r="S472" s="9">
        <v>129939</v>
      </c>
      <c r="T472" s="6">
        <v>1.28</v>
      </c>
      <c r="U472" s="9">
        <f>IF(Table2[[#This Row],[DU sąnaudos]]=0,0,Table2[[#This Row],[Apyvarta]]-Table2[[#This Row],[DU sąnaudos]]-Table2[[#This Row],[Pelnas]])</f>
        <v>0</v>
      </c>
      <c r="V472" s="49">
        <f>IFERROR(Table2[[#This Row],[Ne-atlyginimų sąnaudos]]/U471-1,0)</f>
        <v>0</v>
      </c>
      <c r="W472" s="9">
        <v>50125</v>
      </c>
      <c r="X472" s="6">
        <v>0.25</v>
      </c>
      <c r="Y472" s="8">
        <f>Table2[[#This Row],[DU sąnaudos]]*0.43</f>
        <v>0</v>
      </c>
      <c r="Z472" s="8">
        <f>Table2[[#This Row],[Apyvarta]]-Table2[[#This Row],[Ne-atlyginimų sąnaudos]]+Table2[[#This Row],[Fiks ir pelno mokestis]]</f>
        <v>129939</v>
      </c>
    </row>
    <row r="473" spans="1:26" hidden="1" x14ac:dyDescent="0.2">
      <c r="A473" s="5" t="s">
        <v>1618</v>
      </c>
      <c r="B473" t="s">
        <v>1619</v>
      </c>
      <c r="C473">
        <v>2023</v>
      </c>
      <c r="D473" s="5" t="s">
        <v>1721</v>
      </c>
      <c r="E473" s="5" t="s">
        <v>1721</v>
      </c>
      <c r="F473" s="5" t="s">
        <v>1721</v>
      </c>
      <c r="G473" s="5" t="s">
        <v>1721</v>
      </c>
      <c r="H473" s="5" t="s">
        <v>1721</v>
      </c>
      <c r="I473" s="5" t="s">
        <v>1721</v>
      </c>
      <c r="J473" s="5" t="s">
        <v>1721</v>
      </c>
      <c r="K473" s="5" t="s">
        <v>1721</v>
      </c>
      <c r="L473" t="s">
        <v>301</v>
      </c>
      <c r="M473" s="9">
        <v>3</v>
      </c>
      <c r="N473" s="6">
        <f>IFERROR(Table2[[#This Row],[Darbuotojų skaičius]]/M472-1,0)</f>
        <v>0</v>
      </c>
      <c r="O473" s="9">
        <v>0</v>
      </c>
      <c r="P473" s="6">
        <v>0</v>
      </c>
      <c r="Q473" s="9">
        <f>Table2[[#This Row],[Atlyginimo vidurkis]]*Table2[[#This Row],[Darbuotojų skaičius]]*12</f>
        <v>0</v>
      </c>
      <c r="R473" s="49">
        <f>IFERROR(Table2[[#This Row],[DU sąnaudos]]/Q472-1,0)</f>
        <v>0</v>
      </c>
      <c r="S473" s="9">
        <v>235676</v>
      </c>
      <c r="T473" s="6">
        <v>0.81</v>
      </c>
      <c r="U473" s="9">
        <f>IF(Table2[[#This Row],[DU sąnaudos]]=0,0,Table2[[#This Row],[Apyvarta]]-Table2[[#This Row],[DU sąnaudos]]-Table2[[#This Row],[Pelnas]])</f>
        <v>0</v>
      </c>
      <c r="V473" s="49">
        <f>IFERROR(Table2[[#This Row],[Ne-atlyginimų sąnaudos]]/U472-1,0)</f>
        <v>0</v>
      </c>
      <c r="W473" s="9">
        <v>105197</v>
      </c>
      <c r="X473" s="6">
        <v>1.1000000000000001</v>
      </c>
      <c r="Y473" s="8">
        <f>Table2[[#This Row],[DU sąnaudos]]*0.43</f>
        <v>0</v>
      </c>
      <c r="Z473" s="8">
        <f>Table2[[#This Row],[Apyvarta]]-Table2[[#This Row],[Ne-atlyginimų sąnaudos]]+Table2[[#This Row],[Fiks ir pelno mokestis]]</f>
        <v>235676</v>
      </c>
    </row>
    <row r="474" spans="1:26" hidden="1" x14ac:dyDescent="0.2">
      <c r="A474" s="5" t="s">
        <v>1618</v>
      </c>
      <c r="B474" t="s">
        <v>1619</v>
      </c>
      <c r="C474">
        <v>2024</v>
      </c>
      <c r="D474" s="5" t="s">
        <v>1721</v>
      </c>
      <c r="E474" s="5" t="s">
        <v>1721</v>
      </c>
      <c r="F474" s="5" t="s">
        <v>1721</v>
      </c>
      <c r="G474" s="5" t="s">
        <v>1721</v>
      </c>
      <c r="H474" s="5" t="s">
        <v>1721</v>
      </c>
      <c r="I474" s="5" t="s">
        <v>1721</v>
      </c>
      <c r="J474" s="5" t="s">
        <v>1721</v>
      </c>
      <c r="K474" s="5" t="s">
        <v>1721</v>
      </c>
      <c r="L474" t="s">
        <v>301</v>
      </c>
      <c r="M474" s="9">
        <v>3</v>
      </c>
      <c r="N474" s="6">
        <f>IFERROR(Table2[[#This Row],[Darbuotojų skaičius]]/M473-1,0)</f>
        <v>0</v>
      </c>
      <c r="O474" s="9">
        <v>0</v>
      </c>
      <c r="P474" s="6">
        <v>0</v>
      </c>
      <c r="Q474" s="9">
        <f>Table2[[#This Row],[Atlyginimo vidurkis]]*Table2[[#This Row],[Darbuotojų skaičius]]*12</f>
        <v>0</v>
      </c>
      <c r="R474" s="49">
        <f>IFERROR(Table2[[#This Row],[DU sąnaudos]]/Q473-1,0)</f>
        <v>0</v>
      </c>
      <c r="S474" s="9">
        <v>201743</v>
      </c>
      <c r="T474" s="6">
        <v>-0.14000000000000001</v>
      </c>
      <c r="U474" s="9">
        <f>IF(Table2[[#This Row],[DU sąnaudos]]=0,0,Table2[[#This Row],[Apyvarta]]-Table2[[#This Row],[DU sąnaudos]]-Table2[[#This Row],[Pelnas]])</f>
        <v>0</v>
      </c>
      <c r="V474" s="49">
        <f>IFERROR(Table2[[#This Row],[Ne-atlyginimų sąnaudos]]/U473-1,0)</f>
        <v>0</v>
      </c>
      <c r="W474" s="9">
        <v>93993</v>
      </c>
      <c r="X474" s="6">
        <v>-0.11</v>
      </c>
      <c r="Y474" s="8">
        <f>Table2[[#This Row],[DU sąnaudos]]*0.43</f>
        <v>0</v>
      </c>
      <c r="Z474" s="8">
        <f>Table2[[#This Row],[Apyvarta]]-Table2[[#This Row],[Ne-atlyginimų sąnaudos]]+Table2[[#This Row],[Fiks ir pelno mokestis]]</f>
        <v>201743</v>
      </c>
    </row>
    <row r="475" spans="1:26" hidden="1" x14ac:dyDescent="0.2">
      <c r="A475" s="5" t="s">
        <v>318</v>
      </c>
      <c r="B475" s="5" t="s">
        <v>1620</v>
      </c>
      <c r="C475" s="5">
        <v>2019</v>
      </c>
      <c r="D475" s="5" t="s">
        <v>1721</v>
      </c>
      <c r="E475" s="5" t="s">
        <v>1721</v>
      </c>
      <c r="F475" s="5" t="s">
        <v>1721</v>
      </c>
      <c r="G475" s="5" t="s">
        <v>1721</v>
      </c>
      <c r="H475" s="5" t="s">
        <v>1721</v>
      </c>
      <c r="I475" s="5" t="s">
        <v>280</v>
      </c>
      <c r="J475" s="5" t="s">
        <v>1721</v>
      </c>
      <c r="K475" s="5" t="s">
        <v>193</v>
      </c>
      <c r="L475" s="5" t="s">
        <v>1721</v>
      </c>
      <c r="M475" s="9">
        <v>28</v>
      </c>
      <c r="N475" s="6">
        <v>0</v>
      </c>
      <c r="O475" s="9">
        <v>1923</v>
      </c>
      <c r="P475" s="6">
        <v>0</v>
      </c>
      <c r="Q475" s="9">
        <f>Table2[[#This Row],[Atlyginimo vidurkis]]*Table2[[#This Row],[Darbuotojų skaičius]]*12</f>
        <v>646128</v>
      </c>
      <c r="R475" s="49">
        <v>0</v>
      </c>
      <c r="S475" s="9">
        <v>2542792</v>
      </c>
      <c r="T475" s="6">
        <v>0</v>
      </c>
      <c r="U475" s="9">
        <f>IF(Table2[[#This Row],[DU sąnaudos]]=0,0,Table2[[#This Row],[Apyvarta]]-Table2[[#This Row],[DU sąnaudos]]-Table2[[#This Row],[Pelnas]])</f>
        <v>1666939</v>
      </c>
      <c r="V475" s="49">
        <v>0</v>
      </c>
      <c r="W475" s="9">
        <v>229725</v>
      </c>
      <c r="X475" s="6">
        <v>0</v>
      </c>
      <c r="Y475" s="8">
        <f>Table2[[#This Row],[DU sąnaudos]]*0.43</f>
        <v>277835.03999999998</v>
      </c>
      <c r="Z475" s="8">
        <f>Table2[[#This Row],[Apyvarta]]-Table2[[#This Row],[Ne-atlyginimų sąnaudos]]+Table2[[#This Row],[Fiks ir pelno mokestis]]</f>
        <v>1153688.04</v>
      </c>
    </row>
    <row r="476" spans="1:26" hidden="1" x14ac:dyDescent="0.2">
      <c r="A476" s="5" t="s">
        <v>318</v>
      </c>
      <c r="B476" s="5" t="s">
        <v>1620</v>
      </c>
      <c r="C476" s="5">
        <v>2020</v>
      </c>
      <c r="D476" s="5" t="s">
        <v>1721</v>
      </c>
      <c r="E476" s="5" t="s">
        <v>1721</v>
      </c>
      <c r="F476" s="5" t="s">
        <v>1721</v>
      </c>
      <c r="G476" s="5" t="s">
        <v>1721</v>
      </c>
      <c r="H476" s="5" t="s">
        <v>1721</v>
      </c>
      <c r="I476" s="5" t="s">
        <v>280</v>
      </c>
      <c r="J476" s="5" t="s">
        <v>1721</v>
      </c>
      <c r="K476" s="5" t="s">
        <v>193</v>
      </c>
      <c r="L476" s="5" t="s">
        <v>1721</v>
      </c>
      <c r="M476" s="9">
        <v>26</v>
      </c>
      <c r="N476" s="6">
        <f>IFERROR(Table2[[#This Row],[Darbuotojų skaičius]]/M475-1,0)</f>
        <v>-7.1428571428571397E-2</v>
      </c>
      <c r="O476" s="9">
        <v>2084</v>
      </c>
      <c r="P476" s="6">
        <v>8.3723348933957276E-2</v>
      </c>
      <c r="Q476" s="9">
        <f>Table2[[#This Row],[Atlyginimo vidurkis]]*Table2[[#This Row],[Darbuotojų skaičius]]*12</f>
        <v>650208</v>
      </c>
      <c r="R476" s="49">
        <f>IFERROR(Table2[[#This Row],[DU sąnaudos]]/Q475-1,0)</f>
        <v>6.3145382958176288E-3</v>
      </c>
      <c r="S476" s="9">
        <v>2699328</v>
      </c>
      <c r="T476" s="6">
        <v>6.1560678183665729E-2</v>
      </c>
      <c r="U476" s="9">
        <f>IF(Table2[[#This Row],[DU sąnaudos]]=0,0,Table2[[#This Row],[Apyvarta]]-Table2[[#This Row],[DU sąnaudos]]-Table2[[#This Row],[Pelnas]])</f>
        <v>2010769</v>
      </c>
      <c r="V476" s="49">
        <f>IFERROR(Table2[[#This Row],[Ne-atlyginimų sąnaudos]]/U475-1,0)</f>
        <v>0.20626429641396604</v>
      </c>
      <c r="W476" s="9">
        <v>38351</v>
      </c>
      <c r="X476" s="6">
        <v>-0.83305691587767983</v>
      </c>
      <c r="Y476" s="8">
        <f>Table2[[#This Row],[DU sąnaudos]]*0.43</f>
        <v>279589.44</v>
      </c>
      <c r="Z476" s="8">
        <f>Table2[[#This Row],[Apyvarta]]-Table2[[#This Row],[Ne-atlyginimų sąnaudos]]+Table2[[#This Row],[Fiks ir pelno mokestis]]</f>
        <v>968148.44</v>
      </c>
    </row>
    <row r="477" spans="1:26" hidden="1" x14ac:dyDescent="0.2">
      <c r="A477" s="5" t="s">
        <v>318</v>
      </c>
      <c r="B477" s="5" t="s">
        <v>1620</v>
      </c>
      <c r="C477" s="5">
        <v>2021</v>
      </c>
      <c r="D477" s="5" t="s">
        <v>1721</v>
      </c>
      <c r="E477" s="5" t="s">
        <v>1721</v>
      </c>
      <c r="F477" s="5" t="s">
        <v>1721</v>
      </c>
      <c r="G477" s="5" t="s">
        <v>1721</v>
      </c>
      <c r="H477" s="5" t="s">
        <v>1721</v>
      </c>
      <c r="I477" s="5" t="s">
        <v>280</v>
      </c>
      <c r="J477" s="5" t="s">
        <v>1721</v>
      </c>
      <c r="K477" s="5" t="s">
        <v>193</v>
      </c>
      <c r="L477" s="5" t="s">
        <v>1721</v>
      </c>
      <c r="M477" s="9">
        <v>30</v>
      </c>
      <c r="N477" s="6">
        <f>IFERROR(Table2[[#This Row],[Darbuotojų skaičius]]/M476-1,0)</f>
        <v>0.15384615384615374</v>
      </c>
      <c r="O477" s="9">
        <v>2229</v>
      </c>
      <c r="P477" s="6">
        <v>6.9577735124760176E-2</v>
      </c>
      <c r="Q477" s="9">
        <f>Table2[[#This Row],[Atlyginimo vidurkis]]*Table2[[#This Row],[Darbuotojų skaičius]]*12</f>
        <v>802440</v>
      </c>
      <c r="R477" s="49">
        <f>IFERROR(Table2[[#This Row],[DU sąnaudos]]/Q476-1,0)</f>
        <v>0.2341281559131847</v>
      </c>
      <c r="S477" s="9">
        <v>3544935</v>
      </c>
      <c r="T477" s="6">
        <v>0.31326574614126179</v>
      </c>
      <c r="U477" s="9">
        <f>IF(Table2[[#This Row],[DU sąnaudos]]=0,0,Table2[[#This Row],[Apyvarta]]-Table2[[#This Row],[DU sąnaudos]]-Table2[[#This Row],[Pelnas]])</f>
        <v>2512159</v>
      </c>
      <c r="V477" s="49">
        <f>IFERROR(Table2[[#This Row],[Ne-atlyginimų sąnaudos]]/U476-1,0)</f>
        <v>0.24935236220570345</v>
      </c>
      <c r="W477" s="9">
        <v>230336</v>
      </c>
      <c r="X477" s="6">
        <v>5.0059972360564258</v>
      </c>
      <c r="Y477" s="8">
        <f>Table2[[#This Row],[DU sąnaudos]]*0.43</f>
        <v>345049.2</v>
      </c>
      <c r="Z477" s="8">
        <f>Table2[[#This Row],[Apyvarta]]-Table2[[#This Row],[Ne-atlyginimų sąnaudos]]+Table2[[#This Row],[Fiks ir pelno mokestis]]</f>
        <v>1377825.2</v>
      </c>
    </row>
    <row r="478" spans="1:26" hidden="1" x14ac:dyDescent="0.2">
      <c r="A478" s="5" t="s">
        <v>318</v>
      </c>
      <c r="B478" s="5" t="s">
        <v>1620</v>
      </c>
      <c r="C478" s="5">
        <v>2022</v>
      </c>
      <c r="D478" s="5" t="s">
        <v>1721</v>
      </c>
      <c r="E478" s="5" t="s">
        <v>1721</v>
      </c>
      <c r="F478" s="5" t="s">
        <v>1721</v>
      </c>
      <c r="G478" s="5" t="s">
        <v>1721</v>
      </c>
      <c r="H478" s="5" t="s">
        <v>1721</v>
      </c>
      <c r="I478" s="5" t="s">
        <v>280</v>
      </c>
      <c r="J478" s="5" t="s">
        <v>1721</v>
      </c>
      <c r="K478" s="5" t="s">
        <v>193</v>
      </c>
      <c r="L478" s="5" t="s">
        <v>1721</v>
      </c>
      <c r="M478" s="9">
        <v>43</v>
      </c>
      <c r="N478" s="6">
        <f>IFERROR(Table2[[#This Row],[Darbuotojų skaičius]]/M477-1,0)</f>
        <v>0.43333333333333335</v>
      </c>
      <c r="O478" s="9">
        <v>2748</v>
      </c>
      <c r="P478" s="6">
        <v>0.2328398384925976</v>
      </c>
      <c r="Q478" s="9">
        <f>Table2[[#This Row],[Atlyginimo vidurkis]]*Table2[[#This Row],[Darbuotojų skaičius]]*12</f>
        <v>1417968</v>
      </c>
      <c r="R478" s="49">
        <f>IFERROR(Table2[[#This Row],[DU sąnaudos]]/Q477-1,0)</f>
        <v>0.76707043517272311</v>
      </c>
      <c r="S478" s="9">
        <v>5294859</v>
      </c>
      <c r="T478" s="6">
        <v>0.49364064503298383</v>
      </c>
      <c r="U478" s="9">
        <f>IF(Table2[[#This Row],[DU sąnaudos]]=0,0,Table2[[#This Row],[Apyvarta]]-Table2[[#This Row],[DU sąnaudos]]-Table2[[#This Row],[Pelnas]])</f>
        <v>3736077</v>
      </c>
      <c r="V478" s="49">
        <f>IFERROR(Table2[[#This Row],[Ne-atlyginimų sąnaudos]]/U477-1,0)</f>
        <v>0.48719766543439325</v>
      </c>
      <c r="W478" s="9">
        <v>140814</v>
      </c>
      <c r="X478" s="6">
        <v>-0.38865830786329542</v>
      </c>
      <c r="Y478" s="8">
        <f>Table2[[#This Row],[DU sąnaudos]]*0.43</f>
        <v>609726.24</v>
      </c>
      <c r="Z478" s="8">
        <f>Table2[[#This Row],[Apyvarta]]-Table2[[#This Row],[Ne-atlyginimų sąnaudos]]+Table2[[#This Row],[Fiks ir pelno mokestis]]</f>
        <v>2168508.2400000002</v>
      </c>
    </row>
    <row r="479" spans="1:26" hidden="1" x14ac:dyDescent="0.2">
      <c r="A479" s="5" t="s">
        <v>318</v>
      </c>
      <c r="B479" s="5" t="s">
        <v>1620</v>
      </c>
      <c r="C479" s="5">
        <v>2023</v>
      </c>
      <c r="D479" s="5" t="s">
        <v>1721</v>
      </c>
      <c r="E479" s="5" t="s">
        <v>1721</v>
      </c>
      <c r="F479" s="5" t="s">
        <v>1721</v>
      </c>
      <c r="G479" s="5" t="s">
        <v>1721</v>
      </c>
      <c r="H479" s="5" t="s">
        <v>1721</v>
      </c>
      <c r="I479" s="5" t="s">
        <v>280</v>
      </c>
      <c r="J479" s="5" t="s">
        <v>1721</v>
      </c>
      <c r="K479" s="5" t="s">
        <v>193</v>
      </c>
      <c r="L479" s="5" t="s">
        <v>1721</v>
      </c>
      <c r="M479" s="9">
        <v>40</v>
      </c>
      <c r="N479" s="6">
        <f>IFERROR(Table2[[#This Row],[Darbuotojų skaičius]]/M478-1,0)</f>
        <v>-6.9767441860465129E-2</v>
      </c>
      <c r="O479" s="9">
        <v>3185</v>
      </c>
      <c r="P479" s="6">
        <v>0.15902474526928681</v>
      </c>
      <c r="Q479" s="9">
        <f>Table2[[#This Row],[Atlyginimo vidurkis]]*Table2[[#This Row],[Darbuotojų skaičius]]*12</f>
        <v>1528800</v>
      </c>
      <c r="R479" s="49">
        <f>IFERROR(Table2[[#This Row],[DU sąnaudos]]/Q478-1,0)</f>
        <v>7.8162553738871487E-2</v>
      </c>
      <c r="S479" s="9">
        <v>5094797</v>
      </c>
      <c r="T479" s="6">
        <v>-3.7784197841717833E-2</v>
      </c>
      <c r="U479" s="9">
        <f>IF(Table2[[#This Row],[DU sąnaudos]]=0,0,Table2[[#This Row],[Apyvarta]]-Table2[[#This Row],[DU sąnaudos]]-Table2[[#This Row],[Pelnas]])</f>
        <v>3485355</v>
      </c>
      <c r="V479" s="49">
        <f>IFERROR(Table2[[#This Row],[Ne-atlyginimų sąnaudos]]/U478-1,0)</f>
        <v>-6.7108359918706117E-2</v>
      </c>
      <c r="W479" s="9">
        <v>80642</v>
      </c>
      <c r="X479" s="6">
        <v>-0.42731546579175361</v>
      </c>
      <c r="Y479" s="8">
        <f>Table2[[#This Row],[DU sąnaudos]]*0.43</f>
        <v>657384</v>
      </c>
      <c r="Z479" s="8">
        <f>Table2[[#This Row],[Apyvarta]]-Table2[[#This Row],[Ne-atlyginimų sąnaudos]]+Table2[[#This Row],[Fiks ir pelno mokestis]]</f>
        <v>2266826</v>
      </c>
    </row>
    <row r="480" spans="1:26" hidden="1" x14ac:dyDescent="0.2">
      <c r="A480" s="5" t="s">
        <v>318</v>
      </c>
      <c r="B480" s="5" t="s">
        <v>1620</v>
      </c>
      <c r="C480" s="5">
        <v>2024</v>
      </c>
      <c r="D480" s="5" t="s">
        <v>1721</v>
      </c>
      <c r="E480" s="5" t="s">
        <v>1721</v>
      </c>
      <c r="F480" s="5" t="s">
        <v>1721</v>
      </c>
      <c r="G480" s="5" t="s">
        <v>1721</v>
      </c>
      <c r="H480" s="5" t="s">
        <v>1721</v>
      </c>
      <c r="I480" s="5" t="s">
        <v>280</v>
      </c>
      <c r="J480" s="5" t="s">
        <v>1721</v>
      </c>
      <c r="K480" s="5" t="s">
        <v>193</v>
      </c>
      <c r="L480" s="5" t="s">
        <v>1721</v>
      </c>
      <c r="M480" s="9">
        <v>43</v>
      </c>
      <c r="N480" s="6">
        <f>IFERROR(Table2[[#This Row],[Darbuotojų skaičius]]/M479-1,0)</f>
        <v>7.4999999999999956E-2</v>
      </c>
      <c r="O480" s="9">
        <v>3281</v>
      </c>
      <c r="P480" s="6">
        <v>3.014128728414445E-2</v>
      </c>
      <c r="Q480" s="9">
        <f>Table2[[#This Row],[Atlyginimo vidurkis]]*Table2[[#This Row],[Darbuotojų skaičius]]*12</f>
        <v>1692996</v>
      </c>
      <c r="R480" s="49">
        <f>IFERROR(Table2[[#This Row],[DU sąnaudos]]/Q479-1,0)</f>
        <v>0.10740188383045535</v>
      </c>
      <c r="S480" s="9">
        <v>5026701</v>
      </c>
      <c r="T480" s="6">
        <v>-1.336579259193249E-2</v>
      </c>
      <c r="U480" s="9">
        <f>IF(Table2[[#This Row],[DU sąnaudos]]=0,0,Table2[[#This Row],[Apyvarta]]-Table2[[#This Row],[DU sąnaudos]]-Table2[[#This Row],[Pelnas]])</f>
        <v>3486642</v>
      </c>
      <c r="V480" s="49">
        <f>IFERROR(Table2[[#This Row],[Ne-atlyginimų sąnaudos]]/U479-1,0)</f>
        <v>3.6925937243115214E-4</v>
      </c>
      <c r="W480" s="9">
        <v>-152937</v>
      </c>
      <c r="X480" s="6">
        <v>-2.8964931425311868</v>
      </c>
      <c r="Y480" s="8">
        <f>Table2[[#This Row],[DU sąnaudos]]*0.43</f>
        <v>727988.28</v>
      </c>
      <c r="Z480" s="8">
        <f>Table2[[#This Row],[Apyvarta]]-Table2[[#This Row],[Ne-atlyginimų sąnaudos]]+Table2[[#This Row],[Fiks ir pelno mokestis]]</f>
        <v>2268047.2800000003</v>
      </c>
    </row>
    <row r="481" spans="1:26" hidden="1" x14ac:dyDescent="0.2">
      <c r="A481" t="s">
        <v>1624</v>
      </c>
      <c r="B481" t="s">
        <v>1625</v>
      </c>
      <c r="C481">
        <v>2019</v>
      </c>
      <c r="D481" s="5" t="s">
        <v>1721</v>
      </c>
      <c r="E481" s="5" t="s">
        <v>1721</v>
      </c>
      <c r="F481" s="5" t="s">
        <v>1721</v>
      </c>
      <c r="G481" s="5" t="s">
        <v>1721</v>
      </c>
      <c r="H481" s="5" t="s">
        <v>1724</v>
      </c>
      <c r="I481" s="5" t="s">
        <v>1721</v>
      </c>
      <c r="J481" s="5" t="s">
        <v>1721</v>
      </c>
      <c r="K481" s="5" t="s">
        <v>1721</v>
      </c>
      <c r="L481" s="5" t="s">
        <v>1721</v>
      </c>
      <c r="M481" s="9">
        <v>3</v>
      </c>
      <c r="N481" s="6">
        <v>0</v>
      </c>
      <c r="O481" s="9">
        <v>0</v>
      </c>
      <c r="P481" s="6">
        <v>0</v>
      </c>
      <c r="Q481" s="9">
        <f>Table2[[#This Row],[Atlyginimo vidurkis]]*Table2[[#This Row],[Darbuotojų skaičius]]*12</f>
        <v>0</v>
      </c>
      <c r="R481" s="49">
        <v>0</v>
      </c>
      <c r="S481" s="9">
        <v>1507524</v>
      </c>
      <c r="T481" s="6">
        <v>0</v>
      </c>
      <c r="U481" s="9">
        <f>IF(Table2[[#This Row],[DU sąnaudos]]=0,0,Table2[[#This Row],[Apyvarta]]-Table2[[#This Row],[DU sąnaudos]]-Table2[[#This Row],[Pelnas]])</f>
        <v>0</v>
      </c>
      <c r="V481" s="49">
        <v>0</v>
      </c>
      <c r="W481" s="9">
        <v>112348</v>
      </c>
      <c r="X481" s="6">
        <v>0</v>
      </c>
      <c r="Y481" s="8">
        <f>Table2[[#This Row],[DU sąnaudos]]*0.43</f>
        <v>0</v>
      </c>
      <c r="Z481" s="8">
        <f>Table2[[#This Row],[Apyvarta]]-Table2[[#This Row],[Ne-atlyginimų sąnaudos]]+Table2[[#This Row],[Fiks ir pelno mokestis]]</f>
        <v>1507524</v>
      </c>
    </row>
    <row r="482" spans="1:26" hidden="1" x14ac:dyDescent="0.2">
      <c r="A482" t="s">
        <v>1624</v>
      </c>
      <c r="B482" t="s">
        <v>1625</v>
      </c>
      <c r="C482">
        <v>2020</v>
      </c>
      <c r="D482" s="5" t="s">
        <v>1721</v>
      </c>
      <c r="E482" s="5" t="s">
        <v>1721</v>
      </c>
      <c r="F482" s="5" t="s">
        <v>1721</v>
      </c>
      <c r="G482" s="5" t="s">
        <v>1721</v>
      </c>
      <c r="H482" s="5" t="s">
        <v>1724</v>
      </c>
      <c r="I482" s="5" t="s">
        <v>1721</v>
      </c>
      <c r="J482" s="5" t="s">
        <v>1721</v>
      </c>
      <c r="K482" s="5" t="s">
        <v>1721</v>
      </c>
      <c r="L482" s="5" t="s">
        <v>1721</v>
      </c>
      <c r="M482" s="9">
        <v>3</v>
      </c>
      <c r="N482" s="6">
        <f>IFERROR(Table2[[#This Row],[Darbuotojų skaičius]]/M481-1,0)</f>
        <v>0</v>
      </c>
      <c r="O482" s="9">
        <v>464</v>
      </c>
      <c r="P482" s="6">
        <v>0</v>
      </c>
      <c r="Q482" s="9">
        <f>Table2[[#This Row],[Atlyginimo vidurkis]]*Table2[[#This Row],[Darbuotojų skaičius]]*12</f>
        <v>16704</v>
      </c>
      <c r="R482" s="49">
        <f>IFERROR(Table2[[#This Row],[DU sąnaudos]]/Q481-1,0)</f>
        <v>0</v>
      </c>
      <c r="S482" s="9">
        <v>1539395</v>
      </c>
      <c r="T482" s="6">
        <v>0.02</v>
      </c>
      <c r="U482" s="9">
        <f>IF(Table2[[#This Row],[DU sąnaudos]]=0,0,Table2[[#This Row],[Apyvarta]]-Table2[[#This Row],[DU sąnaudos]]-Table2[[#This Row],[Pelnas]])</f>
        <v>1412698</v>
      </c>
      <c r="V482" s="49">
        <f>IFERROR(Table2[[#This Row],[Ne-atlyginimų sąnaudos]]/U481-1,0)</f>
        <v>0</v>
      </c>
      <c r="W482" s="9">
        <v>109993</v>
      </c>
      <c r="X482" s="6">
        <v>-0.02</v>
      </c>
      <c r="Y482" s="8">
        <f>Table2[[#This Row],[DU sąnaudos]]*0.43</f>
        <v>7182.72</v>
      </c>
      <c r="Z482" s="8">
        <f>Table2[[#This Row],[Apyvarta]]-Table2[[#This Row],[Ne-atlyginimų sąnaudos]]+Table2[[#This Row],[Fiks ir pelno mokestis]]</f>
        <v>133879.72</v>
      </c>
    </row>
    <row r="483" spans="1:26" hidden="1" x14ac:dyDescent="0.2">
      <c r="A483" t="s">
        <v>1624</v>
      </c>
      <c r="B483" t="s">
        <v>1625</v>
      </c>
      <c r="C483">
        <v>2021</v>
      </c>
      <c r="D483" s="5" t="s">
        <v>1721</v>
      </c>
      <c r="E483" s="5" t="s">
        <v>1721</v>
      </c>
      <c r="F483" s="5" t="s">
        <v>1721</v>
      </c>
      <c r="G483" s="5" t="s">
        <v>1721</v>
      </c>
      <c r="H483" s="5" t="s">
        <v>1724</v>
      </c>
      <c r="I483" s="5" t="s">
        <v>1721</v>
      </c>
      <c r="J483" s="5" t="s">
        <v>1721</v>
      </c>
      <c r="K483" s="5" t="s">
        <v>1721</v>
      </c>
      <c r="L483" s="5" t="s">
        <v>1721</v>
      </c>
      <c r="M483" s="9">
        <v>4</v>
      </c>
      <c r="N483" s="6">
        <f>IFERROR(Table2[[#This Row],[Darbuotojų skaičius]]/M482-1,0)</f>
        <v>0.33333333333333326</v>
      </c>
      <c r="O483" s="9">
        <v>443</v>
      </c>
      <c r="P483" s="6">
        <v>-0.05</v>
      </c>
      <c r="Q483" s="9">
        <f>Table2[[#This Row],[Atlyginimo vidurkis]]*Table2[[#This Row],[Darbuotojų skaičius]]*12</f>
        <v>21264</v>
      </c>
      <c r="R483" s="49">
        <f>IFERROR(Table2[[#This Row],[DU sąnaudos]]/Q482-1,0)</f>
        <v>0.27298850574712641</v>
      </c>
      <c r="S483" s="9">
        <v>1457975</v>
      </c>
      <c r="T483" s="6">
        <v>-0.05</v>
      </c>
      <c r="U483" s="9">
        <f>IF(Table2[[#This Row],[DU sąnaudos]]=0,0,Table2[[#This Row],[Apyvarta]]-Table2[[#This Row],[DU sąnaudos]]-Table2[[#This Row],[Pelnas]])</f>
        <v>1363756</v>
      </c>
      <c r="V483" s="49">
        <f>IFERROR(Table2[[#This Row],[Ne-atlyginimų sąnaudos]]/U482-1,0)</f>
        <v>-3.4644347199472181E-2</v>
      </c>
      <c r="W483" s="9">
        <v>72955</v>
      </c>
      <c r="X483" s="6">
        <v>-0.34</v>
      </c>
      <c r="Y483" s="8">
        <f>Table2[[#This Row],[DU sąnaudos]]*0.43</f>
        <v>9143.52</v>
      </c>
      <c r="Z483" s="8">
        <f>Table2[[#This Row],[Apyvarta]]-Table2[[#This Row],[Ne-atlyginimų sąnaudos]]+Table2[[#This Row],[Fiks ir pelno mokestis]]</f>
        <v>103362.52</v>
      </c>
    </row>
    <row r="484" spans="1:26" hidden="1" x14ac:dyDescent="0.2">
      <c r="A484" t="s">
        <v>1624</v>
      </c>
      <c r="B484" t="s">
        <v>1625</v>
      </c>
      <c r="C484">
        <v>2022</v>
      </c>
      <c r="D484" s="5" t="s">
        <v>1721</v>
      </c>
      <c r="E484" s="5" t="s">
        <v>1721</v>
      </c>
      <c r="F484" s="5" t="s">
        <v>1721</v>
      </c>
      <c r="G484" s="5" t="s">
        <v>1721</v>
      </c>
      <c r="H484" s="5" t="s">
        <v>1724</v>
      </c>
      <c r="I484" s="5" t="s">
        <v>1721</v>
      </c>
      <c r="J484" s="5" t="s">
        <v>1721</v>
      </c>
      <c r="K484" s="5" t="s">
        <v>1721</v>
      </c>
      <c r="L484" s="5" t="s">
        <v>1721</v>
      </c>
      <c r="M484" s="9">
        <v>4</v>
      </c>
      <c r="N484" s="6">
        <f>IFERROR(Table2[[#This Row],[Darbuotojų skaičius]]/M483-1,0)</f>
        <v>0</v>
      </c>
      <c r="O484" s="9">
        <v>727</v>
      </c>
      <c r="P484" s="6">
        <v>0.64</v>
      </c>
      <c r="Q484" s="9">
        <f>Table2[[#This Row],[Atlyginimo vidurkis]]*Table2[[#This Row],[Darbuotojų skaičius]]*12</f>
        <v>34896</v>
      </c>
      <c r="R484" s="49">
        <f>IFERROR(Table2[[#This Row],[DU sąnaudos]]/Q483-1,0)</f>
        <v>0.64108352144469527</v>
      </c>
      <c r="S484" s="9">
        <v>1560444</v>
      </c>
      <c r="T484" s="6">
        <v>7.0000000000000007E-2</v>
      </c>
      <c r="U484" s="9">
        <f>IF(Table2[[#This Row],[DU sąnaudos]]=0,0,Table2[[#This Row],[Apyvarta]]-Table2[[#This Row],[DU sąnaudos]]-Table2[[#This Row],[Pelnas]])</f>
        <v>1462660</v>
      </c>
      <c r="V484" s="49">
        <f>IFERROR(Table2[[#This Row],[Ne-atlyginimų sąnaudos]]/U483-1,0)</f>
        <v>7.2523237294648046E-2</v>
      </c>
      <c r="W484" s="9">
        <v>62888</v>
      </c>
      <c r="X484" s="6">
        <v>-0.14000000000000001</v>
      </c>
      <c r="Y484" s="8">
        <f>Table2[[#This Row],[DU sąnaudos]]*0.43</f>
        <v>15005.28</v>
      </c>
      <c r="Z484" s="8">
        <f>Table2[[#This Row],[Apyvarta]]-Table2[[#This Row],[Ne-atlyginimų sąnaudos]]+Table2[[#This Row],[Fiks ir pelno mokestis]]</f>
        <v>112789.28</v>
      </c>
    </row>
    <row r="485" spans="1:26" hidden="1" x14ac:dyDescent="0.2">
      <c r="A485" t="s">
        <v>1624</v>
      </c>
      <c r="B485" t="s">
        <v>1625</v>
      </c>
      <c r="C485">
        <v>2023</v>
      </c>
      <c r="D485" s="5" t="s">
        <v>1721</v>
      </c>
      <c r="E485" s="5" t="s">
        <v>1721</v>
      </c>
      <c r="F485" s="5" t="s">
        <v>1721</v>
      </c>
      <c r="G485" s="5" t="s">
        <v>1721</v>
      </c>
      <c r="H485" s="5" t="s">
        <v>1724</v>
      </c>
      <c r="I485" s="5" t="s">
        <v>1721</v>
      </c>
      <c r="J485" s="5" t="s">
        <v>1721</v>
      </c>
      <c r="K485" s="5" t="s">
        <v>1721</v>
      </c>
      <c r="L485" s="5" t="s">
        <v>1721</v>
      </c>
      <c r="M485" s="9">
        <v>3</v>
      </c>
      <c r="N485" s="6">
        <f>IFERROR(Table2[[#This Row],[Darbuotojų skaičius]]/M484-1,0)</f>
        <v>-0.25</v>
      </c>
      <c r="O485" s="9">
        <v>824</v>
      </c>
      <c r="P485" s="6">
        <v>0.13</v>
      </c>
      <c r="Q485" s="9">
        <f>Table2[[#This Row],[Atlyginimo vidurkis]]*Table2[[#This Row],[Darbuotojų skaičius]]*12</f>
        <v>29664</v>
      </c>
      <c r="R485" s="49">
        <f>IFERROR(Table2[[#This Row],[DU sąnaudos]]/Q484-1,0)</f>
        <v>-0.14993122420907845</v>
      </c>
      <c r="S485" s="9">
        <v>1741263</v>
      </c>
      <c r="T485" s="6">
        <v>0.12</v>
      </c>
      <c r="U485" s="9">
        <f>IF(Table2[[#This Row],[DU sąnaudos]]=0,0,Table2[[#This Row],[Apyvarta]]-Table2[[#This Row],[DU sąnaudos]]-Table2[[#This Row],[Pelnas]])</f>
        <v>1657612</v>
      </c>
      <c r="V485" s="49">
        <f>IFERROR(Table2[[#This Row],[Ne-atlyginimų sąnaudos]]/U484-1,0)</f>
        <v>0.13328593111180997</v>
      </c>
      <c r="W485" s="9">
        <v>53987</v>
      </c>
      <c r="X485" s="6">
        <v>-0.14000000000000001</v>
      </c>
      <c r="Y485" s="8">
        <f>Table2[[#This Row],[DU sąnaudos]]*0.43</f>
        <v>12755.52</v>
      </c>
      <c r="Z485" s="8">
        <f>Table2[[#This Row],[Apyvarta]]-Table2[[#This Row],[Ne-atlyginimų sąnaudos]]+Table2[[#This Row],[Fiks ir pelno mokestis]]</f>
        <v>96406.52</v>
      </c>
    </row>
    <row r="486" spans="1:26" hidden="1" x14ac:dyDescent="0.2">
      <c r="A486" t="s">
        <v>1624</v>
      </c>
      <c r="B486" t="s">
        <v>1625</v>
      </c>
      <c r="C486">
        <v>2024</v>
      </c>
      <c r="D486" s="5" t="s">
        <v>1721</v>
      </c>
      <c r="E486" s="5" t="s">
        <v>1721</v>
      </c>
      <c r="F486" s="5" t="s">
        <v>1721</v>
      </c>
      <c r="G486" s="5" t="s">
        <v>1721</v>
      </c>
      <c r="H486" s="5" t="s">
        <v>1724</v>
      </c>
      <c r="I486" s="5" t="s">
        <v>1721</v>
      </c>
      <c r="J486" s="5" t="s">
        <v>1721</v>
      </c>
      <c r="K486" s="5" t="s">
        <v>1721</v>
      </c>
      <c r="L486" s="5" t="s">
        <v>1721</v>
      </c>
      <c r="M486" s="9">
        <v>3</v>
      </c>
      <c r="N486" s="6">
        <f>IFERROR(Table2[[#This Row],[Darbuotojų skaičius]]/M485-1,0)</f>
        <v>0</v>
      </c>
      <c r="O486" s="9">
        <v>1055</v>
      </c>
      <c r="P486" s="6">
        <f>Table2[[#This Row],[Atlyginimo vidurkis]]/O485-1</f>
        <v>0.28033980582524265</v>
      </c>
      <c r="Q486" s="9">
        <f>Table2[[#This Row],[Atlyginimo vidurkis]]*Table2[[#This Row],[Darbuotojų skaičius]]*12</f>
        <v>37980</v>
      </c>
      <c r="R486" s="49">
        <f>IFERROR(Table2[[#This Row],[DU sąnaudos]]/Q485-1,0)</f>
        <v>0.28033980582524265</v>
      </c>
      <c r="S486" s="9"/>
      <c r="T486" s="6"/>
      <c r="U486" s="9">
        <f>IF(Table2[[#This Row],[DU sąnaudos]]=0,0,Table2[[#This Row],[Apyvarta]]-Table2[[#This Row],[DU sąnaudos]]-Table2[[#This Row],[Pelnas]])</f>
        <v>-37980</v>
      </c>
      <c r="V486" s="49">
        <f>IFERROR(Table2[[#This Row],[Ne-atlyginimų sąnaudos]]/U485-1,0)</f>
        <v>-1.0229124789154518</v>
      </c>
      <c r="W486" s="9"/>
      <c r="X486" s="6"/>
      <c r="Y486" s="8">
        <f>Table2[[#This Row],[DU sąnaudos]]*0.43</f>
        <v>16331.4</v>
      </c>
      <c r="Z486" s="8">
        <f>Table2[[#This Row],[Apyvarta]]-Table2[[#This Row],[Ne-atlyginimų sąnaudos]]+Table2[[#This Row],[Fiks ir pelno mokestis]]</f>
        <v>54311.4</v>
      </c>
    </row>
    <row r="487" spans="1:26" hidden="1" x14ac:dyDescent="0.2">
      <c r="A487" s="5" t="s">
        <v>549</v>
      </c>
      <c r="B487" s="5" t="s">
        <v>1626</v>
      </c>
      <c r="C487" s="5">
        <v>2019</v>
      </c>
      <c r="D487" s="5" t="s">
        <v>1721</v>
      </c>
      <c r="E487" s="5" t="s">
        <v>1721</v>
      </c>
      <c r="F487" s="5" t="s">
        <v>1721</v>
      </c>
      <c r="G487" s="5" t="s">
        <v>1721</v>
      </c>
      <c r="H487" s="5" t="s">
        <v>1721</v>
      </c>
      <c r="I487" s="5" t="s">
        <v>280</v>
      </c>
      <c r="J487" s="5" t="s">
        <v>1721</v>
      </c>
      <c r="K487" s="5" t="s">
        <v>1721</v>
      </c>
      <c r="L487" s="5" t="s">
        <v>1721</v>
      </c>
      <c r="M487" s="9">
        <v>15</v>
      </c>
      <c r="N487" s="6">
        <v>0</v>
      </c>
      <c r="O487" s="9">
        <v>2045</v>
      </c>
      <c r="P487" s="6">
        <v>0</v>
      </c>
      <c r="Q487" s="9">
        <f>Table2[[#This Row],[Atlyginimo vidurkis]]*Table2[[#This Row],[Darbuotojų skaičius]]*12</f>
        <v>368100</v>
      </c>
      <c r="R487" s="49">
        <v>0</v>
      </c>
      <c r="S487" s="9">
        <v>1489138</v>
      </c>
      <c r="T487" s="6">
        <v>0</v>
      </c>
      <c r="U487" s="9">
        <f>IF(Table2[[#This Row],[DU sąnaudos]]=0,0,Table2[[#This Row],[Apyvarta]]-Table2[[#This Row],[DU sąnaudos]]-Table2[[#This Row],[Pelnas]])</f>
        <v>1080274</v>
      </c>
      <c r="V487" s="49">
        <v>0</v>
      </c>
      <c r="W487" s="9">
        <v>40764</v>
      </c>
      <c r="X487" s="6">
        <v>0</v>
      </c>
      <c r="Y487" s="8">
        <f>Table2[[#This Row],[DU sąnaudos]]*0.43</f>
        <v>158283</v>
      </c>
      <c r="Z487" s="8">
        <f>Table2[[#This Row],[Apyvarta]]-Table2[[#This Row],[Ne-atlyginimų sąnaudos]]+Table2[[#This Row],[Fiks ir pelno mokestis]]</f>
        <v>567147</v>
      </c>
    </row>
    <row r="488" spans="1:26" hidden="1" x14ac:dyDescent="0.2">
      <c r="A488" s="5" t="s">
        <v>549</v>
      </c>
      <c r="B488" s="5" t="s">
        <v>1626</v>
      </c>
      <c r="C488" s="5">
        <v>2020</v>
      </c>
      <c r="D488" s="5" t="s">
        <v>1721</v>
      </c>
      <c r="E488" s="5" t="s">
        <v>1721</v>
      </c>
      <c r="F488" s="5" t="s">
        <v>1721</v>
      </c>
      <c r="G488" s="5" t="s">
        <v>1721</v>
      </c>
      <c r="H488" s="5" t="s">
        <v>1721</v>
      </c>
      <c r="I488" s="5" t="s">
        <v>280</v>
      </c>
      <c r="J488" s="5" t="s">
        <v>1721</v>
      </c>
      <c r="K488" s="5" t="s">
        <v>1721</v>
      </c>
      <c r="L488" s="5" t="s">
        <v>1721</v>
      </c>
      <c r="M488" s="9">
        <v>14</v>
      </c>
      <c r="N488" s="6">
        <f>IFERROR(Table2[[#This Row],[Darbuotojų skaičius]]/M487-1,0)</f>
        <v>-6.6666666666666652E-2</v>
      </c>
      <c r="O488" s="9">
        <v>1657</v>
      </c>
      <c r="P488" s="6">
        <v>-0.1897310513447433</v>
      </c>
      <c r="Q488" s="9">
        <f>Table2[[#This Row],[Atlyginimo vidurkis]]*Table2[[#This Row],[Darbuotojų skaičius]]*12</f>
        <v>278376</v>
      </c>
      <c r="R488" s="49">
        <f>IFERROR(Table2[[#This Row],[DU sąnaudos]]/Q487-1,0)</f>
        <v>-0.2437489812550937</v>
      </c>
      <c r="S488" s="9">
        <v>924221</v>
      </c>
      <c r="T488" s="6">
        <v>-0.37935839391648052</v>
      </c>
      <c r="U488" s="9">
        <f>IF(Table2[[#This Row],[DU sąnaudos]]=0,0,Table2[[#This Row],[Apyvarta]]-Table2[[#This Row],[DU sąnaudos]]-Table2[[#This Row],[Pelnas]])</f>
        <v>614841</v>
      </c>
      <c r="V488" s="49">
        <f>IFERROR(Table2[[#This Row],[Ne-atlyginimų sąnaudos]]/U487-1,0)</f>
        <v>-0.4308471739577181</v>
      </c>
      <c r="W488" s="9">
        <v>31004</v>
      </c>
      <c r="X488" s="6">
        <v>-0.23942694534393091</v>
      </c>
      <c r="Y488" s="8">
        <f>Table2[[#This Row],[DU sąnaudos]]*0.43</f>
        <v>119701.68</v>
      </c>
      <c r="Z488" s="8">
        <f>Table2[[#This Row],[Apyvarta]]-Table2[[#This Row],[Ne-atlyginimų sąnaudos]]+Table2[[#This Row],[Fiks ir pelno mokestis]]</f>
        <v>429081.68</v>
      </c>
    </row>
    <row r="489" spans="1:26" hidden="1" x14ac:dyDescent="0.2">
      <c r="A489" s="5" t="s">
        <v>549</v>
      </c>
      <c r="B489" s="5" t="s">
        <v>1626</v>
      </c>
      <c r="C489" s="5">
        <v>2021</v>
      </c>
      <c r="D489" s="5" t="s">
        <v>1721</v>
      </c>
      <c r="E489" s="5" t="s">
        <v>1721</v>
      </c>
      <c r="F489" s="5" t="s">
        <v>1721</v>
      </c>
      <c r="G489" s="5" t="s">
        <v>1721</v>
      </c>
      <c r="H489" s="5" t="s">
        <v>1721</v>
      </c>
      <c r="I489" s="5" t="s">
        <v>280</v>
      </c>
      <c r="J489" s="5" t="s">
        <v>1721</v>
      </c>
      <c r="K489" s="5" t="s">
        <v>1721</v>
      </c>
      <c r="L489" s="5" t="s">
        <v>1721</v>
      </c>
      <c r="M489" s="9">
        <v>15</v>
      </c>
      <c r="N489" s="6">
        <f>IFERROR(Table2[[#This Row],[Darbuotojų skaičius]]/M488-1,0)</f>
        <v>7.1428571428571397E-2</v>
      </c>
      <c r="O489" s="9">
        <v>2046</v>
      </c>
      <c r="P489" s="6">
        <v>0.2347616173808087</v>
      </c>
      <c r="Q489" s="9">
        <f>Table2[[#This Row],[Atlyginimo vidurkis]]*Table2[[#This Row],[Darbuotojų skaičius]]*12</f>
        <v>368280</v>
      </c>
      <c r="R489" s="49">
        <f>IFERROR(Table2[[#This Row],[DU sąnaudos]]/Q488-1,0)</f>
        <v>0.32295887576515225</v>
      </c>
      <c r="S489" s="9">
        <v>641943</v>
      </c>
      <c r="T489" s="6">
        <v>-0.30542262078009491</v>
      </c>
      <c r="U489" s="9">
        <f>IF(Table2[[#This Row],[DU sąnaudos]]=0,0,Table2[[#This Row],[Apyvarta]]-Table2[[#This Row],[DU sąnaudos]]-Table2[[#This Row],[Pelnas]])</f>
        <v>343272</v>
      </c>
      <c r="V489" s="49">
        <f>IFERROR(Table2[[#This Row],[Ne-atlyginimų sąnaudos]]/U488-1,0)</f>
        <v>-0.44168980272948621</v>
      </c>
      <c r="W489" s="9">
        <v>-69609</v>
      </c>
      <c r="X489" s="6">
        <v>-3.245161914591665</v>
      </c>
      <c r="Y489" s="8">
        <f>Table2[[#This Row],[DU sąnaudos]]*0.43</f>
        <v>158360.4</v>
      </c>
      <c r="Z489" s="8">
        <f>Table2[[#This Row],[Apyvarta]]-Table2[[#This Row],[Ne-atlyginimų sąnaudos]]+Table2[[#This Row],[Fiks ir pelno mokestis]]</f>
        <v>457031.4</v>
      </c>
    </row>
    <row r="490" spans="1:26" hidden="1" x14ac:dyDescent="0.2">
      <c r="A490" s="5" t="s">
        <v>549</v>
      </c>
      <c r="B490" s="5" t="s">
        <v>1626</v>
      </c>
      <c r="C490" s="5">
        <v>2022</v>
      </c>
      <c r="D490" s="5" t="s">
        <v>1721</v>
      </c>
      <c r="E490" s="5" t="s">
        <v>1721</v>
      </c>
      <c r="F490" s="5" t="s">
        <v>1721</v>
      </c>
      <c r="G490" s="5" t="s">
        <v>1721</v>
      </c>
      <c r="H490" s="5" t="s">
        <v>1721</v>
      </c>
      <c r="I490" s="5" t="s">
        <v>280</v>
      </c>
      <c r="J490" s="5" t="s">
        <v>1721</v>
      </c>
      <c r="K490" s="5" t="s">
        <v>1721</v>
      </c>
      <c r="L490" s="5" t="s">
        <v>1721</v>
      </c>
      <c r="M490" s="9">
        <v>16</v>
      </c>
      <c r="N490" s="6">
        <f>IFERROR(Table2[[#This Row],[Darbuotojų skaičius]]/M489-1,0)</f>
        <v>6.6666666666666652E-2</v>
      </c>
      <c r="O490" s="9">
        <v>2269</v>
      </c>
      <c r="P490" s="6">
        <v>0.1089931573802541</v>
      </c>
      <c r="Q490" s="9">
        <f>Table2[[#This Row],[Atlyginimo vidurkis]]*Table2[[#This Row],[Darbuotojų skaičius]]*12</f>
        <v>435648</v>
      </c>
      <c r="R490" s="49">
        <f>IFERROR(Table2[[#This Row],[DU sąnaudos]]/Q489-1,0)</f>
        <v>0.18292603453893785</v>
      </c>
      <c r="S490" s="9">
        <v>1895806</v>
      </c>
      <c r="T490" s="6">
        <v>1.9532310501088099</v>
      </c>
      <c r="U490" s="9">
        <f>IF(Table2[[#This Row],[DU sąnaudos]]=0,0,Table2[[#This Row],[Apyvarta]]-Table2[[#This Row],[DU sąnaudos]]-Table2[[#This Row],[Pelnas]])</f>
        <v>1420712</v>
      </c>
      <c r="V490" s="49">
        <f>IFERROR(Table2[[#This Row],[Ne-atlyginimų sąnaudos]]/U489-1,0)</f>
        <v>3.1387354634225924</v>
      </c>
      <c r="W490" s="9">
        <v>39446</v>
      </c>
      <c r="X490" s="6">
        <v>-1.566679596029249</v>
      </c>
      <c r="Y490" s="8">
        <f>Table2[[#This Row],[DU sąnaudos]]*0.43</f>
        <v>187328.63999999998</v>
      </c>
      <c r="Z490" s="8">
        <f>Table2[[#This Row],[Apyvarta]]-Table2[[#This Row],[Ne-atlyginimų sąnaudos]]+Table2[[#This Row],[Fiks ir pelno mokestis]]</f>
        <v>662422.64</v>
      </c>
    </row>
    <row r="491" spans="1:26" hidden="1" x14ac:dyDescent="0.2">
      <c r="A491" s="5" t="s">
        <v>549</v>
      </c>
      <c r="B491" s="5" t="s">
        <v>1626</v>
      </c>
      <c r="C491" s="5">
        <v>2023</v>
      </c>
      <c r="D491" s="5" t="s">
        <v>1721</v>
      </c>
      <c r="E491" s="5" t="s">
        <v>1721</v>
      </c>
      <c r="F491" s="5" t="s">
        <v>1721</v>
      </c>
      <c r="G491" s="5" t="s">
        <v>1721</v>
      </c>
      <c r="H491" s="5" t="s">
        <v>1721</v>
      </c>
      <c r="I491" s="5" t="s">
        <v>280</v>
      </c>
      <c r="J491" s="5" t="s">
        <v>1721</v>
      </c>
      <c r="K491" s="5" t="s">
        <v>1721</v>
      </c>
      <c r="L491" s="5" t="s">
        <v>1721</v>
      </c>
      <c r="M491" s="9">
        <v>18</v>
      </c>
      <c r="N491" s="6">
        <f>IFERROR(Table2[[#This Row],[Darbuotojų skaičius]]/M490-1,0)</f>
        <v>0.125</v>
      </c>
      <c r="O491" s="9">
        <v>2874</v>
      </c>
      <c r="P491" s="6">
        <v>0.26663728514764218</v>
      </c>
      <c r="Q491" s="9">
        <f>Table2[[#This Row],[Atlyginimo vidurkis]]*Table2[[#This Row],[Darbuotojų skaičius]]*12</f>
        <v>620784</v>
      </c>
      <c r="R491" s="49">
        <f>IFERROR(Table2[[#This Row],[DU sąnaudos]]/Q490-1,0)</f>
        <v>0.42496694579109739</v>
      </c>
      <c r="S491" s="9">
        <v>1885334</v>
      </c>
      <c r="T491" s="6">
        <v>-5.5237719471296076E-3</v>
      </c>
      <c r="U491" s="9">
        <f>IF(Table2[[#This Row],[DU sąnaudos]]=0,0,Table2[[#This Row],[Apyvarta]]-Table2[[#This Row],[DU sąnaudos]]-Table2[[#This Row],[Pelnas]])</f>
        <v>1222834</v>
      </c>
      <c r="V491" s="49">
        <f>IFERROR(Table2[[#This Row],[Ne-atlyginimų sąnaudos]]/U490-1,0)</f>
        <v>-0.13928086762130543</v>
      </c>
      <c r="W491" s="9">
        <v>41716</v>
      </c>
      <c r="X491" s="6">
        <v>5.7547026314455303E-2</v>
      </c>
      <c r="Y491" s="8">
        <f>Table2[[#This Row],[DU sąnaudos]]*0.43</f>
        <v>266937.12</v>
      </c>
      <c r="Z491" s="8">
        <f>Table2[[#This Row],[Apyvarta]]-Table2[[#This Row],[Ne-atlyginimų sąnaudos]]+Table2[[#This Row],[Fiks ir pelno mokestis]]</f>
        <v>929437.12</v>
      </c>
    </row>
    <row r="492" spans="1:26" hidden="1" x14ac:dyDescent="0.2">
      <c r="A492" s="5" t="s">
        <v>549</v>
      </c>
      <c r="B492" s="5" t="s">
        <v>1626</v>
      </c>
      <c r="C492" s="5">
        <v>2024</v>
      </c>
      <c r="D492" s="5" t="s">
        <v>1721</v>
      </c>
      <c r="E492" s="5" t="s">
        <v>1721</v>
      </c>
      <c r="F492" s="5" t="s">
        <v>1721</v>
      </c>
      <c r="G492" s="5" t="s">
        <v>1721</v>
      </c>
      <c r="H492" s="5" t="s">
        <v>1721</v>
      </c>
      <c r="I492" s="5" t="s">
        <v>280</v>
      </c>
      <c r="J492" s="5" t="s">
        <v>1721</v>
      </c>
      <c r="K492" s="5" t="s">
        <v>1721</v>
      </c>
      <c r="L492" s="5" t="s">
        <v>1721</v>
      </c>
      <c r="M492" s="9">
        <v>18</v>
      </c>
      <c r="N492" s="6">
        <f>IFERROR(Table2[[#This Row],[Darbuotojų skaičius]]/M491-1,0)</f>
        <v>0</v>
      </c>
      <c r="O492" s="9">
        <v>3260</v>
      </c>
      <c r="P492" s="6">
        <v>0.13430758524704259</v>
      </c>
      <c r="Q492" s="9">
        <f>Table2[[#This Row],[Atlyginimo vidurkis]]*Table2[[#This Row],[Darbuotojų skaičius]]*12</f>
        <v>704160</v>
      </c>
      <c r="R492" s="49">
        <f>IFERROR(Table2[[#This Row],[DU sąnaudos]]/Q491-1,0)</f>
        <v>0.13430758524704256</v>
      </c>
      <c r="S492" s="9">
        <v>1795590</v>
      </c>
      <c r="T492" s="6">
        <v>-4.7601114709648229E-2</v>
      </c>
      <c r="U492" s="9">
        <f>IF(Table2[[#This Row],[DU sąnaudos]]=0,0,Table2[[#This Row],[Apyvarta]]-Table2[[#This Row],[DU sąnaudos]]-Table2[[#This Row],[Pelnas]])</f>
        <v>1076698</v>
      </c>
      <c r="V492" s="49">
        <f>IFERROR(Table2[[#This Row],[Ne-atlyginimų sąnaudos]]/U491-1,0)</f>
        <v>-0.11950599999672895</v>
      </c>
      <c r="W492" s="9">
        <v>14732</v>
      </c>
      <c r="X492" s="6">
        <v>-0.64685012944673503</v>
      </c>
      <c r="Y492" s="8">
        <f>Table2[[#This Row],[DU sąnaudos]]*0.43</f>
        <v>302788.8</v>
      </c>
      <c r="Z492" s="8">
        <f>Table2[[#This Row],[Apyvarta]]-Table2[[#This Row],[Ne-atlyginimų sąnaudos]]+Table2[[#This Row],[Fiks ir pelno mokestis]]</f>
        <v>1021680.8</v>
      </c>
    </row>
    <row r="493" spans="1:26" hidden="1" x14ac:dyDescent="0.2">
      <c r="A493" s="5" t="s">
        <v>1630</v>
      </c>
      <c r="B493" t="s">
        <v>1631</v>
      </c>
      <c r="C493">
        <v>2019</v>
      </c>
      <c r="D493" s="5" t="s">
        <v>1721</v>
      </c>
      <c r="E493" s="5" t="s">
        <v>1725</v>
      </c>
      <c r="F493" s="5" t="s">
        <v>1721</v>
      </c>
      <c r="G493" s="5" t="s">
        <v>1721</v>
      </c>
      <c r="H493" s="5" t="s">
        <v>1721</v>
      </c>
      <c r="I493" s="5" t="s">
        <v>1721</v>
      </c>
      <c r="J493" s="5" t="s">
        <v>1721</v>
      </c>
      <c r="K493" s="5" t="s">
        <v>1721</v>
      </c>
      <c r="L493" s="5" t="s">
        <v>1721</v>
      </c>
      <c r="M493" s="9">
        <v>4</v>
      </c>
      <c r="N493" s="6">
        <v>0</v>
      </c>
      <c r="O493" s="9">
        <v>1062</v>
      </c>
      <c r="P493" s="6">
        <v>0</v>
      </c>
      <c r="Q493" s="9">
        <f>Table2[[#This Row],[Atlyginimo vidurkis]]*Table2[[#This Row],[Darbuotojų skaičius]]*12</f>
        <v>50976</v>
      </c>
      <c r="R493" s="49">
        <v>0</v>
      </c>
      <c r="S493" s="9">
        <v>653976</v>
      </c>
      <c r="T493" s="6">
        <v>0</v>
      </c>
      <c r="U493" s="9">
        <f>IF(Table2[[#This Row],[DU sąnaudos]]=0,0,Table2[[#This Row],[Apyvarta]]-Table2[[#This Row],[DU sąnaudos]]-Table2[[#This Row],[Pelnas]])</f>
        <v>542435</v>
      </c>
      <c r="V493" s="49">
        <v>0</v>
      </c>
      <c r="W493" s="9">
        <v>60565</v>
      </c>
      <c r="X493" s="6">
        <v>0</v>
      </c>
      <c r="Y493" s="8">
        <f>Table2[[#This Row],[DU sąnaudos]]*0.43</f>
        <v>21919.68</v>
      </c>
      <c r="Z493" s="8">
        <f>Table2[[#This Row],[Apyvarta]]-Table2[[#This Row],[Ne-atlyginimų sąnaudos]]+Table2[[#This Row],[Fiks ir pelno mokestis]]</f>
        <v>133460.68</v>
      </c>
    </row>
    <row r="494" spans="1:26" hidden="1" x14ac:dyDescent="0.2">
      <c r="A494" s="5" t="s">
        <v>1630</v>
      </c>
      <c r="B494" t="s">
        <v>1631</v>
      </c>
      <c r="C494">
        <v>2020</v>
      </c>
      <c r="D494" s="5" t="s">
        <v>1721</v>
      </c>
      <c r="E494" s="5" t="s">
        <v>1725</v>
      </c>
      <c r="F494" s="5" t="s">
        <v>1721</v>
      </c>
      <c r="G494" s="5" t="s">
        <v>1721</v>
      </c>
      <c r="H494" s="5" t="s">
        <v>1721</v>
      </c>
      <c r="I494" s="5" t="s">
        <v>1721</v>
      </c>
      <c r="J494" s="5" t="s">
        <v>1721</v>
      </c>
      <c r="K494" s="5" t="s">
        <v>1721</v>
      </c>
      <c r="L494" s="5" t="s">
        <v>1721</v>
      </c>
      <c r="M494" s="9">
        <v>4</v>
      </c>
      <c r="N494" s="6">
        <f>IFERROR(Table2[[#This Row],[Darbuotojų skaičius]]/M493-1,0)</f>
        <v>0</v>
      </c>
      <c r="O494" s="9">
        <v>1060</v>
      </c>
      <c r="P494" s="6">
        <v>0</v>
      </c>
      <c r="Q494" s="9">
        <f>Table2[[#This Row],[Atlyginimo vidurkis]]*Table2[[#This Row],[Darbuotojų skaičius]]*12</f>
        <v>50880</v>
      </c>
      <c r="R494" s="49">
        <f>IFERROR(Table2[[#This Row],[DU sąnaudos]]/Q493-1,0)</f>
        <v>-1.8832391713747842E-3</v>
      </c>
      <c r="S494" s="9">
        <v>196389</v>
      </c>
      <c r="T494" s="6">
        <v>-0.7</v>
      </c>
      <c r="U494" s="9">
        <f>IF(Table2[[#This Row],[DU sąnaudos]]=0,0,Table2[[#This Row],[Apyvarta]]-Table2[[#This Row],[DU sąnaudos]]-Table2[[#This Row],[Pelnas]])</f>
        <v>148480</v>
      </c>
      <c r="V494" s="49">
        <f>IFERROR(Table2[[#This Row],[Ne-atlyginimų sąnaudos]]/U493-1,0)</f>
        <v>-0.72627135048438984</v>
      </c>
      <c r="W494" s="9">
        <v>-2971</v>
      </c>
      <c r="X494" s="6">
        <v>-1.05</v>
      </c>
      <c r="Y494" s="8">
        <f>Table2[[#This Row],[DU sąnaudos]]*0.43</f>
        <v>21878.400000000001</v>
      </c>
      <c r="Z494" s="8">
        <f>Table2[[#This Row],[Apyvarta]]-Table2[[#This Row],[Ne-atlyginimų sąnaudos]]+Table2[[#This Row],[Fiks ir pelno mokestis]]</f>
        <v>69787.399999999994</v>
      </c>
    </row>
    <row r="495" spans="1:26" hidden="1" x14ac:dyDescent="0.2">
      <c r="A495" s="5" t="s">
        <v>1630</v>
      </c>
      <c r="B495" t="s">
        <v>1631</v>
      </c>
      <c r="C495">
        <v>2021</v>
      </c>
      <c r="D495" s="5" t="s">
        <v>1721</v>
      </c>
      <c r="E495" s="5" t="s">
        <v>1725</v>
      </c>
      <c r="F495" s="5" t="s">
        <v>1721</v>
      </c>
      <c r="G495" s="5" t="s">
        <v>1721</v>
      </c>
      <c r="H495" s="5" t="s">
        <v>1721</v>
      </c>
      <c r="I495" s="5" t="s">
        <v>1721</v>
      </c>
      <c r="J495" s="5" t="s">
        <v>1721</v>
      </c>
      <c r="K495" s="5" t="s">
        <v>1721</v>
      </c>
      <c r="L495" s="5" t="s">
        <v>1721</v>
      </c>
      <c r="M495" s="9">
        <v>3</v>
      </c>
      <c r="N495" s="6">
        <f>IFERROR(Table2[[#This Row],[Darbuotojų skaičius]]/M494-1,0)</f>
        <v>-0.25</v>
      </c>
      <c r="O495" s="9">
        <v>1055</v>
      </c>
      <c r="P495" s="6">
        <v>0</v>
      </c>
      <c r="Q495" s="9">
        <f>Table2[[#This Row],[Atlyginimo vidurkis]]*Table2[[#This Row],[Darbuotojų skaičius]]*12</f>
        <v>37980</v>
      </c>
      <c r="R495" s="49">
        <f>IFERROR(Table2[[#This Row],[DU sąnaudos]]/Q494-1,0)</f>
        <v>-0.25353773584905659</v>
      </c>
      <c r="S495" s="9">
        <v>399946</v>
      </c>
      <c r="T495" s="6">
        <v>1.04</v>
      </c>
      <c r="U495" s="9">
        <f>IF(Table2[[#This Row],[DU sąnaudos]]=0,0,Table2[[#This Row],[Apyvarta]]-Table2[[#This Row],[DU sąnaudos]]-Table2[[#This Row],[Pelnas]])</f>
        <v>342249</v>
      </c>
      <c r="V495" s="49">
        <f>IFERROR(Table2[[#This Row],[Ne-atlyginimų sąnaudos]]/U494-1,0)</f>
        <v>1.3050175107758619</v>
      </c>
      <c r="W495" s="9">
        <v>19717</v>
      </c>
      <c r="X495" s="6">
        <v>7.64</v>
      </c>
      <c r="Y495" s="8">
        <f>Table2[[#This Row],[DU sąnaudos]]*0.43</f>
        <v>16331.4</v>
      </c>
      <c r="Z495" s="8">
        <f>Table2[[#This Row],[Apyvarta]]-Table2[[#This Row],[Ne-atlyginimų sąnaudos]]+Table2[[#This Row],[Fiks ir pelno mokestis]]</f>
        <v>74028.399999999994</v>
      </c>
    </row>
    <row r="496" spans="1:26" hidden="1" x14ac:dyDescent="0.2">
      <c r="A496" s="5" t="s">
        <v>1630</v>
      </c>
      <c r="B496" t="s">
        <v>1631</v>
      </c>
      <c r="C496">
        <v>2022</v>
      </c>
      <c r="D496" s="5" t="s">
        <v>1721</v>
      </c>
      <c r="E496" s="5" t="s">
        <v>1725</v>
      </c>
      <c r="F496" s="5" t="s">
        <v>1721</v>
      </c>
      <c r="G496" s="5" t="s">
        <v>1721</v>
      </c>
      <c r="H496" s="5" t="s">
        <v>1721</v>
      </c>
      <c r="I496" s="5" t="s">
        <v>1721</v>
      </c>
      <c r="J496" s="5" t="s">
        <v>1721</v>
      </c>
      <c r="K496" s="5" t="s">
        <v>1721</v>
      </c>
      <c r="L496" s="5" t="s">
        <v>1721</v>
      </c>
      <c r="M496" s="9">
        <v>4</v>
      </c>
      <c r="N496" s="6">
        <f>IFERROR(Table2[[#This Row],[Darbuotojų skaičius]]/M495-1,0)</f>
        <v>0.33333333333333326</v>
      </c>
      <c r="O496" s="9">
        <v>1559</v>
      </c>
      <c r="P496" s="6">
        <v>0.48</v>
      </c>
      <c r="Q496" s="9">
        <f>Table2[[#This Row],[Atlyginimo vidurkis]]*Table2[[#This Row],[Darbuotojų skaičius]]*12</f>
        <v>74832</v>
      </c>
      <c r="R496" s="49">
        <f>IFERROR(Table2[[#This Row],[DU sąnaudos]]/Q495-1,0)</f>
        <v>0.97030015797788316</v>
      </c>
      <c r="S496" s="9">
        <v>928031</v>
      </c>
      <c r="T496" s="6">
        <v>1.32</v>
      </c>
      <c r="U496" s="9">
        <f>IF(Table2[[#This Row],[DU sąnaudos]]=0,0,Table2[[#This Row],[Apyvarta]]-Table2[[#This Row],[DU sąnaudos]]-Table2[[#This Row],[Pelnas]])</f>
        <v>697824</v>
      </c>
      <c r="V496" s="49">
        <f>IFERROR(Table2[[#This Row],[Ne-atlyginimų sąnaudos]]/U495-1,0)</f>
        <v>1.0389365637299157</v>
      </c>
      <c r="W496" s="9">
        <v>155375</v>
      </c>
      <c r="X496" s="6">
        <v>6.88</v>
      </c>
      <c r="Y496" s="8">
        <f>Table2[[#This Row],[DU sąnaudos]]*0.43</f>
        <v>32177.759999999998</v>
      </c>
      <c r="Z496" s="8">
        <f>Table2[[#This Row],[Apyvarta]]-Table2[[#This Row],[Ne-atlyginimų sąnaudos]]+Table2[[#This Row],[Fiks ir pelno mokestis]]</f>
        <v>262384.76</v>
      </c>
    </row>
    <row r="497" spans="1:26" hidden="1" x14ac:dyDescent="0.2">
      <c r="A497" s="5" t="s">
        <v>1630</v>
      </c>
      <c r="B497" t="s">
        <v>1631</v>
      </c>
      <c r="C497">
        <v>2023</v>
      </c>
      <c r="D497" s="5" t="s">
        <v>1721</v>
      </c>
      <c r="E497" s="5" t="s">
        <v>1725</v>
      </c>
      <c r="F497" s="5" t="s">
        <v>1721</v>
      </c>
      <c r="G497" s="5" t="s">
        <v>1721</v>
      </c>
      <c r="H497" s="5" t="s">
        <v>1721</v>
      </c>
      <c r="I497" s="5" t="s">
        <v>1721</v>
      </c>
      <c r="J497" s="5" t="s">
        <v>1721</v>
      </c>
      <c r="K497" s="5" t="s">
        <v>1721</v>
      </c>
      <c r="L497" s="5" t="s">
        <v>1721</v>
      </c>
      <c r="M497" s="9">
        <v>4</v>
      </c>
      <c r="N497" s="6">
        <f>IFERROR(Table2[[#This Row],[Darbuotojų skaičius]]/M496-1,0)</f>
        <v>0</v>
      </c>
      <c r="O497" s="9">
        <v>1982</v>
      </c>
      <c r="P497" s="6">
        <v>0.27</v>
      </c>
      <c r="Q497" s="9">
        <f>Table2[[#This Row],[Atlyginimo vidurkis]]*Table2[[#This Row],[Darbuotojų skaičius]]*12</f>
        <v>95136</v>
      </c>
      <c r="R497" s="49">
        <f>IFERROR(Table2[[#This Row],[DU sąnaudos]]/Q496-1,0)</f>
        <v>0.27132777421423993</v>
      </c>
      <c r="S497" s="9">
        <v>1228001</v>
      </c>
      <c r="T497" s="6">
        <v>0.32</v>
      </c>
      <c r="U497" s="9">
        <f>IF(Table2[[#This Row],[DU sąnaudos]]=0,0,Table2[[#This Row],[Apyvarta]]-Table2[[#This Row],[DU sąnaudos]]-Table2[[#This Row],[Pelnas]])</f>
        <v>976468</v>
      </c>
      <c r="V497" s="49">
        <f>IFERROR(Table2[[#This Row],[Ne-atlyginimų sąnaudos]]/U496-1,0)</f>
        <v>0.39930412252946312</v>
      </c>
      <c r="W497" s="9">
        <v>156397</v>
      </c>
      <c r="X497" s="6">
        <v>0.01</v>
      </c>
      <c r="Y497" s="8">
        <f>Table2[[#This Row],[DU sąnaudos]]*0.43</f>
        <v>40908.479999999996</v>
      </c>
      <c r="Z497" s="8">
        <f>Table2[[#This Row],[Apyvarta]]-Table2[[#This Row],[Ne-atlyginimų sąnaudos]]+Table2[[#This Row],[Fiks ir pelno mokestis]]</f>
        <v>292441.48</v>
      </c>
    </row>
    <row r="498" spans="1:26" hidden="1" x14ac:dyDescent="0.2">
      <c r="A498" s="5" t="s">
        <v>1630</v>
      </c>
      <c r="B498" t="s">
        <v>1631</v>
      </c>
      <c r="C498">
        <v>2024</v>
      </c>
      <c r="D498" s="5" t="s">
        <v>1721</v>
      </c>
      <c r="E498" s="5" t="s">
        <v>1725</v>
      </c>
      <c r="F498" s="5" t="s">
        <v>1721</v>
      </c>
      <c r="G498" s="5" t="s">
        <v>1721</v>
      </c>
      <c r="H498" s="5" t="s">
        <v>1721</v>
      </c>
      <c r="I498" s="5" t="s">
        <v>1721</v>
      </c>
      <c r="J498" s="5" t="s">
        <v>1721</v>
      </c>
      <c r="K498" s="5" t="s">
        <v>1721</v>
      </c>
      <c r="L498" s="5" t="s">
        <v>1721</v>
      </c>
      <c r="M498" s="9">
        <v>4</v>
      </c>
      <c r="N498" s="6">
        <f>IFERROR(Table2[[#This Row],[Darbuotojų skaičius]]/M497-1,0)</f>
        <v>0</v>
      </c>
      <c r="O498" s="9">
        <v>2195</v>
      </c>
      <c r="P498" s="6">
        <v>0.11</v>
      </c>
      <c r="Q498" s="9">
        <f>Table2[[#This Row],[Atlyginimo vidurkis]]*Table2[[#This Row],[Darbuotojų skaičius]]*12</f>
        <v>105360</v>
      </c>
      <c r="R498" s="49">
        <f>IFERROR(Table2[[#This Row],[DU sąnaudos]]/Q497-1,0)</f>
        <v>0.10746720484359229</v>
      </c>
      <c r="S498" s="9">
        <v>1064448</v>
      </c>
      <c r="T498" s="6">
        <v>-0.13</v>
      </c>
      <c r="U498" s="9">
        <f>IF(Table2[[#This Row],[DU sąnaudos]]=0,0,Table2[[#This Row],[Apyvarta]]-Table2[[#This Row],[DU sąnaudos]]-Table2[[#This Row],[Pelnas]])</f>
        <v>876070</v>
      </c>
      <c r="V498" s="49">
        <f>IFERROR(Table2[[#This Row],[Ne-atlyginimų sąnaudos]]/U497-1,0)</f>
        <v>-0.10281750144397972</v>
      </c>
      <c r="W498" s="9">
        <v>83018</v>
      </c>
      <c r="X498" s="6">
        <v>-0.47</v>
      </c>
      <c r="Y498" s="8">
        <f>Table2[[#This Row],[DU sąnaudos]]*0.43</f>
        <v>45304.800000000003</v>
      </c>
      <c r="Z498" s="8">
        <f>Table2[[#This Row],[Apyvarta]]-Table2[[#This Row],[Ne-atlyginimų sąnaudos]]+Table2[[#This Row],[Fiks ir pelno mokestis]]</f>
        <v>233682.8</v>
      </c>
    </row>
    <row r="499" spans="1:26" hidden="1" x14ac:dyDescent="0.2">
      <c r="A499" s="5" t="s">
        <v>370</v>
      </c>
      <c r="B499" s="5" t="s">
        <v>1632</v>
      </c>
      <c r="C499" s="5">
        <v>2019</v>
      </c>
      <c r="D499" s="5" t="s">
        <v>1721</v>
      </c>
      <c r="E499" s="5" t="s">
        <v>1721</v>
      </c>
      <c r="F499" s="5" t="s">
        <v>1721</v>
      </c>
      <c r="G499" s="5" t="s">
        <v>73</v>
      </c>
      <c r="H499" s="5" t="s">
        <v>1721</v>
      </c>
      <c r="I499" s="5" t="s">
        <v>1721</v>
      </c>
      <c r="J499" s="5" t="s">
        <v>1721</v>
      </c>
      <c r="K499" s="5" t="s">
        <v>193</v>
      </c>
      <c r="L499" s="5" t="s">
        <v>1721</v>
      </c>
      <c r="M499" s="9">
        <v>16</v>
      </c>
      <c r="N499" s="6">
        <v>0</v>
      </c>
      <c r="O499" s="9">
        <v>2194</v>
      </c>
      <c r="P499" s="6">
        <v>0</v>
      </c>
      <c r="Q499" s="9">
        <f>Table2[[#This Row],[Atlyginimo vidurkis]]*Table2[[#This Row],[Darbuotojų skaičius]]*12</f>
        <v>421248</v>
      </c>
      <c r="R499" s="49">
        <v>0</v>
      </c>
      <c r="S499" s="9">
        <v>1161676</v>
      </c>
      <c r="T499" s="6">
        <v>0</v>
      </c>
      <c r="U499" s="9">
        <f>IF(Table2[[#This Row],[DU sąnaudos]]=0,0,Table2[[#This Row],[Apyvarta]]-Table2[[#This Row],[DU sąnaudos]]-Table2[[#This Row],[Pelnas]])</f>
        <v>724977</v>
      </c>
      <c r="V499" s="49">
        <v>0</v>
      </c>
      <c r="W499" s="9">
        <v>15451</v>
      </c>
      <c r="X499" s="6">
        <v>0</v>
      </c>
      <c r="Y499" s="8">
        <f>Table2[[#This Row],[DU sąnaudos]]*0.43</f>
        <v>181136.63999999998</v>
      </c>
      <c r="Z499" s="8">
        <f>Table2[[#This Row],[Apyvarta]]-Table2[[#This Row],[Ne-atlyginimų sąnaudos]]+Table2[[#This Row],[Fiks ir pelno mokestis]]</f>
        <v>617835.64</v>
      </c>
    </row>
    <row r="500" spans="1:26" hidden="1" x14ac:dyDescent="0.2">
      <c r="A500" s="5" t="s">
        <v>370</v>
      </c>
      <c r="B500" s="5" t="s">
        <v>1632</v>
      </c>
      <c r="C500" s="5">
        <v>2020</v>
      </c>
      <c r="D500" s="5" t="s">
        <v>1721</v>
      </c>
      <c r="E500" s="5" t="s">
        <v>1721</v>
      </c>
      <c r="F500" s="5" t="s">
        <v>1721</v>
      </c>
      <c r="G500" s="5" t="s">
        <v>73</v>
      </c>
      <c r="H500" s="5" t="s">
        <v>1721</v>
      </c>
      <c r="I500" s="5" t="s">
        <v>1721</v>
      </c>
      <c r="J500" s="5" t="s">
        <v>1721</v>
      </c>
      <c r="K500" s="5" t="s">
        <v>193</v>
      </c>
      <c r="L500" s="5" t="s">
        <v>1721</v>
      </c>
      <c r="M500" s="9">
        <v>27</v>
      </c>
      <c r="N500" s="6">
        <f>IFERROR(Table2[[#This Row],[Darbuotojų skaičius]]/M499-1,0)</f>
        <v>0.6875</v>
      </c>
      <c r="O500" s="9">
        <v>2182</v>
      </c>
      <c r="P500" s="6">
        <v>-5.4694621695533518E-3</v>
      </c>
      <c r="Q500" s="9">
        <f>Table2[[#This Row],[Atlyginimo vidurkis]]*Table2[[#This Row],[Darbuotojų skaičius]]*12</f>
        <v>706968</v>
      </c>
      <c r="R500" s="49">
        <f>IFERROR(Table2[[#This Row],[DU sąnaudos]]/Q499-1,0)</f>
        <v>0.67827028258887867</v>
      </c>
      <c r="S500" s="9">
        <v>1881602</v>
      </c>
      <c r="T500" s="6">
        <v>0.61973045840664698</v>
      </c>
      <c r="U500" s="9">
        <f>IF(Table2[[#This Row],[DU sąnaudos]]=0,0,Table2[[#This Row],[Apyvarta]]-Table2[[#This Row],[DU sąnaudos]]-Table2[[#This Row],[Pelnas]])</f>
        <v>1098150</v>
      </c>
      <c r="V500" s="49">
        <f>IFERROR(Table2[[#This Row],[Ne-atlyginimų sąnaudos]]/U499-1,0)</f>
        <v>0.51473770892042103</v>
      </c>
      <c r="W500" s="9">
        <v>76484</v>
      </c>
      <c r="X500" s="6">
        <v>3.9501003171315769</v>
      </c>
      <c r="Y500" s="8">
        <f>Table2[[#This Row],[DU sąnaudos]]*0.43</f>
        <v>303996.24</v>
      </c>
      <c r="Z500" s="8">
        <f>Table2[[#This Row],[Apyvarta]]-Table2[[#This Row],[Ne-atlyginimų sąnaudos]]+Table2[[#This Row],[Fiks ir pelno mokestis]]</f>
        <v>1087448.24</v>
      </c>
    </row>
    <row r="501" spans="1:26" hidden="1" x14ac:dyDescent="0.2">
      <c r="A501" s="5" t="s">
        <v>370</v>
      </c>
      <c r="B501" s="5" t="s">
        <v>1632</v>
      </c>
      <c r="C501" s="5">
        <v>2021</v>
      </c>
      <c r="D501" s="5" t="s">
        <v>1721</v>
      </c>
      <c r="E501" s="5" t="s">
        <v>1721</v>
      </c>
      <c r="F501" s="5" t="s">
        <v>1721</v>
      </c>
      <c r="G501" s="5" t="s">
        <v>73</v>
      </c>
      <c r="H501" s="5" t="s">
        <v>1721</v>
      </c>
      <c r="I501" s="5" t="s">
        <v>1721</v>
      </c>
      <c r="J501" s="5" t="s">
        <v>1721</v>
      </c>
      <c r="K501" s="5" t="s">
        <v>193</v>
      </c>
      <c r="L501" s="5" t="s">
        <v>1721</v>
      </c>
      <c r="M501" s="9">
        <v>41</v>
      </c>
      <c r="N501" s="6">
        <f>IFERROR(Table2[[#This Row],[Darbuotojų skaičius]]/M500-1,0)</f>
        <v>0.5185185185185186</v>
      </c>
      <c r="O501" s="9">
        <v>2407</v>
      </c>
      <c r="P501" s="6">
        <v>0.10311640696608609</v>
      </c>
      <c r="Q501" s="9">
        <f>Table2[[#This Row],[Atlyginimo vidurkis]]*Table2[[#This Row],[Darbuotojų skaičius]]*12</f>
        <v>1184244</v>
      </c>
      <c r="R501" s="49">
        <f>IFERROR(Table2[[#This Row],[DU sąnaudos]]/Q500-1,0)</f>
        <v>0.67510269205961237</v>
      </c>
      <c r="S501" s="9">
        <v>2745328</v>
      </c>
      <c r="T501" s="6">
        <v>0.45903756479850683</v>
      </c>
      <c r="U501" s="9">
        <f>IF(Table2[[#This Row],[DU sąnaudos]]=0,0,Table2[[#This Row],[Apyvarta]]-Table2[[#This Row],[DU sąnaudos]]-Table2[[#This Row],[Pelnas]])</f>
        <v>1533018</v>
      </c>
      <c r="V501" s="49">
        <f>IFERROR(Table2[[#This Row],[Ne-atlyginimų sąnaudos]]/U500-1,0)</f>
        <v>0.39600054637344617</v>
      </c>
      <c r="W501" s="9">
        <v>28066</v>
      </c>
      <c r="X501" s="6">
        <v>-0.63304743475759628</v>
      </c>
      <c r="Y501" s="8">
        <f>Table2[[#This Row],[DU sąnaudos]]*0.43</f>
        <v>509224.92</v>
      </c>
      <c r="Z501" s="8">
        <f>Table2[[#This Row],[Apyvarta]]-Table2[[#This Row],[Ne-atlyginimų sąnaudos]]+Table2[[#This Row],[Fiks ir pelno mokestis]]</f>
        <v>1721534.92</v>
      </c>
    </row>
    <row r="502" spans="1:26" hidden="1" x14ac:dyDescent="0.2">
      <c r="A502" s="5" t="s">
        <v>370</v>
      </c>
      <c r="B502" s="5" t="s">
        <v>1632</v>
      </c>
      <c r="C502" s="5">
        <v>2022</v>
      </c>
      <c r="D502" s="5" t="s">
        <v>1721</v>
      </c>
      <c r="E502" s="5" t="s">
        <v>1721</v>
      </c>
      <c r="F502" s="5" t="s">
        <v>1721</v>
      </c>
      <c r="G502" s="5" t="s">
        <v>73</v>
      </c>
      <c r="H502" s="5" t="s">
        <v>1721</v>
      </c>
      <c r="I502" s="5" t="s">
        <v>1721</v>
      </c>
      <c r="J502" s="5" t="s">
        <v>1721</v>
      </c>
      <c r="K502" s="5" t="s">
        <v>193</v>
      </c>
      <c r="L502" s="5" t="s">
        <v>1721</v>
      </c>
      <c r="M502" s="9">
        <v>52</v>
      </c>
      <c r="N502" s="6">
        <f>IFERROR(Table2[[#This Row],[Darbuotojų skaičius]]/M501-1,0)</f>
        <v>0.26829268292682928</v>
      </c>
      <c r="O502" s="9">
        <v>2574</v>
      </c>
      <c r="P502" s="6">
        <v>6.9380972164520216E-2</v>
      </c>
      <c r="Q502" s="9">
        <f>Table2[[#This Row],[Atlyginimo vidurkis]]*Table2[[#This Row],[Darbuotojų skaičius]]*12</f>
        <v>1606176</v>
      </c>
      <c r="R502" s="49">
        <f>IFERROR(Table2[[#This Row],[DU sąnaudos]]/Q501-1,0)</f>
        <v>0.35628806225744025</v>
      </c>
      <c r="S502" s="9">
        <v>3189523</v>
      </c>
      <c r="T502" s="6">
        <v>0.16180033861163401</v>
      </c>
      <c r="U502" s="9">
        <f>IF(Table2[[#This Row],[DU sąnaudos]]=0,0,Table2[[#This Row],[Apyvarta]]-Table2[[#This Row],[DU sąnaudos]]-Table2[[#This Row],[Pelnas]])</f>
        <v>1538476</v>
      </c>
      <c r="V502" s="49">
        <f>IFERROR(Table2[[#This Row],[Ne-atlyginimų sąnaudos]]/U501-1,0)</f>
        <v>3.5602974002915122E-3</v>
      </c>
      <c r="W502" s="9">
        <v>44871</v>
      </c>
      <c r="X502" s="6">
        <v>0.59876719161975345</v>
      </c>
      <c r="Y502" s="8">
        <f>Table2[[#This Row],[DU sąnaudos]]*0.43</f>
        <v>690655.67999999993</v>
      </c>
      <c r="Z502" s="8">
        <f>Table2[[#This Row],[Apyvarta]]-Table2[[#This Row],[Ne-atlyginimų sąnaudos]]+Table2[[#This Row],[Fiks ir pelno mokestis]]</f>
        <v>2341702.6799999997</v>
      </c>
    </row>
    <row r="503" spans="1:26" hidden="1" x14ac:dyDescent="0.2">
      <c r="A503" s="5" t="s">
        <v>370</v>
      </c>
      <c r="B503" s="5" t="s">
        <v>1632</v>
      </c>
      <c r="C503" s="5">
        <v>2023</v>
      </c>
      <c r="D503" s="5" t="s">
        <v>1721</v>
      </c>
      <c r="E503" s="5" t="s">
        <v>1721</v>
      </c>
      <c r="F503" s="5" t="s">
        <v>1721</v>
      </c>
      <c r="G503" s="5" t="s">
        <v>73</v>
      </c>
      <c r="H503" s="5" t="s">
        <v>1721</v>
      </c>
      <c r="I503" s="5" t="s">
        <v>1721</v>
      </c>
      <c r="J503" s="5" t="s">
        <v>1721</v>
      </c>
      <c r="K503" s="5" t="s">
        <v>193</v>
      </c>
      <c r="L503" s="5" t="s">
        <v>1721</v>
      </c>
      <c r="M503" s="9">
        <v>56</v>
      </c>
      <c r="N503" s="6">
        <f>IFERROR(Table2[[#This Row],[Darbuotojų skaičius]]/M502-1,0)</f>
        <v>7.6923076923076872E-2</v>
      </c>
      <c r="O503" s="9">
        <v>2787</v>
      </c>
      <c r="P503" s="6">
        <v>8.275058275058278E-2</v>
      </c>
      <c r="Q503" s="9">
        <f>Table2[[#This Row],[Atlyginimo vidurkis]]*Table2[[#This Row],[Darbuotojų skaičius]]*12</f>
        <v>1872864</v>
      </c>
      <c r="R503" s="49">
        <f>IFERROR(Table2[[#This Row],[DU sąnaudos]]/Q502-1,0)</f>
        <v>0.16603908911601217</v>
      </c>
      <c r="S503" s="9">
        <v>3156815</v>
      </c>
      <c r="T503" s="6">
        <v>-1.025482493777286E-2</v>
      </c>
      <c r="U503" s="9">
        <f>IF(Table2[[#This Row],[DU sąnaudos]]=0,0,Table2[[#This Row],[Apyvarta]]-Table2[[#This Row],[DU sąnaudos]]-Table2[[#This Row],[Pelnas]])</f>
        <v>1275452</v>
      </c>
      <c r="V503" s="49">
        <f>IFERROR(Table2[[#This Row],[Ne-atlyginimų sąnaudos]]/U502-1,0)</f>
        <v>-0.17096399293846642</v>
      </c>
      <c r="W503" s="9">
        <v>8499</v>
      </c>
      <c r="X503" s="6">
        <v>-0.81059035902921706</v>
      </c>
      <c r="Y503" s="8">
        <f>Table2[[#This Row],[DU sąnaudos]]*0.43</f>
        <v>805331.52</v>
      </c>
      <c r="Z503" s="8">
        <f>Table2[[#This Row],[Apyvarta]]-Table2[[#This Row],[Ne-atlyginimų sąnaudos]]+Table2[[#This Row],[Fiks ir pelno mokestis]]</f>
        <v>2686694.52</v>
      </c>
    </row>
    <row r="504" spans="1:26" hidden="1" x14ac:dyDescent="0.2">
      <c r="A504" s="5" t="s">
        <v>370</v>
      </c>
      <c r="B504" s="5" t="s">
        <v>1632</v>
      </c>
      <c r="C504" s="5">
        <v>2024</v>
      </c>
      <c r="D504" s="5" t="s">
        <v>1721</v>
      </c>
      <c r="E504" s="5" t="s">
        <v>1721</v>
      </c>
      <c r="F504" s="5" t="s">
        <v>1721</v>
      </c>
      <c r="G504" s="5" t="s">
        <v>73</v>
      </c>
      <c r="H504" s="5" t="s">
        <v>1721</v>
      </c>
      <c r="I504" s="5" t="s">
        <v>1721</v>
      </c>
      <c r="J504" s="5" t="s">
        <v>1721</v>
      </c>
      <c r="K504" s="5" t="s">
        <v>193</v>
      </c>
      <c r="L504" s="5" t="s">
        <v>1721</v>
      </c>
      <c r="M504" s="9">
        <v>50</v>
      </c>
      <c r="N504" s="6">
        <f>IFERROR(Table2[[#This Row],[Darbuotojų skaičius]]/M503-1,0)</f>
        <v>-0.1071428571428571</v>
      </c>
      <c r="O504" s="9">
        <v>3005</v>
      </c>
      <c r="P504" s="6">
        <v>7.8220308575529307E-2</v>
      </c>
      <c r="Q504" s="9">
        <f>Table2[[#This Row],[Atlyginimo vidurkis]]*Table2[[#This Row],[Darbuotojų skaičius]]*12</f>
        <v>1803000</v>
      </c>
      <c r="R504" s="49">
        <f>IFERROR(Table2[[#This Row],[DU sąnaudos]]/Q503-1,0)</f>
        <v>-3.7303295914706047E-2</v>
      </c>
      <c r="S504" s="9">
        <v>3457966</v>
      </c>
      <c r="T504" s="6">
        <v>9.5397101192182587E-2</v>
      </c>
      <c r="U504" s="9">
        <f>IF(Table2[[#This Row],[DU sąnaudos]]=0,0,Table2[[#This Row],[Apyvarta]]-Table2[[#This Row],[DU sąnaudos]]-Table2[[#This Row],[Pelnas]])</f>
        <v>1644962</v>
      </c>
      <c r="V504" s="49">
        <f>IFERROR(Table2[[#This Row],[Ne-atlyginimų sąnaudos]]/U503-1,0)</f>
        <v>0.28970906000382612</v>
      </c>
      <c r="W504" s="9">
        <v>10004</v>
      </c>
      <c r="X504" s="6">
        <v>0.17707965643016821</v>
      </c>
      <c r="Y504" s="8">
        <f>Table2[[#This Row],[DU sąnaudos]]*0.43</f>
        <v>775290</v>
      </c>
      <c r="Z504" s="8">
        <f>Table2[[#This Row],[Apyvarta]]-Table2[[#This Row],[Ne-atlyginimų sąnaudos]]+Table2[[#This Row],[Fiks ir pelno mokestis]]</f>
        <v>2588294</v>
      </c>
    </row>
    <row r="505" spans="1:26" hidden="1" x14ac:dyDescent="0.2">
      <c r="A505" s="5" t="s">
        <v>777</v>
      </c>
      <c r="B505" s="5" t="s">
        <v>1640</v>
      </c>
      <c r="C505" s="5">
        <v>2019</v>
      </c>
      <c r="D505" s="5" t="s">
        <v>1721</v>
      </c>
      <c r="E505" s="5" t="s">
        <v>1721</v>
      </c>
      <c r="F505" s="5" t="s">
        <v>1721</v>
      </c>
      <c r="G505" s="5" t="s">
        <v>1721</v>
      </c>
      <c r="H505" s="5" t="s">
        <v>1721</v>
      </c>
      <c r="I505" s="5" t="s">
        <v>280</v>
      </c>
      <c r="J505" s="5" t="s">
        <v>1721</v>
      </c>
      <c r="K505" s="5" t="s">
        <v>1721</v>
      </c>
      <c r="L505" s="5" t="s">
        <v>1721</v>
      </c>
      <c r="M505" s="9">
        <v>8</v>
      </c>
      <c r="N505" s="6">
        <v>0</v>
      </c>
      <c r="O505" s="9">
        <v>1348</v>
      </c>
      <c r="P505" s="6">
        <v>0</v>
      </c>
      <c r="Q505" s="9">
        <f>Table2[[#This Row],[Atlyginimo vidurkis]]*Table2[[#This Row],[Darbuotojų skaičius]]*12</f>
        <v>129408</v>
      </c>
      <c r="R505" s="49">
        <v>0</v>
      </c>
      <c r="S505" s="9">
        <v>310625</v>
      </c>
      <c r="T505" s="6">
        <v>0</v>
      </c>
      <c r="U505" s="9">
        <f>IF(Table2[[#This Row],[DU sąnaudos]]=0,0,Table2[[#This Row],[Apyvarta]]-Table2[[#This Row],[DU sąnaudos]]-Table2[[#This Row],[Pelnas]])</f>
        <v>263493</v>
      </c>
      <c r="V505" s="49">
        <v>0</v>
      </c>
      <c r="W505" s="9">
        <v>-82276</v>
      </c>
      <c r="X505" s="6">
        <v>0</v>
      </c>
      <c r="Y505" s="8">
        <f>Table2[[#This Row],[DU sąnaudos]]*0.43</f>
        <v>55645.440000000002</v>
      </c>
      <c r="Z505" s="8">
        <f>Table2[[#This Row],[Apyvarta]]-Table2[[#This Row],[Ne-atlyginimų sąnaudos]]+Table2[[#This Row],[Fiks ir pelno mokestis]]</f>
        <v>102777.44</v>
      </c>
    </row>
    <row r="506" spans="1:26" hidden="1" x14ac:dyDescent="0.2">
      <c r="A506" s="5" t="s">
        <v>777</v>
      </c>
      <c r="B506" s="5" t="s">
        <v>1640</v>
      </c>
      <c r="C506" s="5">
        <v>2020</v>
      </c>
      <c r="D506" s="5" t="s">
        <v>1721</v>
      </c>
      <c r="E506" s="5" t="s">
        <v>1721</v>
      </c>
      <c r="F506" s="5" t="s">
        <v>1721</v>
      </c>
      <c r="G506" s="5" t="s">
        <v>1721</v>
      </c>
      <c r="H506" s="5" t="s">
        <v>1721</v>
      </c>
      <c r="I506" s="5" t="s">
        <v>280</v>
      </c>
      <c r="J506" s="5" t="s">
        <v>1721</v>
      </c>
      <c r="K506" s="5" t="s">
        <v>1721</v>
      </c>
      <c r="L506" s="5" t="s">
        <v>1721</v>
      </c>
      <c r="M506" s="9">
        <v>7</v>
      </c>
      <c r="N506" s="6">
        <f>IFERROR(Table2[[#This Row],[Darbuotojų skaičius]]/M505-1,0)</f>
        <v>-0.125</v>
      </c>
      <c r="O506" s="9">
        <v>1361</v>
      </c>
      <c r="P506" s="6">
        <v>9.6439169139466152E-3</v>
      </c>
      <c r="Q506" s="9">
        <f>Table2[[#This Row],[Atlyginimo vidurkis]]*Table2[[#This Row],[Darbuotojų skaičius]]*12</f>
        <v>114324</v>
      </c>
      <c r="R506" s="49">
        <f>IFERROR(Table2[[#This Row],[DU sąnaudos]]/Q505-1,0)</f>
        <v>-0.11656157270029677</v>
      </c>
      <c r="S506" s="9">
        <v>253884</v>
      </c>
      <c r="T506" s="6">
        <v>-0.18266720321931579</v>
      </c>
      <c r="U506" s="9">
        <f>IF(Table2[[#This Row],[DU sąnaudos]]=0,0,Table2[[#This Row],[Apyvarta]]-Table2[[#This Row],[DU sąnaudos]]-Table2[[#This Row],[Pelnas]])</f>
        <v>137079</v>
      </c>
      <c r="V506" s="49">
        <f>IFERROR(Table2[[#This Row],[Ne-atlyginimų sąnaudos]]/U505-1,0)</f>
        <v>-0.47976227072445943</v>
      </c>
      <c r="W506" s="9">
        <v>2481</v>
      </c>
      <c r="X506" s="6">
        <v>-1.030154601584909</v>
      </c>
      <c r="Y506" s="8">
        <f>Table2[[#This Row],[DU sąnaudos]]*0.43</f>
        <v>49159.32</v>
      </c>
      <c r="Z506" s="8">
        <f>Table2[[#This Row],[Apyvarta]]-Table2[[#This Row],[Ne-atlyginimų sąnaudos]]+Table2[[#This Row],[Fiks ir pelno mokestis]]</f>
        <v>165964.32</v>
      </c>
    </row>
    <row r="507" spans="1:26" hidden="1" x14ac:dyDescent="0.2">
      <c r="A507" s="5" t="s">
        <v>777</v>
      </c>
      <c r="B507" s="5" t="s">
        <v>1640</v>
      </c>
      <c r="C507" s="5">
        <v>2021</v>
      </c>
      <c r="D507" s="5" t="s">
        <v>1721</v>
      </c>
      <c r="E507" s="5" t="s">
        <v>1721</v>
      </c>
      <c r="F507" s="5" t="s">
        <v>1721</v>
      </c>
      <c r="G507" s="5" t="s">
        <v>1721</v>
      </c>
      <c r="H507" s="5" t="s">
        <v>1721</v>
      </c>
      <c r="I507" s="5" t="s">
        <v>280</v>
      </c>
      <c r="J507" s="5" t="s">
        <v>1721</v>
      </c>
      <c r="K507" s="5" t="s">
        <v>1721</v>
      </c>
      <c r="L507" s="5" t="s">
        <v>1721</v>
      </c>
      <c r="M507" s="9">
        <v>7</v>
      </c>
      <c r="N507" s="6">
        <f>IFERROR(Table2[[#This Row],[Darbuotojų skaičius]]/M506-1,0)</f>
        <v>0</v>
      </c>
      <c r="O507" s="9">
        <v>1516</v>
      </c>
      <c r="P507" s="6">
        <v>0.1138868479059516</v>
      </c>
      <c r="Q507" s="9">
        <f>Table2[[#This Row],[Atlyginimo vidurkis]]*Table2[[#This Row],[Darbuotojų skaičius]]*12</f>
        <v>127344</v>
      </c>
      <c r="R507" s="49">
        <f>IFERROR(Table2[[#This Row],[DU sąnaudos]]/Q506-1,0)</f>
        <v>0.1138868479059516</v>
      </c>
      <c r="S507" s="9">
        <v>351527</v>
      </c>
      <c r="T507" s="6">
        <v>0.38459690252241191</v>
      </c>
      <c r="U507" s="9">
        <f>IF(Table2[[#This Row],[DU sąnaudos]]=0,0,Table2[[#This Row],[Apyvarta]]-Table2[[#This Row],[DU sąnaudos]]-Table2[[#This Row],[Pelnas]])</f>
        <v>206579</v>
      </c>
      <c r="V507" s="49">
        <f>IFERROR(Table2[[#This Row],[Ne-atlyginimų sąnaudos]]/U506-1,0)</f>
        <v>0.50700690842506879</v>
      </c>
      <c r="W507" s="9">
        <v>17604</v>
      </c>
      <c r="X507" s="6">
        <v>6.0955259975816203</v>
      </c>
      <c r="Y507" s="8">
        <f>Table2[[#This Row],[DU sąnaudos]]*0.43</f>
        <v>54757.919999999998</v>
      </c>
      <c r="Z507" s="8">
        <f>Table2[[#This Row],[Apyvarta]]-Table2[[#This Row],[Ne-atlyginimų sąnaudos]]+Table2[[#This Row],[Fiks ir pelno mokestis]]</f>
        <v>199705.91999999998</v>
      </c>
    </row>
    <row r="508" spans="1:26" hidden="1" x14ac:dyDescent="0.2">
      <c r="A508" s="5" t="s">
        <v>777</v>
      </c>
      <c r="B508" s="5" t="s">
        <v>1640</v>
      </c>
      <c r="C508" s="5">
        <v>2022</v>
      </c>
      <c r="D508" s="5" t="s">
        <v>1721</v>
      </c>
      <c r="E508" s="5" t="s">
        <v>1721</v>
      </c>
      <c r="F508" s="5" t="s">
        <v>1721</v>
      </c>
      <c r="G508" s="5" t="s">
        <v>1721</v>
      </c>
      <c r="H508" s="5" t="s">
        <v>1721</v>
      </c>
      <c r="I508" s="5" t="s">
        <v>280</v>
      </c>
      <c r="J508" s="5" t="s">
        <v>1721</v>
      </c>
      <c r="K508" s="5" t="s">
        <v>1721</v>
      </c>
      <c r="L508" s="5" t="s">
        <v>1721</v>
      </c>
      <c r="M508" s="9">
        <v>7</v>
      </c>
      <c r="N508" s="6">
        <f>IFERROR(Table2[[#This Row],[Darbuotojų skaičius]]/M507-1,0)</f>
        <v>0</v>
      </c>
      <c r="O508" s="9">
        <v>1660</v>
      </c>
      <c r="P508" s="6">
        <v>9.4986807387862804E-2</v>
      </c>
      <c r="Q508" s="9">
        <f>Table2[[#This Row],[Atlyginimo vidurkis]]*Table2[[#This Row],[Darbuotojų skaičius]]*12</f>
        <v>139440</v>
      </c>
      <c r="R508" s="49">
        <f>IFERROR(Table2[[#This Row],[DU sąnaudos]]/Q507-1,0)</f>
        <v>9.4986807387862804E-2</v>
      </c>
      <c r="S508" s="9">
        <v>322775</v>
      </c>
      <c r="T508" s="6">
        <v>-8.1791725813379901E-2</v>
      </c>
      <c r="U508" s="9">
        <f>IF(Table2[[#This Row],[DU sąnaudos]]=0,0,Table2[[#This Row],[Apyvarta]]-Table2[[#This Row],[DU sąnaudos]]-Table2[[#This Row],[Pelnas]])</f>
        <v>191320</v>
      </c>
      <c r="V508" s="49">
        <f>IFERROR(Table2[[#This Row],[Ne-atlyginimų sąnaudos]]/U507-1,0)</f>
        <v>-7.3865204110776017E-2</v>
      </c>
      <c r="W508" s="9">
        <v>-7985</v>
      </c>
      <c r="X508" s="6">
        <v>-1.4535900931606449</v>
      </c>
      <c r="Y508" s="8">
        <f>Table2[[#This Row],[DU sąnaudos]]*0.43</f>
        <v>59959.199999999997</v>
      </c>
      <c r="Z508" s="8">
        <f>Table2[[#This Row],[Apyvarta]]-Table2[[#This Row],[Ne-atlyginimų sąnaudos]]+Table2[[#This Row],[Fiks ir pelno mokestis]]</f>
        <v>191414.2</v>
      </c>
    </row>
    <row r="509" spans="1:26" hidden="1" x14ac:dyDescent="0.2">
      <c r="A509" s="5" t="s">
        <v>777</v>
      </c>
      <c r="B509" s="5" t="s">
        <v>1640</v>
      </c>
      <c r="C509" s="5">
        <v>2023</v>
      </c>
      <c r="D509" s="5" t="s">
        <v>1721</v>
      </c>
      <c r="E509" s="5" t="s">
        <v>1721</v>
      </c>
      <c r="F509" s="5" t="s">
        <v>1721</v>
      </c>
      <c r="G509" s="5" t="s">
        <v>1721</v>
      </c>
      <c r="H509" s="5" t="s">
        <v>1721</v>
      </c>
      <c r="I509" s="5" t="s">
        <v>280</v>
      </c>
      <c r="J509" s="5" t="s">
        <v>1721</v>
      </c>
      <c r="K509" s="5" t="s">
        <v>1721</v>
      </c>
      <c r="L509" s="5" t="s">
        <v>1721</v>
      </c>
      <c r="M509" s="9">
        <v>6</v>
      </c>
      <c r="N509" s="6">
        <f>IFERROR(Table2[[#This Row],[Darbuotojų skaičius]]/M508-1,0)</f>
        <v>-0.1428571428571429</v>
      </c>
      <c r="O509" s="9">
        <v>1793</v>
      </c>
      <c r="P509" s="6">
        <v>8.0120481927710818E-2</v>
      </c>
      <c r="Q509" s="9">
        <f>Table2[[#This Row],[Atlyginimo vidurkis]]*Table2[[#This Row],[Darbuotojų skaičius]]*12</f>
        <v>129096</v>
      </c>
      <c r="R509" s="49">
        <f>IFERROR(Table2[[#This Row],[DU sąnaudos]]/Q508-1,0)</f>
        <v>-7.4182444061962172E-2</v>
      </c>
      <c r="S509" s="9">
        <v>684432</v>
      </c>
      <c r="T509" s="6">
        <v>1.1204616218728221</v>
      </c>
      <c r="U509" s="9">
        <f>IF(Table2[[#This Row],[DU sąnaudos]]=0,0,Table2[[#This Row],[Apyvarta]]-Table2[[#This Row],[DU sąnaudos]]-Table2[[#This Row],[Pelnas]])</f>
        <v>496163</v>
      </c>
      <c r="V509" s="49">
        <f>IFERROR(Table2[[#This Row],[Ne-atlyginimų sąnaudos]]/U508-1,0)</f>
        <v>1.5933671335981603</v>
      </c>
      <c r="W509" s="9">
        <v>59173</v>
      </c>
      <c r="X509" s="6">
        <v>-8.4105197244834073</v>
      </c>
      <c r="Y509" s="8">
        <f>Table2[[#This Row],[DU sąnaudos]]*0.43</f>
        <v>55511.28</v>
      </c>
      <c r="Z509" s="8">
        <f>Table2[[#This Row],[Apyvarta]]-Table2[[#This Row],[Ne-atlyginimų sąnaudos]]+Table2[[#This Row],[Fiks ir pelno mokestis]]</f>
        <v>243780.28</v>
      </c>
    </row>
    <row r="510" spans="1:26" hidden="1" x14ac:dyDescent="0.2">
      <c r="A510" s="5" t="s">
        <v>777</v>
      </c>
      <c r="B510" s="5" t="s">
        <v>1640</v>
      </c>
      <c r="C510" s="5">
        <v>2024</v>
      </c>
      <c r="D510" s="5" t="s">
        <v>1721</v>
      </c>
      <c r="E510" s="5" t="s">
        <v>1721</v>
      </c>
      <c r="F510" s="5" t="s">
        <v>1721</v>
      </c>
      <c r="G510" s="5" t="s">
        <v>1721</v>
      </c>
      <c r="H510" s="5" t="s">
        <v>1721</v>
      </c>
      <c r="I510" s="5" t="s">
        <v>280</v>
      </c>
      <c r="J510" s="5" t="s">
        <v>1721</v>
      </c>
      <c r="K510" s="5" t="s">
        <v>1721</v>
      </c>
      <c r="L510" s="5" t="s">
        <v>1721</v>
      </c>
      <c r="M510" s="9">
        <v>6</v>
      </c>
      <c r="N510" s="6">
        <f>IFERROR(Table2[[#This Row],[Darbuotojų skaičius]]/M509-1,0)</f>
        <v>0</v>
      </c>
      <c r="O510" s="9">
        <v>1977</v>
      </c>
      <c r="P510" s="6">
        <v>0.10262130507529291</v>
      </c>
      <c r="Q510" s="9">
        <f>Table2[[#This Row],[Atlyginimo vidurkis]]*Table2[[#This Row],[Darbuotojų skaičius]]*12</f>
        <v>142344</v>
      </c>
      <c r="R510" s="49">
        <f>IFERROR(Table2[[#This Row],[DU sąnaudos]]/Q509-1,0)</f>
        <v>0.10262130507529288</v>
      </c>
      <c r="S510" s="9">
        <v>316507</v>
      </c>
      <c r="T510" s="6">
        <v>-0.53756253360450712</v>
      </c>
      <c r="U510" s="9">
        <f>IF(Table2[[#This Row],[DU sąnaudos]]=0,0,Table2[[#This Row],[Apyvarta]]-Table2[[#This Row],[DU sąnaudos]]-Table2[[#This Row],[Pelnas]])</f>
        <v>176396</v>
      </c>
      <c r="V510" s="49">
        <f>IFERROR(Table2[[#This Row],[Ne-atlyginimų sąnaudos]]/U509-1,0)</f>
        <v>-0.64447973750561816</v>
      </c>
      <c r="W510" s="9">
        <v>-2233</v>
      </c>
      <c r="X510" s="6">
        <v>-1.0377368056377061</v>
      </c>
      <c r="Y510" s="8">
        <f>Table2[[#This Row],[DU sąnaudos]]*0.43</f>
        <v>61207.92</v>
      </c>
      <c r="Z510" s="8">
        <f>Table2[[#This Row],[Apyvarta]]-Table2[[#This Row],[Ne-atlyginimų sąnaudos]]+Table2[[#This Row],[Fiks ir pelno mokestis]]</f>
        <v>201318.91999999998</v>
      </c>
    </row>
    <row r="511" spans="1:26" hidden="1" x14ac:dyDescent="0.2">
      <c r="A511" s="5" t="s">
        <v>1642</v>
      </c>
      <c r="B511" t="s">
        <v>1643</v>
      </c>
      <c r="C511">
        <v>2019</v>
      </c>
      <c r="D511" s="5" t="s">
        <v>1721</v>
      </c>
      <c r="E511" s="5" t="s">
        <v>1725</v>
      </c>
      <c r="F511" s="5" t="s">
        <v>1721</v>
      </c>
      <c r="G511" s="5" t="s">
        <v>1721</v>
      </c>
      <c r="H511" s="5" t="s">
        <v>1721</v>
      </c>
      <c r="I511" s="5" t="s">
        <v>1721</v>
      </c>
      <c r="J511" s="5" t="s">
        <v>1721</v>
      </c>
      <c r="K511" s="5" t="s">
        <v>1721</v>
      </c>
      <c r="L511" s="5" t="s">
        <v>1721</v>
      </c>
      <c r="M511" s="9">
        <v>5</v>
      </c>
      <c r="N511" s="6">
        <v>0</v>
      </c>
      <c r="O511" s="9">
        <v>1330</v>
      </c>
      <c r="P511" s="6">
        <v>0</v>
      </c>
      <c r="Q511" s="9">
        <f>Table2[[#This Row],[Atlyginimo vidurkis]]*Table2[[#This Row],[Darbuotojų skaičius]]*12</f>
        <v>79800</v>
      </c>
      <c r="R511" s="49">
        <v>0</v>
      </c>
      <c r="S511" s="9">
        <v>821314</v>
      </c>
      <c r="T511" s="6">
        <v>0</v>
      </c>
      <c r="U511" s="9">
        <f>IF(Table2[[#This Row],[DU sąnaudos]]=0,0,Table2[[#This Row],[Apyvarta]]-Table2[[#This Row],[DU sąnaudos]]-Table2[[#This Row],[Pelnas]])</f>
        <v>736822</v>
      </c>
      <c r="V511" s="49">
        <v>0</v>
      </c>
      <c r="W511" s="9">
        <v>4692</v>
      </c>
      <c r="X511" s="6">
        <v>0</v>
      </c>
      <c r="Y511" s="8">
        <f>Table2[[#This Row],[DU sąnaudos]]*0.43</f>
        <v>34314</v>
      </c>
      <c r="Z511" s="8">
        <f>Table2[[#This Row],[Apyvarta]]-Table2[[#This Row],[Ne-atlyginimų sąnaudos]]+Table2[[#This Row],[Fiks ir pelno mokestis]]</f>
        <v>118806</v>
      </c>
    </row>
    <row r="512" spans="1:26" hidden="1" x14ac:dyDescent="0.2">
      <c r="A512" s="5" t="s">
        <v>1642</v>
      </c>
      <c r="B512" t="s">
        <v>1643</v>
      </c>
      <c r="C512">
        <v>2020</v>
      </c>
      <c r="D512" s="5" t="s">
        <v>1721</v>
      </c>
      <c r="E512" s="5" t="s">
        <v>1725</v>
      </c>
      <c r="F512" s="5" t="s">
        <v>1721</v>
      </c>
      <c r="G512" s="5" t="s">
        <v>1721</v>
      </c>
      <c r="H512" s="5" t="s">
        <v>1721</v>
      </c>
      <c r="I512" s="5" t="s">
        <v>1721</v>
      </c>
      <c r="J512" s="5" t="s">
        <v>1721</v>
      </c>
      <c r="K512" s="5" t="s">
        <v>1721</v>
      </c>
      <c r="L512" s="5" t="s">
        <v>1721</v>
      </c>
      <c r="M512" s="9">
        <v>4</v>
      </c>
      <c r="N512" s="6">
        <f>IFERROR(Table2[[#This Row],[Darbuotojų skaičius]]/M511-1,0)</f>
        <v>-0.19999999999999996</v>
      </c>
      <c r="O512" s="9">
        <v>991</v>
      </c>
      <c r="P512" s="6">
        <v>-0.25</v>
      </c>
      <c r="Q512" s="9">
        <f>Table2[[#This Row],[Atlyginimo vidurkis]]*Table2[[#This Row],[Darbuotojų skaičius]]*12</f>
        <v>47568</v>
      </c>
      <c r="R512" s="49">
        <f>IFERROR(Table2[[#This Row],[DU sąnaudos]]/Q511-1,0)</f>
        <v>-0.40390977443609022</v>
      </c>
      <c r="S512" s="9">
        <v>376895</v>
      </c>
      <c r="T512" s="6">
        <v>-0.54</v>
      </c>
      <c r="U512" s="9">
        <f>IF(Table2[[#This Row],[DU sąnaudos]]=0,0,Table2[[#This Row],[Apyvarta]]-Table2[[#This Row],[DU sąnaudos]]-Table2[[#This Row],[Pelnas]])</f>
        <v>313237</v>
      </c>
      <c r="V512" s="49">
        <f>IFERROR(Table2[[#This Row],[Ne-atlyginimų sąnaudos]]/U511-1,0)</f>
        <v>-0.57488104318274968</v>
      </c>
      <c r="W512" s="9">
        <v>16090</v>
      </c>
      <c r="X512" s="6">
        <v>2.4300000000000002</v>
      </c>
      <c r="Y512" s="8">
        <f>Table2[[#This Row],[DU sąnaudos]]*0.43</f>
        <v>20454.239999999998</v>
      </c>
      <c r="Z512" s="8">
        <f>Table2[[#This Row],[Apyvarta]]-Table2[[#This Row],[Ne-atlyginimų sąnaudos]]+Table2[[#This Row],[Fiks ir pelno mokestis]]</f>
        <v>84112.239999999991</v>
      </c>
    </row>
    <row r="513" spans="1:26" hidden="1" x14ac:dyDescent="0.2">
      <c r="A513" s="5" t="s">
        <v>1642</v>
      </c>
      <c r="B513" t="s">
        <v>1643</v>
      </c>
      <c r="C513">
        <v>2021</v>
      </c>
      <c r="D513" s="5" t="s">
        <v>1721</v>
      </c>
      <c r="E513" s="5" t="s">
        <v>1725</v>
      </c>
      <c r="F513" s="5" t="s">
        <v>1721</v>
      </c>
      <c r="G513" s="5" t="s">
        <v>1721</v>
      </c>
      <c r="H513" s="5" t="s">
        <v>1721</v>
      </c>
      <c r="I513" s="5" t="s">
        <v>1721</v>
      </c>
      <c r="J513" s="5" t="s">
        <v>1721</v>
      </c>
      <c r="K513" s="5" t="s">
        <v>1721</v>
      </c>
      <c r="L513" s="5" t="s">
        <v>1721</v>
      </c>
      <c r="M513" s="9">
        <v>3</v>
      </c>
      <c r="N513" s="6">
        <f>IFERROR(Table2[[#This Row],[Darbuotojų skaičius]]/M512-1,0)</f>
        <v>-0.25</v>
      </c>
      <c r="O513" s="9">
        <v>0</v>
      </c>
      <c r="P513" s="6">
        <v>0</v>
      </c>
      <c r="Q513" s="9">
        <f>Table2[[#This Row],[Atlyginimo vidurkis]]*Table2[[#This Row],[Darbuotojų skaičius]]*12</f>
        <v>0</v>
      </c>
      <c r="R513" s="49">
        <f>IFERROR(Table2[[#This Row],[DU sąnaudos]]/Q512-1,0)</f>
        <v>-1</v>
      </c>
      <c r="S513" s="9">
        <v>930793</v>
      </c>
      <c r="T513" s="6">
        <v>1.47</v>
      </c>
      <c r="U513" s="9">
        <f>IF(Table2[[#This Row],[DU sąnaudos]]=0,0,Table2[[#This Row],[Apyvarta]]-Table2[[#This Row],[DU sąnaudos]]-Table2[[#This Row],[Pelnas]])</f>
        <v>0</v>
      </c>
      <c r="V513" s="49">
        <f>IFERROR(Table2[[#This Row],[Ne-atlyginimų sąnaudos]]/U512-1,0)</f>
        <v>-1</v>
      </c>
      <c r="W513" s="9">
        <v>92764</v>
      </c>
      <c r="X513" s="6">
        <v>4.7699999999999996</v>
      </c>
      <c r="Y513" s="8">
        <f>Table2[[#This Row],[DU sąnaudos]]*0.43</f>
        <v>0</v>
      </c>
      <c r="Z513" s="8">
        <f>Table2[[#This Row],[Apyvarta]]-Table2[[#This Row],[Ne-atlyginimų sąnaudos]]+Table2[[#This Row],[Fiks ir pelno mokestis]]</f>
        <v>930793</v>
      </c>
    </row>
    <row r="514" spans="1:26" hidden="1" x14ac:dyDescent="0.2">
      <c r="A514" s="5" t="s">
        <v>1642</v>
      </c>
      <c r="B514" t="s">
        <v>1643</v>
      </c>
      <c r="C514">
        <v>2022</v>
      </c>
      <c r="D514" s="5" t="s">
        <v>1721</v>
      </c>
      <c r="E514" s="5" t="s">
        <v>1725</v>
      </c>
      <c r="F514" s="5" t="s">
        <v>1721</v>
      </c>
      <c r="G514" s="5" t="s">
        <v>1721</v>
      </c>
      <c r="H514" s="5" t="s">
        <v>1721</v>
      </c>
      <c r="I514" s="5" t="s">
        <v>1721</v>
      </c>
      <c r="J514" s="5" t="s">
        <v>1721</v>
      </c>
      <c r="K514" s="5" t="s">
        <v>1721</v>
      </c>
      <c r="L514" s="5" t="s">
        <v>1721</v>
      </c>
      <c r="M514" s="9">
        <v>5</v>
      </c>
      <c r="N514" s="6">
        <f>IFERROR(Table2[[#This Row],[Darbuotojų skaičius]]/M513-1,0)</f>
        <v>0.66666666666666674</v>
      </c>
      <c r="O514" s="9">
        <v>2720</v>
      </c>
      <c r="P514" s="6">
        <v>0</v>
      </c>
      <c r="Q514" s="9">
        <f>Table2[[#This Row],[Atlyginimo vidurkis]]*Table2[[#This Row],[Darbuotojų skaičius]]*12</f>
        <v>163200</v>
      </c>
      <c r="R514" s="49">
        <f>IFERROR(Table2[[#This Row],[DU sąnaudos]]/Q513-1,0)</f>
        <v>0</v>
      </c>
      <c r="S514" s="9">
        <v>1249429</v>
      </c>
      <c r="T514" s="6">
        <v>0.34</v>
      </c>
      <c r="U514" s="9">
        <f>IF(Table2[[#This Row],[DU sąnaudos]]=0,0,Table2[[#This Row],[Apyvarta]]-Table2[[#This Row],[DU sąnaudos]]-Table2[[#This Row],[Pelnas]])</f>
        <v>1053337</v>
      </c>
      <c r="V514" s="49">
        <f>IFERROR(Table2[[#This Row],[Ne-atlyginimų sąnaudos]]/U513-1,0)</f>
        <v>0</v>
      </c>
      <c r="W514" s="9">
        <v>32892</v>
      </c>
      <c r="X514" s="6">
        <v>-0.65</v>
      </c>
      <c r="Y514" s="8">
        <f>Table2[[#This Row],[DU sąnaudos]]*0.43</f>
        <v>70176</v>
      </c>
      <c r="Z514" s="8">
        <f>Table2[[#This Row],[Apyvarta]]-Table2[[#This Row],[Ne-atlyginimų sąnaudos]]+Table2[[#This Row],[Fiks ir pelno mokestis]]</f>
        <v>266268</v>
      </c>
    </row>
    <row r="515" spans="1:26" hidden="1" x14ac:dyDescent="0.2">
      <c r="A515" s="5" t="s">
        <v>1642</v>
      </c>
      <c r="B515" t="s">
        <v>1643</v>
      </c>
      <c r="C515">
        <v>2023</v>
      </c>
      <c r="D515" s="5" t="s">
        <v>1721</v>
      </c>
      <c r="E515" s="5" t="s">
        <v>1725</v>
      </c>
      <c r="F515" s="5" t="s">
        <v>1721</v>
      </c>
      <c r="G515" s="5" t="s">
        <v>1721</v>
      </c>
      <c r="H515" s="5" t="s">
        <v>1721</v>
      </c>
      <c r="I515" s="5" t="s">
        <v>1721</v>
      </c>
      <c r="J515" s="5" t="s">
        <v>1721</v>
      </c>
      <c r="K515" s="5" t="s">
        <v>1721</v>
      </c>
      <c r="L515" s="5" t="s">
        <v>1721</v>
      </c>
      <c r="M515" s="9">
        <v>4</v>
      </c>
      <c r="N515" s="6">
        <f>IFERROR(Table2[[#This Row],[Darbuotojų skaičius]]/M514-1,0)</f>
        <v>-0.19999999999999996</v>
      </c>
      <c r="O515" s="9">
        <v>3087</v>
      </c>
      <c r="P515" s="6">
        <v>0.13</v>
      </c>
      <c r="Q515" s="9">
        <f>Table2[[#This Row],[Atlyginimo vidurkis]]*Table2[[#This Row],[Darbuotojų skaičius]]*12</f>
        <v>148176</v>
      </c>
      <c r="R515" s="49">
        <f>IFERROR(Table2[[#This Row],[DU sąnaudos]]/Q514-1,0)</f>
        <v>-9.2058823529411749E-2</v>
      </c>
      <c r="S515" s="9">
        <v>1249338</v>
      </c>
      <c r="T515" s="6">
        <v>0</v>
      </c>
      <c r="U515" s="9">
        <f>IF(Table2[[#This Row],[DU sąnaudos]]=0,0,Table2[[#This Row],[Apyvarta]]-Table2[[#This Row],[DU sąnaudos]]-Table2[[#This Row],[Pelnas]])</f>
        <v>1058762</v>
      </c>
      <c r="V515" s="49">
        <f>IFERROR(Table2[[#This Row],[Ne-atlyginimų sąnaudos]]/U514-1,0)</f>
        <v>5.1502985274418656E-3</v>
      </c>
      <c r="W515" s="9">
        <v>42400</v>
      </c>
      <c r="X515" s="6">
        <v>0.28999999999999998</v>
      </c>
      <c r="Y515" s="8">
        <f>Table2[[#This Row],[DU sąnaudos]]*0.43</f>
        <v>63715.68</v>
      </c>
      <c r="Z515" s="8">
        <f>Table2[[#This Row],[Apyvarta]]-Table2[[#This Row],[Ne-atlyginimų sąnaudos]]+Table2[[#This Row],[Fiks ir pelno mokestis]]</f>
        <v>254291.68</v>
      </c>
    </row>
    <row r="516" spans="1:26" hidden="1" x14ac:dyDescent="0.2">
      <c r="A516" s="5" t="s">
        <v>1642</v>
      </c>
      <c r="B516" t="s">
        <v>1643</v>
      </c>
      <c r="C516">
        <v>2024</v>
      </c>
      <c r="D516" s="5" t="s">
        <v>1721</v>
      </c>
      <c r="E516" s="5" t="s">
        <v>1725</v>
      </c>
      <c r="F516" s="5" t="s">
        <v>1721</v>
      </c>
      <c r="G516" s="5" t="s">
        <v>1721</v>
      </c>
      <c r="H516" s="5" t="s">
        <v>1721</v>
      </c>
      <c r="I516" s="5" t="s">
        <v>1721</v>
      </c>
      <c r="J516" s="5" t="s">
        <v>1721</v>
      </c>
      <c r="K516" s="5" t="s">
        <v>1721</v>
      </c>
      <c r="L516" s="5" t="s">
        <v>1721</v>
      </c>
      <c r="M516" s="9">
        <v>3</v>
      </c>
      <c r="N516" s="6">
        <f>IFERROR(Table2[[#This Row],[Darbuotojų skaičius]]/M515-1,0)</f>
        <v>-0.25</v>
      </c>
      <c r="O516" s="9">
        <v>3618</v>
      </c>
      <c r="P516" s="6">
        <v>0.17</v>
      </c>
      <c r="Q516" s="9">
        <f>Table2[[#This Row],[Atlyginimo vidurkis]]*Table2[[#This Row],[Darbuotojų skaičius]]*12</f>
        <v>130248</v>
      </c>
      <c r="R516" s="49">
        <f>IFERROR(Table2[[#This Row],[DU sąnaudos]]/Q515-1,0)</f>
        <v>-0.12099125364431484</v>
      </c>
      <c r="S516" s="9">
        <v>1063817</v>
      </c>
      <c r="T516" s="6">
        <v>-0.15</v>
      </c>
      <c r="U516" s="9">
        <f>IF(Table2[[#This Row],[DU sąnaudos]]=0,0,Table2[[#This Row],[Apyvarta]]-Table2[[#This Row],[DU sąnaudos]]-Table2[[#This Row],[Pelnas]])</f>
        <v>905362</v>
      </c>
      <c r="V516" s="49">
        <f>IFERROR(Table2[[#This Row],[Ne-atlyginimų sąnaudos]]/U515-1,0)</f>
        <v>-0.14488619727568608</v>
      </c>
      <c r="W516" s="9">
        <v>28207</v>
      </c>
      <c r="X516" s="6">
        <v>-0.33</v>
      </c>
      <c r="Y516" s="8">
        <f>Table2[[#This Row],[DU sąnaudos]]*0.43</f>
        <v>56006.64</v>
      </c>
      <c r="Z516" s="8">
        <f>Table2[[#This Row],[Apyvarta]]-Table2[[#This Row],[Ne-atlyginimų sąnaudos]]+Table2[[#This Row],[Fiks ir pelno mokestis]]</f>
        <v>214461.64</v>
      </c>
    </row>
    <row r="517" spans="1:26" hidden="1" x14ac:dyDescent="0.2">
      <c r="A517" s="5" t="s">
        <v>1327</v>
      </c>
      <c r="B517" t="s">
        <v>1644</v>
      </c>
      <c r="C517">
        <v>2019</v>
      </c>
      <c r="D517" s="5" t="s">
        <v>1721</v>
      </c>
      <c r="E517" s="5" t="s">
        <v>1721</v>
      </c>
      <c r="F517" t="s">
        <v>1726</v>
      </c>
      <c r="G517" s="5" t="s">
        <v>1721</v>
      </c>
      <c r="H517" t="s">
        <v>1724</v>
      </c>
      <c r="I517" t="s">
        <v>280</v>
      </c>
      <c r="J517" s="5" t="s">
        <v>1721</v>
      </c>
      <c r="K517" s="5" t="s">
        <v>1721</v>
      </c>
      <c r="L517" s="5" t="s">
        <v>1721</v>
      </c>
      <c r="M517" s="9">
        <v>17</v>
      </c>
      <c r="N517" s="6">
        <v>0</v>
      </c>
      <c r="O517" s="9">
        <v>2079</v>
      </c>
      <c r="P517" s="6">
        <v>0</v>
      </c>
      <c r="Q517" s="9">
        <f>Table2[[#This Row],[Atlyginimo vidurkis]]*Table2[[#This Row],[Darbuotojų skaičius]]*12</f>
        <v>424116</v>
      </c>
      <c r="R517" s="49">
        <v>0</v>
      </c>
      <c r="S517" s="9">
        <v>872145</v>
      </c>
      <c r="T517" s="6">
        <v>0</v>
      </c>
      <c r="U517" s="9">
        <f>IF(Table2[[#This Row],[DU sąnaudos]]=0,0,Table2[[#This Row],[Apyvarta]]-Table2[[#This Row],[DU sąnaudos]]-Table2[[#This Row],[Pelnas]])</f>
        <v>453930</v>
      </c>
      <c r="V517" s="49">
        <v>0</v>
      </c>
      <c r="W517" s="9">
        <v>-5901</v>
      </c>
      <c r="X517" s="6">
        <v>0</v>
      </c>
      <c r="Y517" s="8">
        <f>Table2[[#This Row],[DU sąnaudos]]*0.43</f>
        <v>182369.88</v>
      </c>
      <c r="Z517" s="8">
        <f>Table2[[#This Row],[Apyvarta]]-Table2[[#This Row],[Ne-atlyginimų sąnaudos]]+Table2[[#This Row],[Fiks ir pelno mokestis]]</f>
        <v>600584.88</v>
      </c>
    </row>
    <row r="518" spans="1:26" hidden="1" x14ac:dyDescent="0.2">
      <c r="A518" s="5" t="s">
        <v>1327</v>
      </c>
      <c r="B518" t="s">
        <v>1644</v>
      </c>
      <c r="C518">
        <v>2020</v>
      </c>
      <c r="D518" s="5" t="s">
        <v>1721</v>
      </c>
      <c r="E518" s="5" t="s">
        <v>1721</v>
      </c>
      <c r="F518" t="s">
        <v>1726</v>
      </c>
      <c r="G518" s="5" t="s">
        <v>1721</v>
      </c>
      <c r="H518" t="s">
        <v>1724</v>
      </c>
      <c r="I518" t="s">
        <v>280</v>
      </c>
      <c r="J518" s="5" t="s">
        <v>1721</v>
      </c>
      <c r="K518" s="5" t="s">
        <v>1721</v>
      </c>
      <c r="L518" s="5" t="s">
        <v>1721</v>
      </c>
      <c r="M518" s="9">
        <v>12</v>
      </c>
      <c r="N518" s="6">
        <f>IFERROR(Table2[[#This Row],[Darbuotojų skaičius]]/M517-1,0)</f>
        <v>-0.29411764705882348</v>
      </c>
      <c r="O518" s="9">
        <v>1929</v>
      </c>
      <c r="P518" s="6">
        <v>-7.0000000000000007E-2</v>
      </c>
      <c r="Q518" s="9">
        <f>Table2[[#This Row],[Atlyginimo vidurkis]]*Table2[[#This Row],[Darbuotojų skaičius]]*12</f>
        <v>277776</v>
      </c>
      <c r="R518" s="49">
        <f>IFERROR(Table2[[#This Row],[DU sąnaudos]]/Q517-1,0)</f>
        <v>-0.34504710975299213</v>
      </c>
      <c r="S518" s="9">
        <v>1143759</v>
      </c>
      <c r="T518" s="6">
        <v>0.31</v>
      </c>
      <c r="U518" s="9">
        <f>IF(Table2[[#This Row],[DU sąnaudos]]=0,0,Table2[[#This Row],[Apyvarta]]-Table2[[#This Row],[DU sąnaudos]]-Table2[[#This Row],[Pelnas]])</f>
        <v>766636</v>
      </c>
      <c r="V518" s="49">
        <f>IFERROR(Table2[[#This Row],[Ne-atlyginimų sąnaudos]]/U517-1,0)</f>
        <v>0.68888595157843713</v>
      </c>
      <c r="W518" s="9">
        <v>99347</v>
      </c>
      <c r="X518" s="6">
        <v>17.84</v>
      </c>
      <c r="Y518" s="8">
        <f>Table2[[#This Row],[DU sąnaudos]]*0.43</f>
        <v>119443.68</v>
      </c>
      <c r="Z518" s="8">
        <f>Table2[[#This Row],[Apyvarta]]-Table2[[#This Row],[Ne-atlyginimų sąnaudos]]+Table2[[#This Row],[Fiks ir pelno mokestis]]</f>
        <v>496566.68</v>
      </c>
    </row>
    <row r="519" spans="1:26" hidden="1" x14ac:dyDescent="0.2">
      <c r="A519" s="5" t="s">
        <v>1327</v>
      </c>
      <c r="B519" t="s">
        <v>1644</v>
      </c>
      <c r="C519">
        <v>2021</v>
      </c>
      <c r="D519" s="5" t="s">
        <v>1721</v>
      </c>
      <c r="E519" s="5" t="s">
        <v>1721</v>
      </c>
      <c r="F519" t="s">
        <v>1726</v>
      </c>
      <c r="G519" s="5" t="s">
        <v>1721</v>
      </c>
      <c r="H519" t="s">
        <v>1724</v>
      </c>
      <c r="I519" t="s">
        <v>280</v>
      </c>
      <c r="J519" s="5" t="s">
        <v>1721</v>
      </c>
      <c r="K519" s="5" t="s">
        <v>1721</v>
      </c>
      <c r="L519" s="5" t="s">
        <v>1721</v>
      </c>
      <c r="M519" s="9">
        <v>15</v>
      </c>
      <c r="N519" s="6">
        <f>IFERROR(Table2[[#This Row],[Darbuotojų skaičius]]/M518-1,0)</f>
        <v>0.25</v>
      </c>
      <c r="O519" s="9">
        <v>2230</v>
      </c>
      <c r="P519" s="6">
        <v>0.16</v>
      </c>
      <c r="Q519" s="9">
        <f>Table2[[#This Row],[Atlyginimo vidurkis]]*Table2[[#This Row],[Darbuotojų skaičius]]*12</f>
        <v>401400</v>
      </c>
      <c r="R519" s="49">
        <f>IFERROR(Table2[[#This Row],[DU sąnaudos]]/Q518-1,0)</f>
        <v>0.44504924831518933</v>
      </c>
      <c r="S519" s="9">
        <v>1618544</v>
      </c>
      <c r="T519" s="6">
        <v>0.42</v>
      </c>
      <c r="U519" s="9">
        <f>IF(Table2[[#This Row],[DU sąnaudos]]=0,0,Table2[[#This Row],[Apyvarta]]-Table2[[#This Row],[DU sąnaudos]]-Table2[[#This Row],[Pelnas]])</f>
        <v>1117923</v>
      </c>
      <c r="V519" s="49">
        <f>IFERROR(Table2[[#This Row],[Ne-atlyginimų sąnaudos]]/U518-1,0)</f>
        <v>0.45821876353315005</v>
      </c>
      <c r="W519" s="9">
        <v>99221</v>
      </c>
      <c r="X519" s="6">
        <v>0</v>
      </c>
      <c r="Y519" s="8">
        <f>Table2[[#This Row],[DU sąnaudos]]*0.43</f>
        <v>172602</v>
      </c>
      <c r="Z519" s="8">
        <f>Table2[[#This Row],[Apyvarta]]-Table2[[#This Row],[Ne-atlyginimų sąnaudos]]+Table2[[#This Row],[Fiks ir pelno mokestis]]</f>
        <v>673223</v>
      </c>
    </row>
    <row r="520" spans="1:26" hidden="1" x14ac:dyDescent="0.2">
      <c r="A520" s="5" t="s">
        <v>1327</v>
      </c>
      <c r="B520" t="s">
        <v>1644</v>
      </c>
      <c r="C520">
        <v>2022</v>
      </c>
      <c r="D520" s="5" t="s">
        <v>1721</v>
      </c>
      <c r="E520" s="5" t="s">
        <v>1721</v>
      </c>
      <c r="F520" t="s">
        <v>1726</v>
      </c>
      <c r="G520" s="5" t="s">
        <v>1721</v>
      </c>
      <c r="H520" t="s">
        <v>1724</v>
      </c>
      <c r="I520" t="s">
        <v>280</v>
      </c>
      <c r="J520" s="5" t="s">
        <v>1721</v>
      </c>
      <c r="K520" s="5" t="s">
        <v>1721</v>
      </c>
      <c r="L520" s="5" t="s">
        <v>1721</v>
      </c>
      <c r="M520" s="9">
        <v>23</v>
      </c>
      <c r="N520" s="6">
        <f>IFERROR(Table2[[#This Row],[Darbuotojų skaičius]]/M519-1,0)</f>
        <v>0.53333333333333344</v>
      </c>
      <c r="O520" s="9">
        <v>2450</v>
      </c>
      <c r="P520" s="6">
        <v>0.1</v>
      </c>
      <c r="Q520" s="9">
        <f>Table2[[#This Row],[Atlyginimo vidurkis]]*Table2[[#This Row],[Darbuotojų skaičius]]*12</f>
        <v>676200</v>
      </c>
      <c r="R520" s="49">
        <f>IFERROR(Table2[[#This Row],[DU sąnaudos]]/Q519-1,0)</f>
        <v>0.68460388639760827</v>
      </c>
      <c r="S520" s="9">
        <v>1813270</v>
      </c>
      <c r="T520" s="6">
        <v>0.12</v>
      </c>
      <c r="U520" s="9">
        <f>IF(Table2[[#This Row],[DU sąnaudos]]=0,0,Table2[[#This Row],[Apyvarta]]-Table2[[#This Row],[DU sąnaudos]]-Table2[[#This Row],[Pelnas]])</f>
        <v>1121781</v>
      </c>
      <c r="V520" s="49">
        <f>IFERROR(Table2[[#This Row],[Ne-atlyginimų sąnaudos]]/U519-1,0)</f>
        <v>3.4510426925646875E-3</v>
      </c>
      <c r="W520" s="9">
        <v>15289</v>
      </c>
      <c r="X520" s="6">
        <v>-0.85</v>
      </c>
      <c r="Y520" s="8">
        <f>Table2[[#This Row],[DU sąnaudos]]*0.43</f>
        <v>290766</v>
      </c>
      <c r="Z520" s="8">
        <f>Table2[[#This Row],[Apyvarta]]-Table2[[#This Row],[Ne-atlyginimų sąnaudos]]+Table2[[#This Row],[Fiks ir pelno mokestis]]</f>
        <v>982255</v>
      </c>
    </row>
    <row r="521" spans="1:26" hidden="1" x14ac:dyDescent="0.2">
      <c r="A521" s="5" t="s">
        <v>1327</v>
      </c>
      <c r="B521" t="s">
        <v>1644</v>
      </c>
      <c r="C521">
        <v>2023</v>
      </c>
      <c r="D521" s="5" t="s">
        <v>1721</v>
      </c>
      <c r="E521" s="5" t="s">
        <v>1721</v>
      </c>
      <c r="F521" t="s">
        <v>1726</v>
      </c>
      <c r="G521" s="5" t="s">
        <v>1721</v>
      </c>
      <c r="H521" t="s">
        <v>1724</v>
      </c>
      <c r="I521" t="s">
        <v>280</v>
      </c>
      <c r="J521" s="5" t="s">
        <v>1721</v>
      </c>
      <c r="K521" s="5" t="s">
        <v>1721</v>
      </c>
      <c r="L521" s="5" t="s">
        <v>1721</v>
      </c>
      <c r="M521" s="9">
        <v>27</v>
      </c>
      <c r="N521" s="6">
        <f>IFERROR(Table2[[#This Row],[Darbuotojų skaičius]]/M520-1,0)</f>
        <v>0.17391304347826098</v>
      </c>
      <c r="O521" s="9">
        <v>2646</v>
      </c>
      <c r="P521" s="6">
        <v>0.08</v>
      </c>
      <c r="Q521" s="9">
        <f>Table2[[#This Row],[Atlyginimo vidurkis]]*Table2[[#This Row],[Darbuotojų skaičius]]*12</f>
        <v>857304</v>
      </c>
      <c r="R521" s="49">
        <f>IFERROR(Table2[[#This Row],[DU sąnaudos]]/Q520-1,0)</f>
        <v>0.26782608695652166</v>
      </c>
      <c r="S521" s="9">
        <v>1905999</v>
      </c>
      <c r="T521" s="6">
        <v>0.05</v>
      </c>
      <c r="U521" s="9">
        <f>IF(Table2[[#This Row],[DU sąnaudos]]=0,0,Table2[[#This Row],[Apyvarta]]-Table2[[#This Row],[DU sąnaudos]]-Table2[[#This Row],[Pelnas]])</f>
        <v>1139697</v>
      </c>
      <c r="V521" s="49">
        <f>IFERROR(Table2[[#This Row],[Ne-atlyginimų sąnaudos]]/U520-1,0)</f>
        <v>1.5971031778930111E-2</v>
      </c>
      <c r="W521" s="9">
        <v>-91002</v>
      </c>
      <c r="X521" s="6">
        <v>-6.95</v>
      </c>
      <c r="Y521" s="8">
        <f>Table2[[#This Row],[DU sąnaudos]]*0.43</f>
        <v>368640.72</v>
      </c>
      <c r="Z521" s="8">
        <f>Table2[[#This Row],[Apyvarta]]-Table2[[#This Row],[Ne-atlyginimų sąnaudos]]+Table2[[#This Row],[Fiks ir pelno mokestis]]</f>
        <v>1134942.72</v>
      </c>
    </row>
    <row r="522" spans="1:26" hidden="1" x14ac:dyDescent="0.2">
      <c r="A522" s="5" t="s">
        <v>1327</v>
      </c>
      <c r="B522" t="s">
        <v>1644</v>
      </c>
      <c r="C522">
        <v>2024</v>
      </c>
      <c r="D522" s="5" t="s">
        <v>1721</v>
      </c>
      <c r="E522" s="5" t="s">
        <v>1721</v>
      </c>
      <c r="F522" t="s">
        <v>1726</v>
      </c>
      <c r="G522" s="5" t="s">
        <v>1721</v>
      </c>
      <c r="H522" t="s">
        <v>1724</v>
      </c>
      <c r="I522" t="s">
        <v>280</v>
      </c>
      <c r="J522" s="5" t="s">
        <v>1721</v>
      </c>
      <c r="K522" s="5" t="s">
        <v>1721</v>
      </c>
      <c r="L522" s="5" t="s">
        <v>1721</v>
      </c>
      <c r="M522" s="9">
        <v>26</v>
      </c>
      <c r="N522" s="6">
        <f>IFERROR(Table2[[#This Row],[Darbuotojų skaičius]]/M521-1,0)</f>
        <v>-3.703703703703709E-2</v>
      </c>
      <c r="O522" s="9">
        <v>2529</v>
      </c>
      <c r="P522" s="6">
        <v>-0.04</v>
      </c>
      <c r="Q522" s="9">
        <f>Table2[[#This Row],[Atlyginimo vidurkis]]*Table2[[#This Row],[Darbuotojų skaičius]]*12</f>
        <v>789048</v>
      </c>
      <c r="R522" s="49">
        <f>IFERROR(Table2[[#This Row],[DU sąnaudos]]/Q521-1,0)</f>
        <v>-7.9617031997984422E-2</v>
      </c>
      <c r="S522" s="20">
        <v>2631602</v>
      </c>
      <c r="T522" s="6">
        <v>0.38069432355420973</v>
      </c>
      <c r="U522" s="9">
        <f>IF(Table2[[#This Row],[DU sąnaudos]]=0,0,Table2[[#This Row],[Apyvarta]]-Table2[[#This Row],[DU sąnaudos]]-Table2[[#This Row],[Pelnas]])</f>
        <v>1759902</v>
      </c>
      <c r="V522" s="49">
        <f>IFERROR(Table2[[#This Row],[Ne-atlyginimų sąnaudos]]/U521-1,0)</f>
        <v>0.54418411209295092</v>
      </c>
      <c r="W522" s="9">
        <v>82652</v>
      </c>
      <c r="X522" s="6">
        <v>1.90824377486209</v>
      </c>
      <c r="Y522" s="8">
        <f>Table2[[#This Row],[DU sąnaudos]]*0.43</f>
        <v>339290.64</v>
      </c>
      <c r="Z522" s="8">
        <f>Table2[[#This Row],[Apyvarta]]-Table2[[#This Row],[Ne-atlyginimų sąnaudos]]+Table2[[#This Row],[Fiks ir pelno mokestis]]</f>
        <v>1210990.6400000001</v>
      </c>
    </row>
    <row r="523" spans="1:26" hidden="1" x14ac:dyDescent="0.2">
      <c r="A523" s="5" t="s">
        <v>1645</v>
      </c>
      <c r="B523" t="s">
        <v>1646</v>
      </c>
      <c r="C523">
        <v>2019</v>
      </c>
      <c r="D523" s="5" t="s">
        <v>1721</v>
      </c>
      <c r="E523" s="5" t="s">
        <v>1725</v>
      </c>
      <c r="F523" s="24" t="s">
        <v>1721</v>
      </c>
      <c r="G523" s="24" t="s">
        <v>1721</v>
      </c>
      <c r="H523" s="24" t="s">
        <v>1721</v>
      </c>
      <c r="I523" s="24" t="s">
        <v>1721</v>
      </c>
      <c r="J523" s="24" t="s">
        <v>1721</v>
      </c>
      <c r="K523" s="24" t="s">
        <v>1721</v>
      </c>
      <c r="L523" s="24" t="s">
        <v>1721</v>
      </c>
      <c r="M523" s="9">
        <v>12</v>
      </c>
      <c r="N523" s="6">
        <v>0</v>
      </c>
      <c r="O523" s="9">
        <v>1176</v>
      </c>
      <c r="P523" s="6">
        <v>0</v>
      </c>
      <c r="Q523" s="9">
        <f>Table2[[#This Row],[Atlyginimo vidurkis]]*Table2[[#This Row],[Darbuotojų skaičius]]*12</f>
        <v>169344</v>
      </c>
      <c r="R523" s="49">
        <v>0</v>
      </c>
      <c r="S523" s="9">
        <v>829120</v>
      </c>
      <c r="T523" s="6">
        <v>0</v>
      </c>
      <c r="U523" s="9">
        <f>IF(Table2[[#This Row],[DU sąnaudos]]=0,0,Table2[[#This Row],[Apyvarta]]-Table2[[#This Row],[DU sąnaudos]]-Table2[[#This Row],[Pelnas]])</f>
        <v>658842</v>
      </c>
      <c r="V523" s="49">
        <v>0</v>
      </c>
      <c r="W523" s="9">
        <v>934</v>
      </c>
      <c r="X523" s="6">
        <v>0</v>
      </c>
      <c r="Y523" s="8">
        <f>Table2[[#This Row],[DU sąnaudos]]*0.43</f>
        <v>72817.919999999998</v>
      </c>
      <c r="Z523" s="8">
        <f>Table2[[#This Row],[Apyvarta]]-Table2[[#This Row],[Ne-atlyginimų sąnaudos]]+Table2[[#This Row],[Fiks ir pelno mokestis]]</f>
        <v>243095.91999999998</v>
      </c>
    </row>
    <row r="524" spans="1:26" hidden="1" x14ac:dyDescent="0.2">
      <c r="A524" s="5" t="s">
        <v>1645</v>
      </c>
      <c r="B524" t="s">
        <v>1646</v>
      </c>
      <c r="C524">
        <v>2020</v>
      </c>
      <c r="D524" s="5" t="s">
        <v>1721</v>
      </c>
      <c r="E524" s="5" t="s">
        <v>1725</v>
      </c>
      <c r="F524" s="24" t="s">
        <v>1721</v>
      </c>
      <c r="G524" s="24" t="s">
        <v>1721</v>
      </c>
      <c r="H524" s="24" t="s">
        <v>1721</v>
      </c>
      <c r="I524" s="24" t="s">
        <v>1721</v>
      </c>
      <c r="J524" s="24" t="s">
        <v>1721</v>
      </c>
      <c r="K524" s="24" t="s">
        <v>1721</v>
      </c>
      <c r="L524" s="24" t="s">
        <v>1721</v>
      </c>
      <c r="M524" s="9">
        <v>12</v>
      </c>
      <c r="N524" s="6">
        <f>IFERROR(Table2[[#This Row],[Darbuotojų skaičius]]/M523-1,0)</f>
        <v>0</v>
      </c>
      <c r="O524" s="9">
        <v>1278</v>
      </c>
      <c r="P524" s="6">
        <v>0.09</v>
      </c>
      <c r="Q524" s="9">
        <f>Table2[[#This Row],[Atlyginimo vidurkis]]*Table2[[#This Row],[Darbuotojų skaičius]]*12</f>
        <v>184032</v>
      </c>
      <c r="R524" s="49">
        <f>IFERROR(Table2[[#This Row],[DU sąnaudos]]/Q523-1,0)</f>
        <v>8.6734693877551061E-2</v>
      </c>
      <c r="S524" s="9">
        <v>824661</v>
      </c>
      <c r="T524" s="6">
        <v>-0.01</v>
      </c>
      <c r="U524" s="9">
        <f>IF(Table2[[#This Row],[DU sąnaudos]]=0,0,Table2[[#This Row],[Apyvarta]]-Table2[[#This Row],[DU sąnaudos]]-Table2[[#This Row],[Pelnas]])</f>
        <v>563462</v>
      </c>
      <c r="V524" s="49">
        <f>IFERROR(Table2[[#This Row],[Ne-atlyginimų sąnaudos]]/U523-1,0)</f>
        <v>-0.14476915557903114</v>
      </c>
      <c r="W524" s="9">
        <v>77167</v>
      </c>
      <c r="X524" s="6">
        <v>81.62</v>
      </c>
      <c r="Y524" s="8">
        <f>Table2[[#This Row],[DU sąnaudos]]*0.43</f>
        <v>79133.759999999995</v>
      </c>
      <c r="Z524" s="8">
        <f>Table2[[#This Row],[Apyvarta]]-Table2[[#This Row],[Ne-atlyginimų sąnaudos]]+Table2[[#This Row],[Fiks ir pelno mokestis]]</f>
        <v>340332.76</v>
      </c>
    </row>
    <row r="525" spans="1:26" hidden="1" x14ac:dyDescent="0.2">
      <c r="A525" s="5" t="s">
        <v>1645</v>
      </c>
      <c r="B525" t="s">
        <v>1646</v>
      </c>
      <c r="C525">
        <v>2021</v>
      </c>
      <c r="D525" s="5" t="s">
        <v>1721</v>
      </c>
      <c r="E525" s="5" t="s">
        <v>1725</v>
      </c>
      <c r="F525" s="24" t="s">
        <v>1721</v>
      </c>
      <c r="G525" s="24" t="s">
        <v>1721</v>
      </c>
      <c r="H525" s="24" t="s">
        <v>1721</v>
      </c>
      <c r="I525" s="24" t="s">
        <v>1721</v>
      </c>
      <c r="J525" s="24" t="s">
        <v>1721</v>
      </c>
      <c r="K525" s="24" t="s">
        <v>1721</v>
      </c>
      <c r="L525" s="24" t="s">
        <v>1721</v>
      </c>
      <c r="M525" s="9">
        <v>11</v>
      </c>
      <c r="N525" s="6">
        <f>IFERROR(Table2[[#This Row],[Darbuotojų skaičius]]/M524-1,0)</f>
        <v>-8.333333333333337E-2</v>
      </c>
      <c r="O525" s="9">
        <v>1653</v>
      </c>
      <c r="P525" s="6">
        <v>0.28999999999999998</v>
      </c>
      <c r="Q525" s="9">
        <f>Table2[[#This Row],[Atlyginimo vidurkis]]*Table2[[#This Row],[Darbuotojų skaičius]]*12</f>
        <v>218196</v>
      </c>
      <c r="R525" s="49">
        <f>IFERROR(Table2[[#This Row],[DU sąnaudos]]/Q524-1,0)</f>
        <v>0.18564162754303593</v>
      </c>
      <c r="S525" s="9">
        <v>917347</v>
      </c>
      <c r="T525" s="6">
        <v>0.11</v>
      </c>
      <c r="U525" s="9">
        <f>IF(Table2[[#This Row],[DU sąnaudos]]=0,0,Table2[[#This Row],[Apyvarta]]-Table2[[#This Row],[DU sąnaudos]]-Table2[[#This Row],[Pelnas]])</f>
        <v>596052</v>
      </c>
      <c r="V525" s="49">
        <f>IFERROR(Table2[[#This Row],[Ne-atlyginimų sąnaudos]]/U524-1,0)</f>
        <v>5.7838860473288456E-2</v>
      </c>
      <c r="W525" s="9">
        <v>103099</v>
      </c>
      <c r="X525" s="6">
        <v>0.34</v>
      </c>
      <c r="Y525" s="8">
        <f>Table2[[#This Row],[DU sąnaudos]]*0.43</f>
        <v>93824.28</v>
      </c>
      <c r="Z525" s="8">
        <f>Table2[[#This Row],[Apyvarta]]-Table2[[#This Row],[Ne-atlyginimų sąnaudos]]+Table2[[#This Row],[Fiks ir pelno mokestis]]</f>
        <v>415119.28</v>
      </c>
    </row>
    <row r="526" spans="1:26" hidden="1" x14ac:dyDescent="0.2">
      <c r="A526" s="5" t="s">
        <v>1645</v>
      </c>
      <c r="B526" t="s">
        <v>1646</v>
      </c>
      <c r="C526">
        <v>2022</v>
      </c>
      <c r="D526" s="5" t="s">
        <v>1721</v>
      </c>
      <c r="E526" s="5" t="s">
        <v>1725</v>
      </c>
      <c r="F526" s="24" t="s">
        <v>1721</v>
      </c>
      <c r="G526" s="24" t="s">
        <v>1721</v>
      </c>
      <c r="H526" s="24" t="s">
        <v>1721</v>
      </c>
      <c r="I526" s="24" t="s">
        <v>1721</v>
      </c>
      <c r="J526" s="24" t="s">
        <v>1721</v>
      </c>
      <c r="K526" s="24" t="s">
        <v>1721</v>
      </c>
      <c r="L526" s="24" t="s">
        <v>1721</v>
      </c>
      <c r="M526" s="9">
        <v>11</v>
      </c>
      <c r="N526" s="6">
        <f>IFERROR(Table2[[#This Row],[Darbuotojų skaičius]]/M525-1,0)</f>
        <v>0</v>
      </c>
      <c r="O526" s="9">
        <v>1709</v>
      </c>
      <c r="P526" s="6">
        <v>0.03</v>
      </c>
      <c r="Q526" s="9">
        <f>Table2[[#This Row],[Atlyginimo vidurkis]]*Table2[[#This Row],[Darbuotojų skaičius]]*12</f>
        <v>225588</v>
      </c>
      <c r="R526" s="49">
        <f>IFERROR(Table2[[#This Row],[DU sąnaudos]]/Q525-1,0)</f>
        <v>3.3877797943133725E-2</v>
      </c>
      <c r="S526" s="9">
        <v>1167788</v>
      </c>
      <c r="T526" s="6">
        <v>0.27</v>
      </c>
      <c r="U526" s="9">
        <f>IF(Table2[[#This Row],[DU sąnaudos]]=0,0,Table2[[#This Row],[Apyvarta]]-Table2[[#This Row],[DU sąnaudos]]-Table2[[#This Row],[Pelnas]])</f>
        <v>822182</v>
      </c>
      <c r="V526" s="49">
        <f>IFERROR(Table2[[#This Row],[Ne-atlyginimų sąnaudos]]/U525-1,0)</f>
        <v>0.37937965143980734</v>
      </c>
      <c r="W526" s="9">
        <v>120018</v>
      </c>
      <c r="X526" s="6">
        <v>0.16</v>
      </c>
      <c r="Y526" s="8">
        <f>Table2[[#This Row],[DU sąnaudos]]*0.43</f>
        <v>97002.84</v>
      </c>
      <c r="Z526" s="8">
        <f>Table2[[#This Row],[Apyvarta]]-Table2[[#This Row],[Ne-atlyginimų sąnaudos]]+Table2[[#This Row],[Fiks ir pelno mokestis]]</f>
        <v>442608.83999999997</v>
      </c>
    </row>
    <row r="527" spans="1:26" hidden="1" x14ac:dyDescent="0.2">
      <c r="A527" s="5" t="s">
        <v>1645</v>
      </c>
      <c r="B527" t="s">
        <v>1646</v>
      </c>
      <c r="C527">
        <v>2023</v>
      </c>
      <c r="D527" s="5" t="s">
        <v>1721</v>
      </c>
      <c r="E527" s="5" t="s">
        <v>1725</v>
      </c>
      <c r="F527" s="24" t="s">
        <v>1721</v>
      </c>
      <c r="G527" s="24" t="s">
        <v>1721</v>
      </c>
      <c r="H527" s="24" t="s">
        <v>1721</v>
      </c>
      <c r="I527" s="24" t="s">
        <v>1721</v>
      </c>
      <c r="J527" s="24" t="s">
        <v>1721</v>
      </c>
      <c r="K527" s="24" t="s">
        <v>1721</v>
      </c>
      <c r="L527" s="24" t="s">
        <v>1721</v>
      </c>
      <c r="M527" s="9">
        <v>12</v>
      </c>
      <c r="N527" s="6">
        <f>IFERROR(Table2[[#This Row],[Darbuotojų skaičius]]/M526-1,0)</f>
        <v>9.0909090909090828E-2</v>
      </c>
      <c r="O527" s="9">
        <v>1889</v>
      </c>
      <c r="P527" s="6">
        <v>0.11</v>
      </c>
      <c r="Q527" s="9">
        <f>Table2[[#This Row],[Atlyginimo vidurkis]]*Table2[[#This Row],[Darbuotojų skaičius]]*12</f>
        <v>272016</v>
      </c>
      <c r="R527" s="49">
        <f>IFERROR(Table2[[#This Row],[DU sąnaudos]]/Q526-1,0)</f>
        <v>0.20580881961806474</v>
      </c>
      <c r="S527" s="9">
        <v>1503595</v>
      </c>
      <c r="T527" s="6">
        <v>0.28999999999999998</v>
      </c>
      <c r="U527" s="9">
        <f>IF(Table2[[#This Row],[DU sąnaudos]]=0,0,Table2[[#This Row],[Apyvarta]]-Table2[[#This Row],[DU sąnaudos]]-Table2[[#This Row],[Pelnas]])</f>
        <v>1124963</v>
      </c>
      <c r="V527" s="49">
        <f>IFERROR(Table2[[#This Row],[Ne-atlyginimų sąnaudos]]/U526-1,0)</f>
        <v>0.36826517729651109</v>
      </c>
      <c r="W527" s="9">
        <v>106616</v>
      </c>
      <c r="X527" s="6">
        <v>-0.11</v>
      </c>
      <c r="Y527" s="8">
        <f>Table2[[#This Row],[DU sąnaudos]]*0.43</f>
        <v>116966.88</v>
      </c>
      <c r="Z527" s="8">
        <f>Table2[[#This Row],[Apyvarta]]-Table2[[#This Row],[Ne-atlyginimų sąnaudos]]+Table2[[#This Row],[Fiks ir pelno mokestis]]</f>
        <v>495598.88</v>
      </c>
    </row>
    <row r="528" spans="1:26" hidden="1" x14ac:dyDescent="0.2">
      <c r="A528" s="5" t="s">
        <v>1645</v>
      </c>
      <c r="B528" t="s">
        <v>1646</v>
      </c>
      <c r="C528">
        <v>2024</v>
      </c>
      <c r="D528" s="5" t="s">
        <v>1721</v>
      </c>
      <c r="E528" s="5" t="s">
        <v>1725</v>
      </c>
      <c r="F528" s="24" t="s">
        <v>1721</v>
      </c>
      <c r="G528" s="24" t="s">
        <v>1721</v>
      </c>
      <c r="H528" s="24" t="s">
        <v>1721</v>
      </c>
      <c r="I528" s="24" t="s">
        <v>1721</v>
      </c>
      <c r="J528" s="24" t="s">
        <v>1721</v>
      </c>
      <c r="K528" s="24" t="s">
        <v>1721</v>
      </c>
      <c r="L528" s="24" t="s">
        <v>1721</v>
      </c>
      <c r="M528" s="9">
        <v>13</v>
      </c>
      <c r="N528" s="6">
        <f>IFERROR(Table2[[#This Row],[Darbuotojų skaičius]]/M527-1,0)</f>
        <v>8.3333333333333259E-2</v>
      </c>
      <c r="O528" s="9">
        <v>2139</v>
      </c>
      <c r="P528" s="6">
        <v>0.13</v>
      </c>
      <c r="Q528" s="9">
        <f>Table2[[#This Row],[Atlyginimo vidurkis]]*Table2[[#This Row],[Darbuotojų skaičius]]*12</f>
        <v>333684</v>
      </c>
      <c r="R528" s="49">
        <f>IFERROR(Table2[[#This Row],[DU sąnaudos]]/Q527-1,0)</f>
        <v>0.22670725251455792</v>
      </c>
      <c r="S528" s="9">
        <v>1851227</v>
      </c>
      <c r="T528" s="6">
        <v>0.23</v>
      </c>
      <c r="U528" s="9">
        <f>IF(Table2[[#This Row],[DU sąnaudos]]=0,0,Table2[[#This Row],[Apyvarta]]-Table2[[#This Row],[DU sąnaudos]]-Table2[[#This Row],[Pelnas]])</f>
        <v>1396915</v>
      </c>
      <c r="V528" s="49">
        <f>IFERROR(Table2[[#This Row],[Ne-atlyginimų sąnaudos]]/U527-1,0)</f>
        <v>0.24174306177180949</v>
      </c>
      <c r="W528" s="9">
        <v>120628</v>
      </c>
      <c r="X528" s="6">
        <v>0.13</v>
      </c>
      <c r="Y528" s="8">
        <f>Table2[[#This Row],[DU sąnaudos]]*0.43</f>
        <v>143484.12</v>
      </c>
      <c r="Z528" s="8">
        <f>Table2[[#This Row],[Apyvarta]]-Table2[[#This Row],[Ne-atlyginimų sąnaudos]]+Table2[[#This Row],[Fiks ir pelno mokestis]]</f>
        <v>597796.12</v>
      </c>
    </row>
    <row r="529" spans="1:26" hidden="1" x14ac:dyDescent="0.2">
      <c r="A529" s="5" t="s">
        <v>262</v>
      </c>
      <c r="B529" s="5" t="s">
        <v>1729</v>
      </c>
      <c r="C529" s="5">
        <v>2019</v>
      </c>
      <c r="D529" s="5" t="s">
        <v>1721</v>
      </c>
      <c r="E529" s="5" t="s">
        <v>1721</v>
      </c>
      <c r="F529" s="5" t="s">
        <v>1721</v>
      </c>
      <c r="G529" s="5" t="s">
        <v>73</v>
      </c>
      <c r="H529" s="5" t="s">
        <v>1721</v>
      </c>
      <c r="I529" s="5" t="s">
        <v>1721</v>
      </c>
      <c r="J529" s="5" t="s">
        <v>1721</v>
      </c>
      <c r="K529" s="5" t="s">
        <v>1721</v>
      </c>
      <c r="L529" s="5" t="s">
        <v>1721</v>
      </c>
      <c r="M529" s="9">
        <v>21</v>
      </c>
      <c r="N529" s="6">
        <v>0</v>
      </c>
      <c r="O529" s="9">
        <v>2175</v>
      </c>
      <c r="P529" s="6">
        <v>0</v>
      </c>
      <c r="Q529" s="9">
        <f>Table2[[#This Row],[Atlyginimo vidurkis]]*Table2[[#This Row],[Darbuotojų skaičius]]*12</f>
        <v>548100</v>
      </c>
      <c r="R529" s="49">
        <v>0</v>
      </c>
      <c r="S529" s="9">
        <v>6385159</v>
      </c>
      <c r="T529" s="6">
        <v>0</v>
      </c>
      <c r="U529" s="9">
        <f>IF(Table2[[#This Row],[DU sąnaudos]]=0,0,Table2[[#This Row],[Apyvarta]]-Table2[[#This Row],[DU sąnaudos]]-Table2[[#This Row],[Pelnas]])</f>
        <v>5779960</v>
      </c>
      <c r="V529" s="49">
        <v>0</v>
      </c>
      <c r="W529" s="9">
        <v>57099</v>
      </c>
      <c r="X529" s="6">
        <v>0</v>
      </c>
      <c r="Y529" s="8">
        <f>Table2[[#This Row],[DU sąnaudos]]*0.43</f>
        <v>235683</v>
      </c>
      <c r="Z529" s="8">
        <f>Table2[[#This Row],[Apyvarta]]-Table2[[#This Row],[Ne-atlyginimų sąnaudos]]+Table2[[#This Row],[Fiks ir pelno mokestis]]</f>
        <v>840882</v>
      </c>
    </row>
    <row r="530" spans="1:26" hidden="1" x14ac:dyDescent="0.2">
      <c r="A530" s="5" t="s">
        <v>262</v>
      </c>
      <c r="B530" s="5" t="s">
        <v>1729</v>
      </c>
      <c r="C530" s="5">
        <v>2020</v>
      </c>
      <c r="D530" s="5" t="s">
        <v>1721</v>
      </c>
      <c r="E530" s="5" t="s">
        <v>1721</v>
      </c>
      <c r="F530" s="5" t="s">
        <v>1721</v>
      </c>
      <c r="G530" s="5" t="s">
        <v>73</v>
      </c>
      <c r="H530" s="5" t="s">
        <v>1721</v>
      </c>
      <c r="I530" s="5" t="s">
        <v>1721</v>
      </c>
      <c r="J530" s="5" t="s">
        <v>1721</v>
      </c>
      <c r="K530" s="5" t="s">
        <v>1721</v>
      </c>
      <c r="L530" s="5" t="s">
        <v>1721</v>
      </c>
      <c r="M530" s="9">
        <v>20</v>
      </c>
      <c r="N530" s="6">
        <f>IFERROR(Table2[[#This Row],[Darbuotojų skaičius]]/M529-1,0)</f>
        <v>-4.7619047619047672E-2</v>
      </c>
      <c r="O530" s="9">
        <v>2572</v>
      </c>
      <c r="P530" s="6">
        <v>0.18252873563218391</v>
      </c>
      <c r="Q530" s="9">
        <f>Table2[[#This Row],[Atlyginimo vidurkis]]*Table2[[#This Row],[Darbuotojų skaičius]]*12</f>
        <v>617280</v>
      </c>
      <c r="R530" s="49">
        <f>IFERROR(Table2[[#This Row],[DU sąnaudos]]/Q529-1,0)</f>
        <v>0.12621784345922271</v>
      </c>
      <c r="S530" s="9">
        <v>5903710</v>
      </c>
      <c r="T530" s="6">
        <v>-7.54012546907602E-2</v>
      </c>
      <c r="U530" s="9">
        <f>IF(Table2[[#This Row],[DU sąnaudos]]=0,0,Table2[[#This Row],[Apyvarta]]-Table2[[#This Row],[DU sąnaudos]]-Table2[[#This Row],[Pelnas]])</f>
        <v>5043570</v>
      </c>
      <c r="V530" s="49">
        <f>IFERROR(Table2[[#This Row],[Ne-atlyginimų sąnaudos]]/U529-1,0)</f>
        <v>-0.12740399587540396</v>
      </c>
      <c r="W530" s="9">
        <v>242860</v>
      </c>
      <c r="X530" s="6">
        <v>3.253314418816442</v>
      </c>
      <c r="Y530" s="8">
        <f>Table2[[#This Row],[DU sąnaudos]]*0.43</f>
        <v>265430.40000000002</v>
      </c>
      <c r="Z530" s="8">
        <f>Table2[[#This Row],[Apyvarta]]-Table2[[#This Row],[Ne-atlyginimų sąnaudos]]+Table2[[#This Row],[Fiks ir pelno mokestis]]</f>
        <v>1125570.3999999999</v>
      </c>
    </row>
    <row r="531" spans="1:26" hidden="1" x14ac:dyDescent="0.2">
      <c r="A531" s="5" t="s">
        <v>262</v>
      </c>
      <c r="B531" s="5" t="s">
        <v>1729</v>
      </c>
      <c r="C531" s="5">
        <v>2021</v>
      </c>
      <c r="D531" s="5" t="s">
        <v>1721</v>
      </c>
      <c r="E531" s="5" t="s">
        <v>1721</v>
      </c>
      <c r="F531" s="5" t="s">
        <v>1721</v>
      </c>
      <c r="G531" s="5" t="s">
        <v>73</v>
      </c>
      <c r="H531" s="5" t="s">
        <v>1721</v>
      </c>
      <c r="I531" s="5" t="s">
        <v>1721</v>
      </c>
      <c r="J531" s="5" t="s">
        <v>1721</v>
      </c>
      <c r="K531" s="5" t="s">
        <v>1721</v>
      </c>
      <c r="L531" s="5" t="s">
        <v>1721</v>
      </c>
      <c r="M531" s="9">
        <v>19</v>
      </c>
      <c r="N531" s="6">
        <f>IFERROR(Table2[[#This Row],[Darbuotojų skaičius]]/M530-1,0)</f>
        <v>-5.0000000000000044E-2</v>
      </c>
      <c r="O531" s="9">
        <v>2688</v>
      </c>
      <c r="P531" s="6">
        <v>4.510108864696738E-2</v>
      </c>
      <c r="Q531" s="9">
        <f>Table2[[#This Row],[Atlyginimo vidurkis]]*Table2[[#This Row],[Darbuotojų skaičius]]*12</f>
        <v>612864</v>
      </c>
      <c r="R531" s="49">
        <f>IFERROR(Table2[[#This Row],[DU sąnaudos]]/Q530-1,0)</f>
        <v>-7.1539657853810779E-3</v>
      </c>
      <c r="S531" s="9">
        <v>7141593</v>
      </c>
      <c r="T531" s="6">
        <v>0.20967882907527649</v>
      </c>
      <c r="U531" s="9">
        <f>IF(Table2[[#This Row],[DU sąnaudos]]=0,0,Table2[[#This Row],[Apyvarta]]-Table2[[#This Row],[DU sąnaudos]]-Table2[[#This Row],[Pelnas]])</f>
        <v>6188641</v>
      </c>
      <c r="V531" s="49">
        <f>IFERROR(Table2[[#This Row],[Ne-atlyginimų sąnaudos]]/U530-1,0)</f>
        <v>0.22703580995207751</v>
      </c>
      <c r="W531" s="9">
        <v>340088</v>
      </c>
      <c r="X531" s="6">
        <v>0.40034587828378498</v>
      </c>
      <c r="Y531" s="8">
        <f>Table2[[#This Row],[DU sąnaudos]]*0.43</f>
        <v>263531.52000000002</v>
      </c>
      <c r="Z531" s="8">
        <f>Table2[[#This Row],[Apyvarta]]-Table2[[#This Row],[Ne-atlyginimų sąnaudos]]+Table2[[#This Row],[Fiks ir pelno mokestis]]</f>
        <v>1216483.52</v>
      </c>
    </row>
    <row r="532" spans="1:26" hidden="1" x14ac:dyDescent="0.2">
      <c r="A532" s="5" t="s">
        <v>262</v>
      </c>
      <c r="B532" s="5" t="s">
        <v>1729</v>
      </c>
      <c r="C532" s="5">
        <v>2022</v>
      </c>
      <c r="D532" s="5" t="s">
        <v>1721</v>
      </c>
      <c r="E532" s="5" t="s">
        <v>1721</v>
      </c>
      <c r="F532" s="5" t="s">
        <v>1721</v>
      </c>
      <c r="G532" s="5" t="s">
        <v>73</v>
      </c>
      <c r="H532" s="5" t="s">
        <v>1721</v>
      </c>
      <c r="I532" s="5" t="s">
        <v>1721</v>
      </c>
      <c r="J532" s="5" t="s">
        <v>1721</v>
      </c>
      <c r="K532" s="5" t="s">
        <v>1721</v>
      </c>
      <c r="L532" s="5" t="s">
        <v>1721</v>
      </c>
      <c r="M532" s="9">
        <v>20</v>
      </c>
      <c r="N532" s="6">
        <f>IFERROR(Table2[[#This Row],[Darbuotojų skaičius]]/M531-1,0)</f>
        <v>5.2631578947368363E-2</v>
      </c>
      <c r="O532" s="9">
        <v>2915</v>
      </c>
      <c r="P532" s="6">
        <v>8.4449404761904656E-2</v>
      </c>
      <c r="Q532" s="9">
        <f>Table2[[#This Row],[Atlyginimo vidurkis]]*Table2[[#This Row],[Darbuotojų skaičius]]*12</f>
        <v>699600</v>
      </c>
      <c r="R532" s="49">
        <f>IFERROR(Table2[[#This Row],[DU sąnaudos]]/Q531-1,0)</f>
        <v>0.14152568922305764</v>
      </c>
      <c r="S532" s="9">
        <v>7598409</v>
      </c>
      <c r="T532" s="6">
        <v>6.3965560624919426E-2</v>
      </c>
      <c r="U532" s="9">
        <f>IF(Table2[[#This Row],[DU sąnaudos]]=0,0,Table2[[#This Row],[Apyvarta]]-Table2[[#This Row],[DU sąnaudos]]-Table2[[#This Row],[Pelnas]])</f>
        <v>6799474</v>
      </c>
      <c r="V532" s="49">
        <f>IFERROR(Table2[[#This Row],[Ne-atlyginimų sąnaudos]]/U531-1,0)</f>
        <v>9.870228374856449E-2</v>
      </c>
      <c r="W532" s="9">
        <v>99335</v>
      </c>
      <c r="X532" s="6">
        <v>-0.7079138340664769</v>
      </c>
      <c r="Y532" s="8">
        <f>Table2[[#This Row],[DU sąnaudos]]*0.43</f>
        <v>300828</v>
      </c>
      <c r="Z532" s="8">
        <f>Table2[[#This Row],[Apyvarta]]-Table2[[#This Row],[Ne-atlyginimų sąnaudos]]+Table2[[#This Row],[Fiks ir pelno mokestis]]</f>
        <v>1099763</v>
      </c>
    </row>
    <row r="533" spans="1:26" hidden="1" x14ac:dyDescent="0.2">
      <c r="A533" s="5" t="s">
        <v>262</v>
      </c>
      <c r="B533" s="5" t="s">
        <v>1729</v>
      </c>
      <c r="C533" s="5">
        <v>2023</v>
      </c>
      <c r="D533" s="5" t="s">
        <v>1721</v>
      </c>
      <c r="E533" s="5" t="s">
        <v>1721</v>
      </c>
      <c r="F533" s="5" t="s">
        <v>1721</v>
      </c>
      <c r="G533" s="5" t="s">
        <v>73</v>
      </c>
      <c r="H533" s="5" t="s">
        <v>1721</v>
      </c>
      <c r="I533" s="5" t="s">
        <v>1721</v>
      </c>
      <c r="J533" s="5" t="s">
        <v>1721</v>
      </c>
      <c r="K533" s="5" t="s">
        <v>1721</v>
      </c>
      <c r="L533" s="5" t="s">
        <v>1721</v>
      </c>
      <c r="M533" s="9">
        <v>20</v>
      </c>
      <c r="N533" s="6">
        <f>IFERROR(Table2[[#This Row],[Darbuotojų skaičius]]/M532-1,0)</f>
        <v>0</v>
      </c>
      <c r="O533" s="9">
        <v>3033</v>
      </c>
      <c r="P533" s="6">
        <v>4.0480274442538537E-2</v>
      </c>
      <c r="Q533" s="9">
        <f>Table2[[#This Row],[Atlyginimo vidurkis]]*Table2[[#This Row],[Darbuotojų skaičius]]*12</f>
        <v>727920</v>
      </c>
      <c r="R533" s="49">
        <f>IFERROR(Table2[[#This Row],[DU sąnaudos]]/Q532-1,0)</f>
        <v>4.0480274442538544E-2</v>
      </c>
      <c r="S533" s="9">
        <v>7543028</v>
      </c>
      <c r="T533" s="6">
        <v>-7.2884994740346487E-3</v>
      </c>
      <c r="U533" s="9">
        <f>IF(Table2[[#This Row],[DU sąnaudos]]=0,0,Table2[[#This Row],[Apyvarta]]-Table2[[#This Row],[DU sąnaudos]]-Table2[[#This Row],[Pelnas]])</f>
        <v>6748356</v>
      </c>
      <c r="V533" s="49">
        <f>IFERROR(Table2[[#This Row],[Ne-atlyginimų sąnaudos]]/U532-1,0)</f>
        <v>-7.5179344755197386E-3</v>
      </c>
      <c r="W533" s="9">
        <v>66752</v>
      </c>
      <c r="X533" s="6">
        <v>-0.32801127497860771</v>
      </c>
      <c r="Y533" s="8">
        <f>Table2[[#This Row],[DU sąnaudos]]*0.43</f>
        <v>313005.59999999998</v>
      </c>
      <c r="Z533" s="8">
        <f>Table2[[#This Row],[Apyvarta]]-Table2[[#This Row],[Ne-atlyginimų sąnaudos]]+Table2[[#This Row],[Fiks ir pelno mokestis]]</f>
        <v>1107677.6000000001</v>
      </c>
    </row>
    <row r="534" spans="1:26" hidden="1" x14ac:dyDescent="0.2">
      <c r="A534" s="5" t="s">
        <v>262</v>
      </c>
      <c r="B534" s="5" t="s">
        <v>1729</v>
      </c>
      <c r="C534" s="5">
        <v>2024</v>
      </c>
      <c r="D534" s="5" t="s">
        <v>1721</v>
      </c>
      <c r="E534" s="5" t="s">
        <v>1721</v>
      </c>
      <c r="F534" s="5" t="s">
        <v>1721</v>
      </c>
      <c r="G534" s="5" t="s">
        <v>73</v>
      </c>
      <c r="H534" s="5" t="s">
        <v>1721</v>
      </c>
      <c r="I534" s="5" t="s">
        <v>1721</v>
      </c>
      <c r="J534" s="5" t="s">
        <v>1721</v>
      </c>
      <c r="K534" s="5" t="s">
        <v>1721</v>
      </c>
      <c r="L534" s="5" t="s">
        <v>1721</v>
      </c>
      <c r="M534" s="9">
        <v>24</v>
      </c>
      <c r="N534" s="6">
        <f>IFERROR(Table2[[#This Row],[Darbuotojų skaičius]]/M533-1,0)</f>
        <v>0.19999999999999996</v>
      </c>
      <c r="O534" s="9">
        <v>2672</v>
      </c>
      <c r="P534" s="6">
        <v>-0.11902406857896471</v>
      </c>
      <c r="Q534" s="9">
        <f>Table2[[#This Row],[Atlyginimo vidurkis]]*Table2[[#This Row],[Darbuotojų skaičius]]*12</f>
        <v>769536</v>
      </c>
      <c r="R534" s="49">
        <f>IFERROR(Table2[[#This Row],[DU sąnaudos]]/Q533-1,0)</f>
        <v>5.7171117705242303E-2</v>
      </c>
      <c r="S534" s="9">
        <v>8271381</v>
      </c>
      <c r="T534" s="6">
        <v>9.6559763532628962E-2</v>
      </c>
      <c r="U534" s="9">
        <f>IF(Table2[[#This Row],[DU sąnaudos]]=0,0,Table2[[#This Row],[Apyvarta]]-Table2[[#This Row],[DU sąnaudos]]-Table2[[#This Row],[Pelnas]])</f>
        <v>7370369</v>
      </c>
      <c r="V534" s="49">
        <f>IFERROR(Table2[[#This Row],[Ne-atlyginimų sąnaudos]]/U533-1,0)</f>
        <v>9.2172523204170131E-2</v>
      </c>
      <c r="W534" s="9">
        <v>131476</v>
      </c>
      <c r="X534" s="6">
        <v>0.96961888782358585</v>
      </c>
      <c r="Y534" s="8">
        <f>Table2[[#This Row],[DU sąnaudos]]*0.43</f>
        <v>330900.47999999998</v>
      </c>
      <c r="Z534" s="8">
        <f>Table2[[#This Row],[Apyvarta]]-Table2[[#This Row],[Ne-atlyginimų sąnaudos]]+Table2[[#This Row],[Fiks ir pelno mokestis]]</f>
        <v>1231912.48</v>
      </c>
    </row>
    <row r="535" spans="1:26" hidden="1" x14ac:dyDescent="0.2">
      <c r="A535" s="5" t="s">
        <v>1649</v>
      </c>
      <c r="B535" t="s">
        <v>1650</v>
      </c>
      <c r="C535">
        <v>2019</v>
      </c>
      <c r="D535" s="5" t="s">
        <v>1721</v>
      </c>
      <c r="E535" s="5" t="s">
        <v>1721</v>
      </c>
      <c r="F535" s="5" t="s">
        <v>1721</v>
      </c>
      <c r="G535" s="5" t="s">
        <v>1721</v>
      </c>
      <c r="H535" s="5" t="s">
        <v>1721</v>
      </c>
      <c r="I535" t="s">
        <v>280</v>
      </c>
      <c r="J535" s="5" t="s">
        <v>1721</v>
      </c>
      <c r="K535" s="5" t="s">
        <v>193</v>
      </c>
      <c r="L535" s="5" t="s">
        <v>1721</v>
      </c>
      <c r="M535" s="9">
        <v>11</v>
      </c>
      <c r="N535" s="6">
        <v>0</v>
      </c>
      <c r="O535" s="9">
        <v>2115</v>
      </c>
      <c r="P535" s="6">
        <v>0</v>
      </c>
      <c r="Q535" s="9">
        <f>Table2[[#This Row],[Atlyginimo vidurkis]]*Table2[[#This Row],[Darbuotojų skaičius]]*12</f>
        <v>279180</v>
      </c>
      <c r="R535" s="49">
        <v>0</v>
      </c>
      <c r="S535" s="9">
        <v>696612</v>
      </c>
      <c r="T535" s="6">
        <v>0</v>
      </c>
      <c r="U535" s="9">
        <f>IF(Table2[[#This Row],[DU sąnaudos]]=0,0,Table2[[#This Row],[Apyvarta]]-Table2[[#This Row],[DU sąnaudos]]-Table2[[#This Row],[Pelnas]])</f>
        <v>298546</v>
      </c>
      <c r="V535" s="49">
        <v>0</v>
      </c>
      <c r="W535" s="9">
        <v>118886</v>
      </c>
      <c r="X535" s="6">
        <v>0</v>
      </c>
      <c r="Y535" s="8">
        <f>Table2[[#This Row],[DU sąnaudos]]*0.43</f>
        <v>120047.4</v>
      </c>
      <c r="Z535" s="8">
        <f>Table2[[#This Row],[Apyvarta]]-Table2[[#This Row],[Ne-atlyginimų sąnaudos]]+Table2[[#This Row],[Fiks ir pelno mokestis]]</f>
        <v>518113.4</v>
      </c>
    </row>
    <row r="536" spans="1:26" hidden="1" x14ac:dyDescent="0.2">
      <c r="A536" s="5" t="s">
        <v>1649</v>
      </c>
      <c r="B536" t="s">
        <v>1650</v>
      </c>
      <c r="C536">
        <v>2020</v>
      </c>
      <c r="D536" s="5" t="s">
        <v>1721</v>
      </c>
      <c r="E536" s="5" t="s">
        <v>1721</v>
      </c>
      <c r="F536" s="5" t="s">
        <v>1721</v>
      </c>
      <c r="G536" s="5" t="s">
        <v>1721</v>
      </c>
      <c r="H536" s="5" t="s">
        <v>1721</v>
      </c>
      <c r="I536" t="s">
        <v>280</v>
      </c>
      <c r="J536" s="5" t="s">
        <v>1721</v>
      </c>
      <c r="K536" s="5" t="s">
        <v>193</v>
      </c>
      <c r="L536" s="5" t="s">
        <v>1721</v>
      </c>
      <c r="M536" s="9">
        <v>11</v>
      </c>
      <c r="N536" s="6">
        <f>IFERROR(Table2[[#This Row],[Darbuotojų skaičius]]/M535-1,0)</f>
        <v>0</v>
      </c>
      <c r="O536" s="9">
        <v>1562</v>
      </c>
      <c r="P536" s="6">
        <v>-0.26</v>
      </c>
      <c r="Q536" s="9">
        <f>Table2[[#This Row],[Atlyginimo vidurkis]]*Table2[[#This Row],[Darbuotojų skaičius]]*12</f>
        <v>206184</v>
      </c>
      <c r="R536" s="49">
        <f>IFERROR(Table2[[#This Row],[DU sąnaudos]]/Q535-1,0)</f>
        <v>-0.26146572104018917</v>
      </c>
      <c r="S536" s="9">
        <v>883128</v>
      </c>
      <c r="T536" s="6">
        <v>0.27</v>
      </c>
      <c r="U536" s="9">
        <f>IF(Table2[[#This Row],[DU sąnaudos]]=0,0,Table2[[#This Row],[Apyvarta]]-Table2[[#This Row],[DU sąnaudos]]-Table2[[#This Row],[Pelnas]])</f>
        <v>523145</v>
      </c>
      <c r="V536" s="49">
        <f>IFERROR(Table2[[#This Row],[Ne-atlyginimų sąnaudos]]/U535-1,0)</f>
        <v>0.75230952684008501</v>
      </c>
      <c r="W536" s="9">
        <v>153799</v>
      </c>
      <c r="X536" s="6">
        <v>0.28999999999999998</v>
      </c>
      <c r="Y536" s="8">
        <f>Table2[[#This Row],[DU sąnaudos]]*0.43</f>
        <v>88659.12</v>
      </c>
      <c r="Z536" s="8">
        <f>Table2[[#This Row],[Apyvarta]]-Table2[[#This Row],[Ne-atlyginimų sąnaudos]]+Table2[[#This Row],[Fiks ir pelno mokestis]]</f>
        <v>448642.12</v>
      </c>
    </row>
    <row r="537" spans="1:26" hidden="1" x14ac:dyDescent="0.2">
      <c r="A537" s="5" t="s">
        <v>1649</v>
      </c>
      <c r="B537" t="s">
        <v>1650</v>
      </c>
      <c r="C537">
        <v>2021</v>
      </c>
      <c r="D537" s="5" t="s">
        <v>1721</v>
      </c>
      <c r="E537" s="5" t="s">
        <v>1721</v>
      </c>
      <c r="F537" s="5" t="s">
        <v>1721</v>
      </c>
      <c r="G537" s="5" t="s">
        <v>1721</v>
      </c>
      <c r="H537" s="5" t="s">
        <v>1721</v>
      </c>
      <c r="I537" t="s">
        <v>280</v>
      </c>
      <c r="J537" s="5" t="s">
        <v>1721</v>
      </c>
      <c r="K537" s="5" t="s">
        <v>193</v>
      </c>
      <c r="L537" s="5" t="s">
        <v>1721</v>
      </c>
      <c r="M537" s="9">
        <v>14</v>
      </c>
      <c r="N537" s="6">
        <f>IFERROR(Table2[[#This Row],[Darbuotojų skaičius]]/M536-1,0)</f>
        <v>0.27272727272727271</v>
      </c>
      <c r="O537" s="9">
        <v>2120</v>
      </c>
      <c r="P537" s="6">
        <v>0.36</v>
      </c>
      <c r="Q537" s="9">
        <f>Table2[[#This Row],[Atlyginimo vidurkis]]*Table2[[#This Row],[Darbuotojų skaičius]]*12</f>
        <v>356160</v>
      </c>
      <c r="R537" s="49">
        <f>IFERROR(Table2[[#This Row],[DU sąnaudos]]/Q536-1,0)</f>
        <v>0.72738912815737389</v>
      </c>
      <c r="S537" s="9">
        <v>2308986</v>
      </c>
      <c r="T537" s="6">
        <v>1.61</v>
      </c>
      <c r="U537" s="9">
        <f>IF(Table2[[#This Row],[DU sąnaudos]]=0,0,Table2[[#This Row],[Apyvarta]]-Table2[[#This Row],[DU sąnaudos]]-Table2[[#This Row],[Pelnas]])</f>
        <v>1800484</v>
      </c>
      <c r="V537" s="49">
        <f>IFERROR(Table2[[#This Row],[Ne-atlyginimų sąnaudos]]/U536-1,0)</f>
        <v>2.4416538435806516</v>
      </c>
      <c r="W537" s="9">
        <v>152342</v>
      </c>
      <c r="X537" s="6">
        <v>-0.01</v>
      </c>
      <c r="Y537" s="8">
        <f>Table2[[#This Row],[DU sąnaudos]]*0.43</f>
        <v>153148.79999999999</v>
      </c>
      <c r="Z537" s="8">
        <f>Table2[[#This Row],[Apyvarta]]-Table2[[#This Row],[Ne-atlyginimų sąnaudos]]+Table2[[#This Row],[Fiks ir pelno mokestis]]</f>
        <v>661650.80000000005</v>
      </c>
    </row>
    <row r="538" spans="1:26" hidden="1" x14ac:dyDescent="0.2">
      <c r="A538" s="5" t="s">
        <v>1649</v>
      </c>
      <c r="B538" t="s">
        <v>1650</v>
      </c>
      <c r="C538">
        <v>2022</v>
      </c>
      <c r="D538" s="5" t="s">
        <v>1721</v>
      </c>
      <c r="E538" s="5" t="s">
        <v>1721</v>
      </c>
      <c r="F538" s="5" t="s">
        <v>1721</v>
      </c>
      <c r="G538" s="5" t="s">
        <v>1721</v>
      </c>
      <c r="H538" s="5" t="s">
        <v>1721</v>
      </c>
      <c r="I538" t="s">
        <v>280</v>
      </c>
      <c r="J538" s="5" t="s">
        <v>1721</v>
      </c>
      <c r="K538" s="5" t="s">
        <v>193</v>
      </c>
      <c r="L538" s="5" t="s">
        <v>1721</v>
      </c>
      <c r="M538" s="9">
        <v>16</v>
      </c>
      <c r="N538" s="6">
        <f>IFERROR(Table2[[#This Row],[Darbuotojų skaičius]]/M537-1,0)</f>
        <v>0.14285714285714279</v>
      </c>
      <c r="O538" s="9">
        <v>2689</v>
      </c>
      <c r="P538" s="6">
        <v>0.27</v>
      </c>
      <c r="Q538" s="9">
        <f>Table2[[#This Row],[Atlyginimo vidurkis]]*Table2[[#This Row],[Darbuotojų skaičius]]*12</f>
        <v>516288</v>
      </c>
      <c r="R538" s="49">
        <f>IFERROR(Table2[[#This Row],[DU sąnaudos]]/Q537-1,0)</f>
        <v>0.44959568733153632</v>
      </c>
      <c r="S538" s="9">
        <v>3091351</v>
      </c>
      <c r="T538" s="6">
        <v>0.34</v>
      </c>
      <c r="U538" s="9">
        <f>IF(Table2[[#This Row],[DU sąnaudos]]=0,0,Table2[[#This Row],[Apyvarta]]-Table2[[#This Row],[DU sąnaudos]]-Table2[[#This Row],[Pelnas]])</f>
        <v>2404840</v>
      </c>
      <c r="V538" s="49">
        <f>IFERROR(Table2[[#This Row],[Ne-atlyginimų sąnaudos]]/U537-1,0)</f>
        <v>0.33566307726144751</v>
      </c>
      <c r="W538" s="9">
        <v>170223</v>
      </c>
      <c r="X538" s="6">
        <v>0.12</v>
      </c>
      <c r="Y538" s="8">
        <f>Table2[[#This Row],[DU sąnaudos]]*0.43</f>
        <v>222003.84</v>
      </c>
      <c r="Z538" s="8">
        <f>Table2[[#This Row],[Apyvarta]]-Table2[[#This Row],[Ne-atlyginimų sąnaudos]]+Table2[[#This Row],[Fiks ir pelno mokestis]]</f>
        <v>908514.84</v>
      </c>
    </row>
    <row r="539" spans="1:26" hidden="1" x14ac:dyDescent="0.2">
      <c r="A539" s="5" t="s">
        <v>1649</v>
      </c>
      <c r="B539" t="s">
        <v>1650</v>
      </c>
      <c r="C539">
        <v>2023</v>
      </c>
      <c r="D539" s="5" t="s">
        <v>1721</v>
      </c>
      <c r="E539" s="5" t="s">
        <v>1721</v>
      </c>
      <c r="F539" s="5" t="s">
        <v>1721</v>
      </c>
      <c r="G539" s="5" t="s">
        <v>1721</v>
      </c>
      <c r="H539" s="5" t="s">
        <v>1721</v>
      </c>
      <c r="I539" t="s">
        <v>280</v>
      </c>
      <c r="J539" s="5" t="s">
        <v>1721</v>
      </c>
      <c r="K539" s="5" t="s">
        <v>193</v>
      </c>
      <c r="L539" s="5" t="s">
        <v>1721</v>
      </c>
      <c r="M539" s="9">
        <v>17</v>
      </c>
      <c r="N539" s="6">
        <f>IFERROR(Table2[[#This Row],[Darbuotojų skaičius]]/M538-1,0)</f>
        <v>6.25E-2</v>
      </c>
      <c r="O539" s="9">
        <v>2813</v>
      </c>
      <c r="P539" s="6">
        <v>0.05</v>
      </c>
      <c r="Q539" s="9">
        <f>Table2[[#This Row],[Atlyginimo vidurkis]]*Table2[[#This Row],[Darbuotojų skaičius]]*12</f>
        <v>573852</v>
      </c>
      <c r="R539" s="49">
        <f>IFERROR(Table2[[#This Row],[DU sąnaudos]]/Q538-1,0)</f>
        <v>0.1114959092599479</v>
      </c>
      <c r="S539" s="9">
        <v>3630118</v>
      </c>
      <c r="T539" s="6">
        <v>0.17</v>
      </c>
      <c r="U539" s="9">
        <f>IF(Table2[[#This Row],[DU sąnaudos]]=0,0,Table2[[#This Row],[Apyvarta]]-Table2[[#This Row],[DU sąnaudos]]-Table2[[#This Row],[Pelnas]])</f>
        <v>2871010</v>
      </c>
      <c r="V539" s="49">
        <f>IFERROR(Table2[[#This Row],[Ne-atlyginimų sąnaudos]]/U538-1,0)</f>
        <v>0.19384657607158906</v>
      </c>
      <c r="W539" s="9">
        <v>185256</v>
      </c>
      <c r="X539" s="6">
        <v>0.09</v>
      </c>
      <c r="Y539" s="8">
        <f>Table2[[#This Row],[DU sąnaudos]]*0.43</f>
        <v>246756.36</v>
      </c>
      <c r="Z539" s="8">
        <f>Table2[[#This Row],[Apyvarta]]-Table2[[#This Row],[Ne-atlyginimų sąnaudos]]+Table2[[#This Row],[Fiks ir pelno mokestis]]</f>
        <v>1005864.36</v>
      </c>
    </row>
    <row r="540" spans="1:26" hidden="1" x14ac:dyDescent="0.2">
      <c r="A540" s="5" t="s">
        <v>1649</v>
      </c>
      <c r="B540" t="s">
        <v>1650</v>
      </c>
      <c r="C540">
        <v>2024</v>
      </c>
      <c r="D540" s="5" t="s">
        <v>1721</v>
      </c>
      <c r="E540" s="5" t="s">
        <v>1721</v>
      </c>
      <c r="F540" s="5" t="s">
        <v>1721</v>
      </c>
      <c r="G540" s="5" t="s">
        <v>1721</v>
      </c>
      <c r="H540" s="5" t="s">
        <v>1721</v>
      </c>
      <c r="I540" t="s">
        <v>280</v>
      </c>
      <c r="J540" s="5" t="s">
        <v>1721</v>
      </c>
      <c r="K540" s="5" t="s">
        <v>193</v>
      </c>
      <c r="L540" s="5" t="s">
        <v>1721</v>
      </c>
      <c r="M540" s="9">
        <v>15</v>
      </c>
      <c r="N540" s="6">
        <f>IFERROR(Table2[[#This Row],[Darbuotojų skaičius]]/M539-1,0)</f>
        <v>-0.11764705882352944</v>
      </c>
      <c r="O540" s="9">
        <v>2848</v>
      </c>
      <c r="P540" s="6">
        <v>0.01</v>
      </c>
      <c r="Q540" s="9">
        <f>Table2[[#This Row],[Atlyginimo vidurkis]]*Table2[[#This Row],[Darbuotojų skaičius]]*12</f>
        <v>512640</v>
      </c>
      <c r="R540" s="49">
        <f>IFERROR(Table2[[#This Row],[DU sąnaudos]]/Q539-1,0)</f>
        <v>-0.10666861838941055</v>
      </c>
      <c r="S540" s="9">
        <v>3855674</v>
      </c>
      <c r="T540" s="6">
        <v>0.06</v>
      </c>
      <c r="U540" s="9">
        <f>IF(Table2[[#This Row],[DU sąnaudos]]=0,0,Table2[[#This Row],[Apyvarta]]-Table2[[#This Row],[DU sąnaudos]]-Table2[[#This Row],[Pelnas]])</f>
        <v>3161705</v>
      </c>
      <c r="V540" s="49">
        <f>IFERROR(Table2[[#This Row],[Ne-atlyginimų sąnaudos]]/U539-1,0)</f>
        <v>0.10125182427090129</v>
      </c>
      <c r="W540" s="9">
        <v>181329</v>
      </c>
      <c r="X540" s="6">
        <v>-0.02</v>
      </c>
      <c r="Y540" s="8">
        <f>Table2[[#This Row],[DU sąnaudos]]*0.43</f>
        <v>220435.19999999998</v>
      </c>
      <c r="Z540" s="8">
        <f>Table2[[#This Row],[Apyvarta]]-Table2[[#This Row],[Ne-atlyginimų sąnaudos]]+Table2[[#This Row],[Fiks ir pelno mokestis]]</f>
        <v>914404.2</v>
      </c>
    </row>
    <row r="541" spans="1:26" hidden="1" x14ac:dyDescent="0.2">
      <c r="A541" s="5" t="s">
        <v>1651</v>
      </c>
      <c r="B541" t="s">
        <v>1652</v>
      </c>
      <c r="C541">
        <v>2019</v>
      </c>
      <c r="D541" s="5" t="s">
        <v>1721</v>
      </c>
      <c r="E541" s="5" t="s">
        <v>1721</v>
      </c>
      <c r="F541" s="5" t="s">
        <v>1721</v>
      </c>
      <c r="G541" s="5" t="s">
        <v>1721</v>
      </c>
      <c r="H541" s="5" t="s">
        <v>1724</v>
      </c>
      <c r="I541" s="5" t="s">
        <v>1721</v>
      </c>
      <c r="J541" s="5" t="s">
        <v>1721</v>
      </c>
      <c r="K541" s="5" t="s">
        <v>1721</v>
      </c>
      <c r="L541" s="5" t="s">
        <v>1721</v>
      </c>
      <c r="M541" s="9">
        <v>2</v>
      </c>
      <c r="N541" s="6">
        <v>0</v>
      </c>
      <c r="O541" s="9">
        <v>0</v>
      </c>
      <c r="P541" s="6">
        <v>0</v>
      </c>
      <c r="Q541" s="9">
        <f>Table2[[#This Row],[Atlyginimo vidurkis]]*Table2[[#This Row],[Darbuotojų skaičius]]*12</f>
        <v>0</v>
      </c>
      <c r="R541" s="49">
        <v>0</v>
      </c>
      <c r="S541" s="9">
        <v>1171259</v>
      </c>
      <c r="T541" s="6">
        <v>0</v>
      </c>
      <c r="U541" s="9">
        <f>IF(Table2[[#This Row],[DU sąnaudos]]=0,0,Table2[[#This Row],[Apyvarta]]-Table2[[#This Row],[DU sąnaudos]]-Table2[[#This Row],[Pelnas]])</f>
        <v>0</v>
      </c>
      <c r="V541" s="49">
        <v>0</v>
      </c>
      <c r="W541" s="9">
        <v>93664</v>
      </c>
      <c r="X541" s="6">
        <v>0</v>
      </c>
      <c r="Y541" s="8">
        <f>Table2[[#This Row],[DU sąnaudos]]*0.43</f>
        <v>0</v>
      </c>
      <c r="Z541" s="8">
        <f>Table2[[#This Row],[Apyvarta]]-Table2[[#This Row],[Ne-atlyginimų sąnaudos]]+Table2[[#This Row],[Fiks ir pelno mokestis]]</f>
        <v>1171259</v>
      </c>
    </row>
    <row r="542" spans="1:26" hidden="1" x14ac:dyDescent="0.2">
      <c r="A542" s="5" t="s">
        <v>1651</v>
      </c>
      <c r="B542" t="s">
        <v>1652</v>
      </c>
      <c r="C542">
        <v>2020</v>
      </c>
      <c r="D542" s="5" t="s">
        <v>1721</v>
      </c>
      <c r="E542" s="5" t="s">
        <v>1721</v>
      </c>
      <c r="F542" s="5" t="s">
        <v>1721</v>
      </c>
      <c r="G542" s="5" t="s">
        <v>1721</v>
      </c>
      <c r="H542" s="5" t="s">
        <v>1724</v>
      </c>
      <c r="I542" s="5" t="s">
        <v>1721</v>
      </c>
      <c r="J542" s="5" t="s">
        <v>1721</v>
      </c>
      <c r="K542" s="5" t="s">
        <v>1721</v>
      </c>
      <c r="L542" s="5" t="s">
        <v>1721</v>
      </c>
      <c r="M542" s="9">
        <v>2</v>
      </c>
      <c r="N542" s="6">
        <f>IFERROR(Table2[[#This Row],[Darbuotojų skaičius]]/M541-1,0)</f>
        <v>0</v>
      </c>
      <c r="O542" s="9">
        <v>0</v>
      </c>
      <c r="P542" s="6">
        <v>0</v>
      </c>
      <c r="Q542" s="9">
        <f>Table2[[#This Row],[Atlyginimo vidurkis]]*Table2[[#This Row],[Darbuotojų skaičius]]*12</f>
        <v>0</v>
      </c>
      <c r="R542" s="49">
        <f>IFERROR(Table2[[#This Row],[DU sąnaudos]]/Q541-1,0)</f>
        <v>0</v>
      </c>
      <c r="S542" s="9">
        <v>607912</v>
      </c>
      <c r="T542" s="6">
        <v>-0.48</v>
      </c>
      <c r="U542" s="9">
        <f>IF(Table2[[#This Row],[DU sąnaudos]]=0,0,Table2[[#This Row],[Apyvarta]]-Table2[[#This Row],[DU sąnaudos]]-Table2[[#This Row],[Pelnas]])</f>
        <v>0</v>
      </c>
      <c r="V542" s="49">
        <f>IFERROR(Table2[[#This Row],[Ne-atlyginimų sąnaudos]]/U541-1,0)</f>
        <v>0</v>
      </c>
      <c r="W542" s="9">
        <v>-2056</v>
      </c>
      <c r="X542" s="6">
        <v>-1.02</v>
      </c>
      <c r="Y542" s="8">
        <f>Table2[[#This Row],[DU sąnaudos]]*0.43</f>
        <v>0</v>
      </c>
      <c r="Z542" s="8">
        <f>Table2[[#This Row],[Apyvarta]]-Table2[[#This Row],[Ne-atlyginimų sąnaudos]]+Table2[[#This Row],[Fiks ir pelno mokestis]]</f>
        <v>607912</v>
      </c>
    </row>
    <row r="543" spans="1:26" hidden="1" x14ac:dyDescent="0.2">
      <c r="A543" s="5" t="s">
        <v>1651</v>
      </c>
      <c r="B543" t="s">
        <v>1652</v>
      </c>
      <c r="C543">
        <v>2021</v>
      </c>
      <c r="D543" s="5" t="s">
        <v>1721</v>
      </c>
      <c r="E543" s="5" t="s">
        <v>1721</v>
      </c>
      <c r="F543" s="5" t="s">
        <v>1721</v>
      </c>
      <c r="G543" s="5" t="s">
        <v>1721</v>
      </c>
      <c r="H543" s="5" t="s">
        <v>1724</v>
      </c>
      <c r="I543" s="5" t="s">
        <v>1721</v>
      </c>
      <c r="J543" s="5" t="s">
        <v>1721</v>
      </c>
      <c r="K543" s="5" t="s">
        <v>1721</v>
      </c>
      <c r="L543" s="5" t="s">
        <v>1721</v>
      </c>
      <c r="M543" s="9">
        <v>2</v>
      </c>
      <c r="N543" s="6">
        <f>IFERROR(Table2[[#This Row],[Darbuotojų skaičius]]/M542-1,0)</f>
        <v>0</v>
      </c>
      <c r="O543" s="9">
        <v>0</v>
      </c>
      <c r="P543" s="6">
        <v>0</v>
      </c>
      <c r="Q543" s="9">
        <f>Table2[[#This Row],[Atlyginimo vidurkis]]*Table2[[#This Row],[Darbuotojų skaičius]]*12</f>
        <v>0</v>
      </c>
      <c r="R543" s="49">
        <f>IFERROR(Table2[[#This Row],[DU sąnaudos]]/Q542-1,0)</f>
        <v>0</v>
      </c>
      <c r="S543" s="9">
        <v>882594</v>
      </c>
      <c r="T543" s="6">
        <v>0.45</v>
      </c>
      <c r="U543" s="9">
        <f>IF(Table2[[#This Row],[DU sąnaudos]]=0,0,Table2[[#This Row],[Apyvarta]]-Table2[[#This Row],[DU sąnaudos]]-Table2[[#This Row],[Pelnas]])</f>
        <v>0</v>
      </c>
      <c r="V543" s="49">
        <f>IFERROR(Table2[[#This Row],[Ne-atlyginimų sąnaudos]]/U542-1,0)</f>
        <v>0</v>
      </c>
      <c r="W543" s="9">
        <v>38215</v>
      </c>
      <c r="X543" s="6">
        <v>19.59</v>
      </c>
      <c r="Y543" s="8">
        <f>Table2[[#This Row],[DU sąnaudos]]*0.43</f>
        <v>0</v>
      </c>
      <c r="Z543" s="8">
        <f>Table2[[#This Row],[Apyvarta]]-Table2[[#This Row],[Ne-atlyginimų sąnaudos]]+Table2[[#This Row],[Fiks ir pelno mokestis]]</f>
        <v>882594</v>
      </c>
    </row>
    <row r="544" spans="1:26" hidden="1" x14ac:dyDescent="0.2">
      <c r="A544" s="5" t="s">
        <v>1651</v>
      </c>
      <c r="B544" t="s">
        <v>1652</v>
      </c>
      <c r="C544">
        <v>2022</v>
      </c>
      <c r="D544" s="5" t="s">
        <v>1721</v>
      </c>
      <c r="E544" s="5" t="s">
        <v>1721</v>
      </c>
      <c r="F544" s="5" t="s">
        <v>1721</v>
      </c>
      <c r="G544" s="5" t="s">
        <v>1721</v>
      </c>
      <c r="H544" s="5" t="s">
        <v>1724</v>
      </c>
      <c r="I544" s="5" t="s">
        <v>1721</v>
      </c>
      <c r="J544" s="5" t="s">
        <v>1721</v>
      </c>
      <c r="K544" s="5" t="s">
        <v>1721</v>
      </c>
      <c r="L544" s="5" t="s">
        <v>1721</v>
      </c>
      <c r="M544" s="9">
        <v>1</v>
      </c>
      <c r="N544" s="6">
        <f>IFERROR(Table2[[#This Row],[Darbuotojų skaičius]]/M543-1,0)</f>
        <v>-0.5</v>
      </c>
      <c r="O544" s="9">
        <v>0</v>
      </c>
      <c r="P544" s="6">
        <v>0</v>
      </c>
      <c r="Q544" s="9">
        <f>Table2[[#This Row],[Atlyginimo vidurkis]]*Table2[[#This Row],[Darbuotojų skaičius]]*12</f>
        <v>0</v>
      </c>
      <c r="R544" s="49">
        <f>IFERROR(Table2[[#This Row],[DU sąnaudos]]/Q543-1,0)</f>
        <v>0</v>
      </c>
      <c r="S544" s="9">
        <v>1040136</v>
      </c>
      <c r="T544" s="6">
        <v>0.18</v>
      </c>
      <c r="U544" s="9">
        <f>IF(Table2[[#This Row],[DU sąnaudos]]=0,0,Table2[[#This Row],[Apyvarta]]-Table2[[#This Row],[DU sąnaudos]]-Table2[[#This Row],[Pelnas]])</f>
        <v>0</v>
      </c>
      <c r="V544" s="49">
        <f>IFERROR(Table2[[#This Row],[Ne-atlyginimų sąnaudos]]/U543-1,0)</f>
        <v>0</v>
      </c>
      <c r="W544" s="9">
        <v>40347</v>
      </c>
      <c r="X544" s="6">
        <v>0.06</v>
      </c>
      <c r="Y544" s="8">
        <f>Table2[[#This Row],[DU sąnaudos]]*0.43</f>
        <v>0</v>
      </c>
      <c r="Z544" s="8">
        <f>Table2[[#This Row],[Apyvarta]]-Table2[[#This Row],[Ne-atlyginimų sąnaudos]]+Table2[[#This Row],[Fiks ir pelno mokestis]]</f>
        <v>1040136</v>
      </c>
    </row>
    <row r="545" spans="1:26" hidden="1" x14ac:dyDescent="0.2">
      <c r="A545" s="5" t="s">
        <v>1651</v>
      </c>
      <c r="B545" t="s">
        <v>1652</v>
      </c>
      <c r="C545">
        <v>2023</v>
      </c>
      <c r="D545" s="5" t="s">
        <v>1721</v>
      </c>
      <c r="E545" s="5" t="s">
        <v>1721</v>
      </c>
      <c r="F545" s="5" t="s">
        <v>1721</v>
      </c>
      <c r="G545" s="5" t="s">
        <v>1721</v>
      </c>
      <c r="H545" s="5" t="s">
        <v>1724</v>
      </c>
      <c r="I545" s="5" t="s">
        <v>1721</v>
      </c>
      <c r="J545" s="5" t="s">
        <v>1721</v>
      </c>
      <c r="K545" s="5" t="s">
        <v>1721</v>
      </c>
      <c r="L545" s="5" t="s">
        <v>1721</v>
      </c>
      <c r="M545" s="9">
        <v>1</v>
      </c>
      <c r="N545" s="6">
        <f>IFERROR(Table2[[#This Row],[Darbuotojų skaičius]]/M544-1,0)</f>
        <v>0</v>
      </c>
      <c r="O545" s="9">
        <v>0</v>
      </c>
      <c r="P545" s="6">
        <v>0</v>
      </c>
      <c r="Q545" s="9">
        <f>Table2[[#This Row],[Atlyginimo vidurkis]]*Table2[[#This Row],[Darbuotojų skaičius]]*12</f>
        <v>0</v>
      </c>
      <c r="R545" s="49">
        <f>IFERROR(Table2[[#This Row],[DU sąnaudos]]/Q544-1,0)</f>
        <v>0</v>
      </c>
      <c r="S545" s="9">
        <v>1946579</v>
      </c>
      <c r="T545" s="6">
        <v>0.87</v>
      </c>
      <c r="U545" s="9">
        <f>IF(Table2[[#This Row],[DU sąnaudos]]=0,0,Table2[[#This Row],[Apyvarta]]-Table2[[#This Row],[DU sąnaudos]]-Table2[[#This Row],[Pelnas]])</f>
        <v>0</v>
      </c>
      <c r="V545" s="49">
        <f>IFERROR(Table2[[#This Row],[Ne-atlyginimų sąnaudos]]/U544-1,0)</f>
        <v>0</v>
      </c>
      <c r="W545" s="9">
        <v>187358</v>
      </c>
      <c r="X545" s="6">
        <v>3.64</v>
      </c>
      <c r="Y545" s="8">
        <f>Table2[[#This Row],[DU sąnaudos]]*0.43</f>
        <v>0</v>
      </c>
      <c r="Z545" s="8">
        <f>Table2[[#This Row],[Apyvarta]]-Table2[[#This Row],[Ne-atlyginimų sąnaudos]]+Table2[[#This Row],[Fiks ir pelno mokestis]]</f>
        <v>1946579</v>
      </c>
    </row>
    <row r="546" spans="1:26" hidden="1" x14ac:dyDescent="0.2">
      <c r="A546" s="5" t="s">
        <v>1651</v>
      </c>
      <c r="B546" t="s">
        <v>1652</v>
      </c>
      <c r="C546">
        <v>2024</v>
      </c>
      <c r="D546" s="5" t="s">
        <v>1721</v>
      </c>
      <c r="E546" s="5" t="s">
        <v>1721</v>
      </c>
      <c r="F546" s="5" t="s">
        <v>1721</v>
      </c>
      <c r="G546" s="5" t="s">
        <v>1721</v>
      </c>
      <c r="H546" s="5" t="s">
        <v>1724</v>
      </c>
      <c r="I546" s="5" t="s">
        <v>1721</v>
      </c>
      <c r="J546" s="5" t="s">
        <v>1721</v>
      </c>
      <c r="K546" s="5" t="s">
        <v>1721</v>
      </c>
      <c r="L546" s="5" t="s">
        <v>1721</v>
      </c>
      <c r="M546" s="9">
        <v>2</v>
      </c>
      <c r="N546" s="6">
        <f>IFERROR(Table2[[#This Row],[Darbuotojų skaičius]]/M545-1,0)</f>
        <v>1</v>
      </c>
      <c r="O546" s="9">
        <v>0</v>
      </c>
      <c r="P546" s="6">
        <v>0</v>
      </c>
      <c r="Q546" s="9">
        <f>Table2[[#This Row],[Atlyginimo vidurkis]]*Table2[[#This Row],[Darbuotojų skaičius]]*12</f>
        <v>0</v>
      </c>
      <c r="R546" s="49">
        <f>IFERROR(Table2[[#This Row],[DU sąnaudos]]/Q545-1,0)</f>
        <v>0</v>
      </c>
      <c r="S546" s="9">
        <v>1713642</v>
      </c>
      <c r="T546" s="6">
        <v>-0.12</v>
      </c>
      <c r="U546" s="9">
        <f>IF(Table2[[#This Row],[DU sąnaudos]]=0,0,Table2[[#This Row],[Apyvarta]]-Table2[[#This Row],[DU sąnaudos]]-Table2[[#This Row],[Pelnas]])</f>
        <v>0</v>
      </c>
      <c r="V546" s="49">
        <f>IFERROR(Table2[[#This Row],[Ne-atlyginimų sąnaudos]]/U545-1,0)</f>
        <v>0</v>
      </c>
      <c r="W546" s="9">
        <v>58387</v>
      </c>
      <c r="X546" s="6">
        <v>-0.69</v>
      </c>
      <c r="Y546" s="8">
        <f>Table2[[#This Row],[DU sąnaudos]]*0.43</f>
        <v>0</v>
      </c>
      <c r="Z546" s="8">
        <f>Table2[[#This Row],[Apyvarta]]-Table2[[#This Row],[Ne-atlyginimų sąnaudos]]+Table2[[#This Row],[Fiks ir pelno mokestis]]</f>
        <v>1713642</v>
      </c>
    </row>
    <row r="547" spans="1:26" hidden="1" x14ac:dyDescent="0.2">
      <c r="A547" s="5" t="s">
        <v>1730</v>
      </c>
      <c r="B547" s="5" t="s">
        <v>1653</v>
      </c>
      <c r="C547" s="5">
        <v>2019</v>
      </c>
      <c r="D547" s="5" t="s">
        <v>1721</v>
      </c>
      <c r="E547" s="5" t="s">
        <v>1721</v>
      </c>
      <c r="F547" s="5" t="s">
        <v>1721</v>
      </c>
      <c r="G547" s="5" t="s">
        <v>1721</v>
      </c>
      <c r="H547" s="5" t="s">
        <v>1721</v>
      </c>
      <c r="I547" s="5" t="s">
        <v>1721</v>
      </c>
      <c r="J547" s="5" t="s">
        <v>1721</v>
      </c>
      <c r="K547" s="5" t="s">
        <v>1721</v>
      </c>
      <c r="L547" s="5" t="s">
        <v>301</v>
      </c>
      <c r="M547" s="9">
        <v>0</v>
      </c>
      <c r="N547" s="6">
        <v>0</v>
      </c>
      <c r="O547" s="9">
        <v>0</v>
      </c>
      <c r="P547" s="6">
        <v>0</v>
      </c>
      <c r="Q547" s="9">
        <f>Table2[[#This Row],[Atlyginimo vidurkis]]*Table2[[#This Row],[Darbuotojų skaičius]]*12</f>
        <v>0</v>
      </c>
      <c r="R547" s="49">
        <v>0</v>
      </c>
      <c r="S547" s="9">
        <v>0</v>
      </c>
      <c r="T547" s="6">
        <v>0</v>
      </c>
      <c r="U547" s="9">
        <f>IF(Table2[[#This Row],[DU sąnaudos]]=0,0,Table2[[#This Row],[Apyvarta]]-Table2[[#This Row],[DU sąnaudos]]-Table2[[#This Row],[Pelnas]])</f>
        <v>0</v>
      </c>
      <c r="V547" s="49">
        <v>0</v>
      </c>
      <c r="W547" s="9">
        <v>0</v>
      </c>
      <c r="X547" s="6">
        <v>0</v>
      </c>
      <c r="Y547" s="8">
        <f>Table2[[#This Row],[DU sąnaudos]]*0.43</f>
        <v>0</v>
      </c>
      <c r="Z547" s="8">
        <f>Table2[[#This Row],[Apyvarta]]-Table2[[#This Row],[Ne-atlyginimų sąnaudos]]+Table2[[#This Row],[Fiks ir pelno mokestis]]</f>
        <v>0</v>
      </c>
    </row>
    <row r="548" spans="1:26" hidden="1" x14ac:dyDescent="0.2">
      <c r="A548" s="5" t="s">
        <v>1730</v>
      </c>
      <c r="B548" s="5" t="s">
        <v>1653</v>
      </c>
      <c r="C548" s="5">
        <v>2020</v>
      </c>
      <c r="D548" s="5" t="s">
        <v>1721</v>
      </c>
      <c r="E548" s="5" t="s">
        <v>1721</v>
      </c>
      <c r="F548" s="5" t="s">
        <v>1721</v>
      </c>
      <c r="G548" s="5" t="s">
        <v>1721</v>
      </c>
      <c r="H548" s="5" t="s">
        <v>1721</v>
      </c>
      <c r="I548" s="5" t="s">
        <v>1721</v>
      </c>
      <c r="J548" s="5" t="s">
        <v>1721</v>
      </c>
      <c r="K548" s="5" t="s">
        <v>1721</v>
      </c>
      <c r="L548" s="5" t="s">
        <v>301</v>
      </c>
      <c r="M548" s="9">
        <v>0</v>
      </c>
      <c r="N548" s="6">
        <f>IFERROR(Table2[[#This Row],[Darbuotojų skaičius]]/M547-1,0)</f>
        <v>0</v>
      </c>
      <c r="O548" s="9">
        <v>0</v>
      </c>
      <c r="P548" s="6">
        <v>0</v>
      </c>
      <c r="Q548" s="9">
        <f>Table2[[#This Row],[Atlyginimo vidurkis]]*Table2[[#This Row],[Darbuotojų skaičius]]*12</f>
        <v>0</v>
      </c>
      <c r="R548" s="49">
        <f>IFERROR(Table2[[#This Row],[DU sąnaudos]]/Q547-1,0)</f>
        <v>0</v>
      </c>
      <c r="S548" s="9">
        <v>466610</v>
      </c>
      <c r="T548" s="6">
        <v>0</v>
      </c>
      <c r="U548" s="9">
        <f>IF(Table2[[#This Row],[DU sąnaudos]]=0,0,Table2[[#This Row],[Apyvarta]]-Table2[[#This Row],[DU sąnaudos]]-Table2[[#This Row],[Pelnas]])</f>
        <v>0</v>
      </c>
      <c r="V548" s="49">
        <f>IFERROR(Table2[[#This Row],[Ne-atlyginimų sąnaudos]]/U547-1,0)</f>
        <v>0</v>
      </c>
      <c r="W548" s="9">
        <v>246874</v>
      </c>
      <c r="X548" s="6">
        <v>0</v>
      </c>
      <c r="Y548" s="8">
        <f>Table2[[#This Row],[DU sąnaudos]]*0.43</f>
        <v>0</v>
      </c>
      <c r="Z548" s="8">
        <f>Table2[[#This Row],[Apyvarta]]-Table2[[#This Row],[Ne-atlyginimų sąnaudos]]+Table2[[#This Row],[Fiks ir pelno mokestis]]</f>
        <v>466610</v>
      </c>
    </row>
    <row r="549" spans="1:26" hidden="1" x14ac:dyDescent="0.2">
      <c r="A549" s="5" t="s">
        <v>1730</v>
      </c>
      <c r="B549" s="5" t="s">
        <v>1653</v>
      </c>
      <c r="C549" s="5">
        <v>2021</v>
      </c>
      <c r="D549" s="5" t="s">
        <v>1721</v>
      </c>
      <c r="E549" s="5" t="s">
        <v>1721</v>
      </c>
      <c r="F549" s="5" t="s">
        <v>1721</v>
      </c>
      <c r="G549" s="5" t="s">
        <v>1721</v>
      </c>
      <c r="H549" s="5" t="s">
        <v>1721</v>
      </c>
      <c r="I549" s="5" t="s">
        <v>1721</v>
      </c>
      <c r="J549" s="5" t="s">
        <v>1721</v>
      </c>
      <c r="K549" s="5" t="s">
        <v>1721</v>
      </c>
      <c r="L549" s="5" t="s">
        <v>301</v>
      </c>
      <c r="M549" s="9">
        <v>3</v>
      </c>
      <c r="N549" s="6">
        <f>IFERROR(Table2[[#This Row],[Darbuotojų skaičius]]/M548-1,0)</f>
        <v>0</v>
      </c>
      <c r="O549" s="9">
        <v>0</v>
      </c>
      <c r="P549" s="6">
        <v>0</v>
      </c>
      <c r="Q549" s="9">
        <f>Table2[[#This Row],[Atlyginimo vidurkis]]*Table2[[#This Row],[Darbuotojų skaičius]]*12</f>
        <v>0</v>
      </c>
      <c r="R549" s="49">
        <f>IFERROR(Table2[[#This Row],[DU sąnaudos]]/Q548-1,0)</f>
        <v>0</v>
      </c>
      <c r="S549" s="9">
        <v>232351</v>
      </c>
      <c r="T549" s="6">
        <f>'Įmonės-analizei'!$S398/S548-1</f>
        <v>35.024530121514758</v>
      </c>
      <c r="U549" s="9">
        <f>IF(Table2[[#This Row],[DU sąnaudos]]=0,0,Table2[[#This Row],[Apyvarta]]-Table2[[#This Row],[DU sąnaudos]]-Table2[[#This Row],[Pelnas]])</f>
        <v>0</v>
      </c>
      <c r="V549" s="49">
        <f>IFERROR(Table2[[#This Row],[Ne-atlyginimų sąnaudos]]/U548-1,0)</f>
        <v>0</v>
      </c>
      <c r="W549" s="9">
        <v>37207</v>
      </c>
      <c r="X549" s="6">
        <f>'Įmonės-analizei'!$W398/W548-1</f>
        <v>0.93900127190388627</v>
      </c>
      <c r="Y549" s="8">
        <f>Table2[[#This Row],[DU sąnaudos]]*0.43</f>
        <v>0</v>
      </c>
      <c r="Z549" s="8">
        <f>Table2[[#This Row],[Apyvarta]]-Table2[[#This Row],[Ne-atlyginimų sąnaudos]]+Table2[[#This Row],[Fiks ir pelno mokestis]]</f>
        <v>232351</v>
      </c>
    </row>
    <row r="550" spans="1:26" hidden="1" x14ac:dyDescent="0.2">
      <c r="A550" s="5" t="s">
        <v>1730</v>
      </c>
      <c r="B550" s="5" t="s">
        <v>1653</v>
      </c>
      <c r="C550" s="5">
        <v>2022</v>
      </c>
      <c r="D550" s="5" t="s">
        <v>1721</v>
      </c>
      <c r="E550" s="5" t="s">
        <v>1721</v>
      </c>
      <c r="F550" s="5" t="s">
        <v>1721</v>
      </c>
      <c r="G550" s="5" t="s">
        <v>1721</v>
      </c>
      <c r="H550" s="5" t="s">
        <v>1721</v>
      </c>
      <c r="I550" s="5" t="s">
        <v>1721</v>
      </c>
      <c r="J550" s="5" t="s">
        <v>1721</v>
      </c>
      <c r="K550" s="5" t="s">
        <v>1721</v>
      </c>
      <c r="L550" s="5" t="s">
        <v>301</v>
      </c>
      <c r="M550" s="9">
        <v>3</v>
      </c>
      <c r="N550" s="6">
        <f>IFERROR(Table2[[#This Row],[Darbuotojų skaičius]]/M549-1,0)</f>
        <v>0</v>
      </c>
      <c r="O550" s="9">
        <v>0</v>
      </c>
      <c r="P550" s="6">
        <v>0</v>
      </c>
      <c r="Q550" s="9">
        <f>Table2[[#This Row],[Atlyginimo vidurkis]]*Table2[[#This Row],[Darbuotojų skaičius]]*12</f>
        <v>0</v>
      </c>
      <c r="R550" s="49">
        <f>IFERROR(Table2[[#This Row],[DU sąnaudos]]/Q549-1,0)</f>
        <v>0</v>
      </c>
      <c r="S550" s="9">
        <v>266892</v>
      </c>
      <c r="T550" s="6">
        <f>'Įmonės-analizei'!$S399/S549-1</f>
        <v>-1</v>
      </c>
      <c r="U550" s="9">
        <f>IF(Table2[[#This Row],[DU sąnaudos]]=0,0,Table2[[#This Row],[Apyvarta]]-Table2[[#This Row],[DU sąnaudos]]-Table2[[#This Row],[Pelnas]])</f>
        <v>0</v>
      </c>
      <c r="V550" s="49">
        <f>IFERROR(Table2[[#This Row],[Ne-atlyginimų sąnaudos]]/U549-1,0)</f>
        <v>0</v>
      </c>
      <c r="W550" s="9">
        <v>56020</v>
      </c>
      <c r="X550" s="6">
        <f>'Įmonės-analizei'!$W399/W549-1</f>
        <v>-1</v>
      </c>
      <c r="Y550" s="8">
        <f>Table2[[#This Row],[DU sąnaudos]]*0.43</f>
        <v>0</v>
      </c>
      <c r="Z550" s="8">
        <f>Table2[[#This Row],[Apyvarta]]-Table2[[#This Row],[Ne-atlyginimų sąnaudos]]+Table2[[#This Row],[Fiks ir pelno mokestis]]</f>
        <v>266892</v>
      </c>
    </row>
    <row r="551" spans="1:26" hidden="1" x14ac:dyDescent="0.2">
      <c r="A551" s="5" t="s">
        <v>1730</v>
      </c>
      <c r="B551" s="5" t="s">
        <v>1653</v>
      </c>
      <c r="C551" s="5">
        <v>2023</v>
      </c>
      <c r="D551" s="5" t="s">
        <v>1721</v>
      </c>
      <c r="E551" s="5" t="s">
        <v>1721</v>
      </c>
      <c r="F551" s="5" t="s">
        <v>1721</v>
      </c>
      <c r="G551" s="5" t="s">
        <v>1721</v>
      </c>
      <c r="H551" s="5" t="s">
        <v>1721</v>
      </c>
      <c r="I551" s="5" t="s">
        <v>1721</v>
      </c>
      <c r="J551" s="5" t="s">
        <v>1721</v>
      </c>
      <c r="K551" s="5" t="s">
        <v>1721</v>
      </c>
      <c r="L551" s="5" t="s">
        <v>301</v>
      </c>
      <c r="M551" s="9">
        <v>1</v>
      </c>
      <c r="N551" s="6">
        <f>IFERROR(Table2[[#This Row],[Darbuotojų skaičius]]/M550-1,0)</f>
        <v>-0.66666666666666674</v>
      </c>
      <c r="O551" s="9">
        <v>0</v>
      </c>
      <c r="P551" s="6">
        <v>0</v>
      </c>
      <c r="Q551" s="9">
        <f>Table2[[#This Row],[Atlyginimo vidurkis]]*Table2[[#This Row],[Darbuotojų skaičius]]*12</f>
        <v>0</v>
      </c>
      <c r="R551" s="49">
        <f>IFERROR(Table2[[#This Row],[DU sąnaudos]]/Q550-1,0)</f>
        <v>0</v>
      </c>
      <c r="S551" s="9">
        <v>299971</v>
      </c>
      <c r="T551" s="6">
        <f>'Įmonės-analizei'!$S400/S550-1</f>
        <v>-1</v>
      </c>
      <c r="U551" s="9">
        <f>IF(Table2[[#This Row],[DU sąnaudos]]=0,0,Table2[[#This Row],[Apyvarta]]-Table2[[#This Row],[DU sąnaudos]]-Table2[[#This Row],[Pelnas]])</f>
        <v>0</v>
      </c>
      <c r="V551" s="49">
        <f>IFERROR(Table2[[#This Row],[Ne-atlyginimų sąnaudos]]/U550-1,0)</f>
        <v>0</v>
      </c>
      <c r="W551" s="9">
        <v>61467</v>
      </c>
      <c r="X551" s="6">
        <f>'Įmonės-analizei'!$W400/W550-1</f>
        <v>-1</v>
      </c>
      <c r="Y551" s="8">
        <f>Table2[[#This Row],[DU sąnaudos]]*0.43</f>
        <v>0</v>
      </c>
      <c r="Z551" s="8">
        <f>Table2[[#This Row],[Apyvarta]]-Table2[[#This Row],[Ne-atlyginimų sąnaudos]]+Table2[[#This Row],[Fiks ir pelno mokestis]]</f>
        <v>299971</v>
      </c>
    </row>
    <row r="552" spans="1:26" hidden="1" x14ac:dyDescent="0.2">
      <c r="A552" s="5" t="s">
        <v>1730</v>
      </c>
      <c r="B552" s="5" t="s">
        <v>1653</v>
      </c>
      <c r="C552" s="5">
        <v>2024</v>
      </c>
      <c r="D552" s="5" t="s">
        <v>1721</v>
      </c>
      <c r="E552" s="5" t="s">
        <v>1721</v>
      </c>
      <c r="F552" s="5" t="s">
        <v>1721</v>
      </c>
      <c r="G552" s="5" t="s">
        <v>1721</v>
      </c>
      <c r="H552" s="5" t="s">
        <v>1721</v>
      </c>
      <c r="I552" s="5" t="s">
        <v>1721</v>
      </c>
      <c r="J552" s="5" t="s">
        <v>1721</v>
      </c>
      <c r="K552" s="5" t="s">
        <v>1721</v>
      </c>
      <c r="L552" s="5" t="s">
        <v>301</v>
      </c>
      <c r="M552" s="9">
        <v>1</v>
      </c>
      <c r="N552" s="6">
        <f>IFERROR(Table2[[#This Row],[Darbuotojų skaičius]]/M551-1,0)</f>
        <v>0</v>
      </c>
      <c r="O552" s="9">
        <v>0</v>
      </c>
      <c r="P552" s="6">
        <v>0</v>
      </c>
      <c r="Q552" s="9">
        <f>Table2[[#This Row],[Atlyginimo vidurkis]]*Table2[[#This Row],[Darbuotojų skaičius]]*12</f>
        <v>0</v>
      </c>
      <c r="R552" s="49">
        <f>IFERROR(Table2[[#This Row],[DU sąnaudos]]/Q551-1,0)</f>
        <v>0</v>
      </c>
      <c r="S552" s="9">
        <v>299712</v>
      </c>
      <c r="T552" s="6">
        <f>'Įmonės-analizei'!$S401/S551-1</f>
        <v>-0.76251370965860032</v>
      </c>
      <c r="U552" s="9">
        <f>IF(Table2[[#This Row],[DU sąnaudos]]=0,0,Table2[[#This Row],[Apyvarta]]-Table2[[#This Row],[DU sąnaudos]]-Table2[[#This Row],[Pelnas]])</f>
        <v>0</v>
      </c>
      <c r="V552" s="49">
        <f>IFERROR(Table2[[#This Row],[Ne-atlyginimų sąnaudos]]/U551-1,0)</f>
        <v>0</v>
      </c>
      <c r="W552" s="9">
        <v>93548</v>
      </c>
      <c r="X552" s="6">
        <f>'Įmonės-analizei'!$W401/W551-1</f>
        <v>-0.85865586412221195</v>
      </c>
      <c r="Y552" s="8">
        <f>Table2[[#This Row],[DU sąnaudos]]*0.43</f>
        <v>0</v>
      </c>
      <c r="Z552" s="8">
        <f>Table2[[#This Row],[Apyvarta]]-Table2[[#This Row],[Ne-atlyginimų sąnaudos]]+Table2[[#This Row],[Fiks ir pelno mokestis]]</f>
        <v>299712</v>
      </c>
    </row>
    <row r="553" spans="1:26" hidden="1" x14ac:dyDescent="0.2">
      <c r="A553" s="5" t="s">
        <v>1655</v>
      </c>
      <c r="B553" t="s">
        <v>1656</v>
      </c>
      <c r="C553">
        <v>2019</v>
      </c>
      <c r="D553" s="5" t="s">
        <v>1721</v>
      </c>
      <c r="E553" s="5" t="s">
        <v>1721</v>
      </c>
      <c r="F553" s="5" t="s">
        <v>1721</v>
      </c>
      <c r="G553" s="5" t="s">
        <v>1721</v>
      </c>
      <c r="H553" s="5" t="s">
        <v>1721</v>
      </c>
      <c r="I553" s="5" t="s">
        <v>1721</v>
      </c>
      <c r="J553" s="5" t="s">
        <v>1721</v>
      </c>
      <c r="K553" s="5" t="s">
        <v>193</v>
      </c>
      <c r="L553" s="5" t="s">
        <v>1721</v>
      </c>
      <c r="M553" s="9">
        <v>15</v>
      </c>
      <c r="N553" s="6">
        <v>0</v>
      </c>
      <c r="O553" s="9">
        <v>1899</v>
      </c>
      <c r="P553" s="6">
        <v>0</v>
      </c>
      <c r="Q553" s="9">
        <f>Table2[[#This Row],[Atlyginimo vidurkis]]*Table2[[#This Row],[Darbuotojų skaičius]]*12</f>
        <v>341820</v>
      </c>
      <c r="R553" s="49">
        <v>0</v>
      </c>
      <c r="S553" s="9">
        <v>1390424</v>
      </c>
      <c r="T553" s="6">
        <v>0</v>
      </c>
      <c r="U553" s="9">
        <f>IF(Table2[[#This Row],[DU sąnaudos]]=0,0,Table2[[#This Row],[Apyvarta]]-Table2[[#This Row],[DU sąnaudos]]-Table2[[#This Row],[Pelnas]])</f>
        <v>969025</v>
      </c>
      <c r="V553" s="49">
        <v>0</v>
      </c>
      <c r="W553" s="9">
        <v>79579</v>
      </c>
      <c r="X553" s="6">
        <v>0</v>
      </c>
      <c r="Y553" s="8">
        <f>Table2[[#This Row],[DU sąnaudos]]*0.43</f>
        <v>146982.6</v>
      </c>
      <c r="Z553" s="8">
        <f>Table2[[#This Row],[Apyvarta]]-Table2[[#This Row],[Ne-atlyginimų sąnaudos]]+Table2[[#This Row],[Fiks ir pelno mokestis]]</f>
        <v>568381.6</v>
      </c>
    </row>
    <row r="554" spans="1:26" hidden="1" x14ac:dyDescent="0.2">
      <c r="A554" s="5" t="s">
        <v>1655</v>
      </c>
      <c r="B554" t="s">
        <v>1656</v>
      </c>
      <c r="C554">
        <v>2020</v>
      </c>
      <c r="D554" s="5" t="s">
        <v>1721</v>
      </c>
      <c r="E554" s="5" t="s">
        <v>1721</v>
      </c>
      <c r="F554" s="5" t="s">
        <v>1721</v>
      </c>
      <c r="G554" s="5" t="s">
        <v>1721</v>
      </c>
      <c r="H554" s="5" t="s">
        <v>1721</v>
      </c>
      <c r="I554" s="5" t="s">
        <v>1721</v>
      </c>
      <c r="J554" s="5" t="s">
        <v>1721</v>
      </c>
      <c r="K554" s="5" t="s">
        <v>193</v>
      </c>
      <c r="L554" s="5" t="s">
        <v>1721</v>
      </c>
      <c r="M554" s="9">
        <v>15</v>
      </c>
      <c r="N554" s="6">
        <f>IFERROR(Table2[[#This Row],[Darbuotojų skaičius]]/M553-1,0)</f>
        <v>0</v>
      </c>
      <c r="O554" s="9">
        <v>2244</v>
      </c>
      <c r="P554" s="6">
        <v>0.18</v>
      </c>
      <c r="Q554" s="9">
        <f>Table2[[#This Row],[Atlyginimo vidurkis]]*Table2[[#This Row],[Darbuotojų skaičius]]*12</f>
        <v>403920</v>
      </c>
      <c r="R554" s="49">
        <f>IFERROR(Table2[[#This Row],[DU sąnaudos]]/Q553-1,0)</f>
        <v>0.1816745655608214</v>
      </c>
      <c r="S554" s="9">
        <v>1685954</v>
      </c>
      <c r="T554" s="6">
        <v>0.21</v>
      </c>
      <c r="U554" s="9">
        <f>IF(Table2[[#This Row],[DU sąnaudos]]=0,0,Table2[[#This Row],[Apyvarta]]-Table2[[#This Row],[DU sąnaudos]]-Table2[[#This Row],[Pelnas]])</f>
        <v>1223365</v>
      </c>
      <c r="V554" s="49">
        <f>IFERROR(Table2[[#This Row],[Ne-atlyginimų sąnaudos]]/U553-1,0)</f>
        <v>0.26247000851371216</v>
      </c>
      <c r="W554" s="9">
        <v>58669</v>
      </c>
      <c r="X554" s="6">
        <v>-0.26</v>
      </c>
      <c r="Y554" s="8">
        <f>Table2[[#This Row],[DU sąnaudos]]*0.43</f>
        <v>173685.6</v>
      </c>
      <c r="Z554" s="8">
        <f>Table2[[#This Row],[Apyvarta]]-Table2[[#This Row],[Ne-atlyginimų sąnaudos]]+Table2[[#This Row],[Fiks ir pelno mokestis]]</f>
        <v>636274.6</v>
      </c>
    </row>
    <row r="555" spans="1:26" hidden="1" x14ac:dyDescent="0.2">
      <c r="A555" s="5" t="s">
        <v>1655</v>
      </c>
      <c r="B555" t="s">
        <v>1656</v>
      </c>
      <c r="C555">
        <v>2021</v>
      </c>
      <c r="D555" s="5" t="s">
        <v>1721</v>
      </c>
      <c r="E555" s="5" t="s">
        <v>1721</v>
      </c>
      <c r="F555" s="5" t="s">
        <v>1721</v>
      </c>
      <c r="G555" s="5" t="s">
        <v>1721</v>
      </c>
      <c r="H555" s="5" t="s">
        <v>1721</v>
      </c>
      <c r="I555" s="5" t="s">
        <v>1721</v>
      </c>
      <c r="J555" s="5" t="s">
        <v>1721</v>
      </c>
      <c r="K555" s="5" t="s">
        <v>193</v>
      </c>
      <c r="L555" s="5" t="s">
        <v>1721</v>
      </c>
      <c r="M555" s="9">
        <v>15</v>
      </c>
      <c r="N555" s="6">
        <f>IFERROR(Table2[[#This Row],[Darbuotojų skaičius]]/M554-1,0)</f>
        <v>0</v>
      </c>
      <c r="O555" s="9">
        <v>2645</v>
      </c>
      <c r="P555" s="6">
        <v>0.18</v>
      </c>
      <c r="Q555" s="9">
        <f>Table2[[#This Row],[Atlyginimo vidurkis]]*Table2[[#This Row],[Darbuotojų skaičius]]*12</f>
        <v>476100</v>
      </c>
      <c r="R555" s="49">
        <f>IFERROR(Table2[[#This Row],[DU sąnaudos]]/Q554-1,0)</f>
        <v>0.178698752228164</v>
      </c>
      <c r="S555" s="9">
        <v>1951484</v>
      </c>
      <c r="T555" s="6">
        <v>0.16</v>
      </c>
      <c r="U555" s="9">
        <f>IF(Table2[[#This Row],[DU sąnaudos]]=0,0,Table2[[#This Row],[Apyvarta]]-Table2[[#This Row],[DU sąnaudos]]-Table2[[#This Row],[Pelnas]])</f>
        <v>1410576</v>
      </c>
      <c r="V555" s="49">
        <f>IFERROR(Table2[[#This Row],[Ne-atlyginimų sąnaudos]]/U554-1,0)</f>
        <v>0.15302955373089788</v>
      </c>
      <c r="W555" s="9">
        <v>64808</v>
      </c>
      <c r="X555" s="6">
        <v>0.1</v>
      </c>
      <c r="Y555" s="8">
        <f>Table2[[#This Row],[DU sąnaudos]]*0.43</f>
        <v>204723</v>
      </c>
      <c r="Z555" s="8">
        <f>Table2[[#This Row],[Apyvarta]]-Table2[[#This Row],[Ne-atlyginimų sąnaudos]]+Table2[[#This Row],[Fiks ir pelno mokestis]]</f>
        <v>745631</v>
      </c>
    </row>
    <row r="556" spans="1:26" hidden="1" x14ac:dyDescent="0.2">
      <c r="A556" s="5" t="s">
        <v>1655</v>
      </c>
      <c r="B556" t="s">
        <v>1656</v>
      </c>
      <c r="C556">
        <v>2022</v>
      </c>
      <c r="D556" s="5" t="s">
        <v>1721</v>
      </c>
      <c r="E556" s="5" t="s">
        <v>1721</v>
      </c>
      <c r="F556" s="5" t="s">
        <v>1721</v>
      </c>
      <c r="G556" s="5" t="s">
        <v>1721</v>
      </c>
      <c r="H556" s="5" t="s">
        <v>1721</v>
      </c>
      <c r="I556" s="5" t="s">
        <v>1721</v>
      </c>
      <c r="J556" s="5" t="s">
        <v>1721</v>
      </c>
      <c r="K556" s="5" t="s">
        <v>193</v>
      </c>
      <c r="L556" s="5" t="s">
        <v>1721</v>
      </c>
      <c r="M556" s="9">
        <v>15</v>
      </c>
      <c r="N556" s="6">
        <f>IFERROR(Table2[[#This Row],[Darbuotojų skaičius]]/M555-1,0)</f>
        <v>0</v>
      </c>
      <c r="O556" s="9">
        <v>2804</v>
      </c>
      <c r="P556" s="6">
        <v>0.06</v>
      </c>
      <c r="Q556" s="9">
        <f>Table2[[#This Row],[Atlyginimo vidurkis]]*Table2[[#This Row],[Darbuotojų skaičius]]*12</f>
        <v>504720</v>
      </c>
      <c r="R556" s="49">
        <f>IFERROR(Table2[[#This Row],[DU sąnaudos]]/Q555-1,0)</f>
        <v>6.011342155009447E-2</v>
      </c>
      <c r="S556" s="9">
        <v>2060853</v>
      </c>
      <c r="T556" s="6">
        <v>0.06</v>
      </c>
      <c r="U556" s="9">
        <f>IF(Table2[[#This Row],[DU sąnaudos]]=0,0,Table2[[#This Row],[Apyvarta]]-Table2[[#This Row],[DU sąnaudos]]-Table2[[#This Row],[Pelnas]])</f>
        <v>1492250</v>
      </c>
      <c r="V556" s="49">
        <f>IFERROR(Table2[[#This Row],[Ne-atlyginimų sąnaudos]]/U555-1,0)</f>
        <v>5.7901169451344714E-2</v>
      </c>
      <c r="W556" s="9">
        <v>63883</v>
      </c>
      <c r="X556" s="6">
        <v>-0.01</v>
      </c>
      <c r="Y556" s="8">
        <f>Table2[[#This Row],[DU sąnaudos]]*0.43</f>
        <v>217029.6</v>
      </c>
      <c r="Z556" s="8">
        <f>Table2[[#This Row],[Apyvarta]]-Table2[[#This Row],[Ne-atlyginimų sąnaudos]]+Table2[[#This Row],[Fiks ir pelno mokestis]]</f>
        <v>785632.6</v>
      </c>
    </row>
    <row r="557" spans="1:26" hidden="1" x14ac:dyDescent="0.2">
      <c r="A557" s="5" t="s">
        <v>1655</v>
      </c>
      <c r="B557" t="s">
        <v>1656</v>
      </c>
      <c r="C557">
        <v>2023</v>
      </c>
      <c r="D557" s="5" t="s">
        <v>1721</v>
      </c>
      <c r="E557" s="5" t="s">
        <v>1721</v>
      </c>
      <c r="F557" s="5" t="s">
        <v>1721</v>
      </c>
      <c r="G557" s="5" t="s">
        <v>1721</v>
      </c>
      <c r="H557" s="5" t="s">
        <v>1721</v>
      </c>
      <c r="I557" s="5" t="s">
        <v>1721</v>
      </c>
      <c r="J557" s="5" t="s">
        <v>1721</v>
      </c>
      <c r="K557" s="5" t="s">
        <v>193</v>
      </c>
      <c r="L557" s="5" t="s">
        <v>1721</v>
      </c>
      <c r="M557" s="9">
        <v>15</v>
      </c>
      <c r="N557" s="6">
        <f>IFERROR(Table2[[#This Row],[Darbuotojų skaičius]]/M556-1,0)</f>
        <v>0</v>
      </c>
      <c r="O557" s="9">
        <v>3033</v>
      </c>
      <c r="P557" s="6">
        <v>0.08</v>
      </c>
      <c r="Q557" s="9">
        <f>Table2[[#This Row],[Atlyginimo vidurkis]]*Table2[[#This Row],[Darbuotojų skaičius]]*12</f>
        <v>545940</v>
      </c>
      <c r="R557" s="49">
        <f>IFERROR(Table2[[#This Row],[DU sąnaudos]]/Q556-1,0)</f>
        <v>8.1669044222539178E-2</v>
      </c>
      <c r="S557" s="9">
        <v>2135316</v>
      </c>
      <c r="T557" s="6">
        <v>0.04</v>
      </c>
      <c r="U557" s="9">
        <f>IF(Table2[[#This Row],[DU sąnaudos]]=0,0,Table2[[#This Row],[Apyvarta]]-Table2[[#This Row],[DU sąnaudos]]-Table2[[#This Row],[Pelnas]])</f>
        <v>1456449</v>
      </c>
      <c r="V557" s="49">
        <f>IFERROR(Table2[[#This Row],[Ne-atlyginimų sąnaudos]]/U556-1,0)</f>
        <v>-2.3991288323002125E-2</v>
      </c>
      <c r="W557" s="9">
        <v>132927</v>
      </c>
      <c r="X557" s="6">
        <v>1.08</v>
      </c>
      <c r="Y557" s="8">
        <f>Table2[[#This Row],[DU sąnaudos]]*0.43</f>
        <v>234754.19999999998</v>
      </c>
      <c r="Z557" s="8">
        <f>Table2[[#This Row],[Apyvarta]]-Table2[[#This Row],[Ne-atlyginimų sąnaudos]]+Table2[[#This Row],[Fiks ir pelno mokestis]]</f>
        <v>913621.2</v>
      </c>
    </row>
    <row r="558" spans="1:26" hidden="1" x14ac:dyDescent="0.2">
      <c r="A558" s="5" t="s">
        <v>1655</v>
      </c>
      <c r="B558" t="s">
        <v>1656</v>
      </c>
      <c r="C558">
        <v>2024</v>
      </c>
      <c r="D558" s="5" t="s">
        <v>1721</v>
      </c>
      <c r="E558" s="5" t="s">
        <v>1721</v>
      </c>
      <c r="F558" s="5" t="s">
        <v>1721</v>
      </c>
      <c r="G558" s="5" t="s">
        <v>1721</v>
      </c>
      <c r="H558" s="5" t="s">
        <v>1721</v>
      </c>
      <c r="I558" s="5" t="s">
        <v>1721</v>
      </c>
      <c r="J558" s="5" t="s">
        <v>1721</v>
      </c>
      <c r="K558" s="5" t="s">
        <v>193</v>
      </c>
      <c r="L558" s="5" t="s">
        <v>1721</v>
      </c>
      <c r="M558" s="9">
        <v>14</v>
      </c>
      <c r="N558" s="6">
        <f>IFERROR(Table2[[#This Row],[Darbuotojų skaičius]]/M557-1,0)</f>
        <v>-6.6666666666666652E-2</v>
      </c>
      <c r="O558" s="9">
        <v>3354</v>
      </c>
      <c r="P558" s="6">
        <v>0.11</v>
      </c>
      <c r="Q558" s="9">
        <f>Table2[[#This Row],[Atlyginimo vidurkis]]*Table2[[#This Row],[Darbuotojų skaičius]]*12</f>
        <v>563472</v>
      </c>
      <c r="R558" s="49">
        <f>IFERROR(Table2[[#This Row],[DU sąnaudos]]/Q557-1,0)</f>
        <v>3.2113419057039128E-2</v>
      </c>
      <c r="S558" s="9">
        <v>2179847</v>
      </c>
      <c r="T558" s="6">
        <v>0.02</v>
      </c>
      <c r="U558" s="9">
        <f>IF(Table2[[#This Row],[DU sąnaudos]]=0,0,Table2[[#This Row],[Apyvarta]]-Table2[[#This Row],[DU sąnaudos]]-Table2[[#This Row],[Pelnas]])</f>
        <v>1573882</v>
      </c>
      <c r="V558" s="49">
        <f>IFERROR(Table2[[#This Row],[Ne-atlyginimų sąnaudos]]/U557-1,0)</f>
        <v>8.0629668460756365E-2</v>
      </c>
      <c r="W558" s="9">
        <v>42493</v>
      </c>
      <c r="X558" s="6">
        <v>-0.68</v>
      </c>
      <c r="Y558" s="8">
        <f>Table2[[#This Row],[DU sąnaudos]]*0.43</f>
        <v>242292.96</v>
      </c>
      <c r="Z558" s="8">
        <f>Table2[[#This Row],[Apyvarta]]-Table2[[#This Row],[Ne-atlyginimų sąnaudos]]+Table2[[#This Row],[Fiks ir pelno mokestis]]</f>
        <v>848257.96</v>
      </c>
    </row>
    <row r="559" spans="1:26" hidden="1" x14ac:dyDescent="0.2">
      <c r="A559" s="5" t="s">
        <v>246</v>
      </c>
      <c r="B559" s="5" t="s">
        <v>1657</v>
      </c>
      <c r="C559" s="5">
        <v>2019</v>
      </c>
      <c r="D559" s="5" t="s">
        <v>1721</v>
      </c>
      <c r="E559" s="5" t="s">
        <v>1721</v>
      </c>
      <c r="F559" s="5" t="s">
        <v>1721</v>
      </c>
      <c r="G559" s="5" t="s">
        <v>73</v>
      </c>
      <c r="H559" s="5" t="s">
        <v>1721</v>
      </c>
      <c r="I559" s="5" t="s">
        <v>1721</v>
      </c>
      <c r="J559" s="5" t="s">
        <v>1721</v>
      </c>
      <c r="K559" s="5" t="s">
        <v>1721</v>
      </c>
      <c r="L559" s="5" t="s">
        <v>1721</v>
      </c>
      <c r="M559" s="9">
        <v>19</v>
      </c>
      <c r="N559" s="6">
        <v>0</v>
      </c>
      <c r="O559" s="9">
        <v>2532</v>
      </c>
      <c r="P559" s="6">
        <v>0</v>
      </c>
      <c r="Q559" s="9">
        <f>Table2[[#This Row],[Atlyginimo vidurkis]]*Table2[[#This Row],[Darbuotojų skaičius]]*12</f>
        <v>577296</v>
      </c>
      <c r="R559" s="49">
        <v>0</v>
      </c>
      <c r="S559" s="9">
        <v>6233775</v>
      </c>
      <c r="T559" s="6">
        <v>0</v>
      </c>
      <c r="U559" s="9">
        <f>IF(Table2[[#This Row],[DU sąnaudos]]=0,0,Table2[[#This Row],[Apyvarta]]-Table2[[#This Row],[DU sąnaudos]]-Table2[[#This Row],[Pelnas]])</f>
        <v>5544226</v>
      </c>
      <c r="V559" s="49">
        <v>0</v>
      </c>
      <c r="W559" s="9">
        <v>112253</v>
      </c>
      <c r="X559" s="6">
        <v>0</v>
      </c>
      <c r="Y559" s="8">
        <f>Table2[[#This Row],[DU sąnaudos]]*0.43</f>
        <v>248237.28</v>
      </c>
      <c r="Z559" s="8">
        <f>Table2[[#This Row],[Apyvarta]]-Table2[[#This Row],[Ne-atlyginimų sąnaudos]]+Table2[[#This Row],[Fiks ir pelno mokestis]]</f>
        <v>937786.28</v>
      </c>
    </row>
    <row r="560" spans="1:26" hidden="1" x14ac:dyDescent="0.2">
      <c r="A560" s="5" t="s">
        <v>246</v>
      </c>
      <c r="B560" s="5" t="s">
        <v>1657</v>
      </c>
      <c r="C560" s="5">
        <v>2020</v>
      </c>
      <c r="D560" s="5" t="s">
        <v>1721</v>
      </c>
      <c r="E560" s="5" t="s">
        <v>1721</v>
      </c>
      <c r="F560" s="5" t="s">
        <v>1721</v>
      </c>
      <c r="G560" s="5" t="s">
        <v>73</v>
      </c>
      <c r="H560" s="5" t="s">
        <v>1721</v>
      </c>
      <c r="I560" s="5" t="s">
        <v>1721</v>
      </c>
      <c r="J560" s="5" t="s">
        <v>1721</v>
      </c>
      <c r="K560" s="5" t="s">
        <v>1721</v>
      </c>
      <c r="L560" s="5" t="s">
        <v>1721</v>
      </c>
      <c r="M560" s="9">
        <v>18</v>
      </c>
      <c r="N560" s="6">
        <f>IFERROR(Table2[[#This Row],[Darbuotojų skaičius]]/M559-1,0)</f>
        <v>-5.2631578947368474E-2</v>
      </c>
      <c r="O560" s="9">
        <v>2641</v>
      </c>
      <c r="P560" s="6">
        <v>4.3048973143759772E-2</v>
      </c>
      <c r="Q560" s="9">
        <f>Table2[[#This Row],[Atlyginimo vidurkis]]*Table2[[#This Row],[Darbuotojų skaičius]]*12</f>
        <v>570456</v>
      </c>
      <c r="R560" s="49">
        <f>IFERROR(Table2[[#This Row],[DU sąnaudos]]/Q559-1,0)</f>
        <v>-1.1848341232227444E-2</v>
      </c>
      <c r="S560" s="9">
        <v>4829619</v>
      </c>
      <c r="T560" s="6">
        <v>-0.2252497082425978</v>
      </c>
      <c r="U560" s="9">
        <f>IF(Table2[[#This Row],[DU sąnaudos]]=0,0,Table2[[#This Row],[Apyvarta]]-Table2[[#This Row],[DU sąnaudos]]-Table2[[#This Row],[Pelnas]])</f>
        <v>4163805</v>
      </c>
      <c r="V560" s="49">
        <f>IFERROR(Table2[[#This Row],[Ne-atlyginimų sąnaudos]]/U559-1,0)</f>
        <v>-0.2489835371068928</v>
      </c>
      <c r="W560" s="9">
        <v>95358</v>
      </c>
      <c r="X560" s="6">
        <v>-0.15050822695161831</v>
      </c>
      <c r="Y560" s="8">
        <f>Table2[[#This Row],[DU sąnaudos]]*0.43</f>
        <v>245296.08</v>
      </c>
      <c r="Z560" s="8">
        <f>Table2[[#This Row],[Apyvarta]]-Table2[[#This Row],[Ne-atlyginimų sąnaudos]]+Table2[[#This Row],[Fiks ir pelno mokestis]]</f>
        <v>911110.08</v>
      </c>
    </row>
    <row r="561" spans="1:26" hidden="1" x14ac:dyDescent="0.2">
      <c r="A561" s="5" t="s">
        <v>246</v>
      </c>
      <c r="B561" s="5" t="s">
        <v>1657</v>
      </c>
      <c r="C561" s="5">
        <v>2021</v>
      </c>
      <c r="D561" s="5" t="s">
        <v>1721</v>
      </c>
      <c r="E561" s="5" t="s">
        <v>1721</v>
      </c>
      <c r="F561" s="5" t="s">
        <v>1721</v>
      </c>
      <c r="G561" s="5" t="s">
        <v>73</v>
      </c>
      <c r="H561" s="5" t="s">
        <v>1721</v>
      </c>
      <c r="I561" s="5" t="s">
        <v>1721</v>
      </c>
      <c r="J561" s="5" t="s">
        <v>1721</v>
      </c>
      <c r="K561" s="5" t="s">
        <v>1721</v>
      </c>
      <c r="L561" s="5" t="s">
        <v>1721</v>
      </c>
      <c r="M561" s="9">
        <v>24</v>
      </c>
      <c r="N561" s="6">
        <f>IFERROR(Table2[[#This Row],[Darbuotojų skaičius]]/M560-1,0)</f>
        <v>0.33333333333333326</v>
      </c>
      <c r="O561" s="9">
        <v>2528</v>
      </c>
      <c r="P561" s="6">
        <v>-4.27868231730405E-2</v>
      </c>
      <c r="Q561" s="9">
        <f>Table2[[#This Row],[Atlyginimo vidurkis]]*Table2[[#This Row],[Darbuotojų skaičius]]*12</f>
        <v>728064</v>
      </c>
      <c r="R561" s="49">
        <f>IFERROR(Table2[[#This Row],[DU sąnaudos]]/Q560-1,0)</f>
        <v>0.27628423576927941</v>
      </c>
      <c r="S561" s="9">
        <v>9494507</v>
      </c>
      <c r="T561" s="6">
        <v>0.96589151235325188</v>
      </c>
      <c r="U561" s="9">
        <f>IF(Table2[[#This Row],[DU sąnaudos]]=0,0,Table2[[#This Row],[Apyvarta]]-Table2[[#This Row],[DU sąnaudos]]-Table2[[#This Row],[Pelnas]])</f>
        <v>8574500</v>
      </c>
      <c r="V561" s="49">
        <f>IFERROR(Table2[[#This Row],[Ne-atlyginimų sąnaudos]]/U560-1,0)</f>
        <v>1.0592943233412706</v>
      </c>
      <c r="W561" s="9">
        <v>191943</v>
      </c>
      <c r="X561" s="6">
        <v>1.012867300069213</v>
      </c>
      <c r="Y561" s="8">
        <f>Table2[[#This Row],[DU sąnaudos]]*0.43</f>
        <v>313067.52000000002</v>
      </c>
      <c r="Z561" s="8">
        <f>Table2[[#This Row],[Apyvarta]]-Table2[[#This Row],[Ne-atlyginimų sąnaudos]]+Table2[[#This Row],[Fiks ir pelno mokestis]]</f>
        <v>1233074.52</v>
      </c>
    </row>
    <row r="562" spans="1:26" hidden="1" x14ac:dyDescent="0.2">
      <c r="A562" s="5" t="s">
        <v>246</v>
      </c>
      <c r="B562" s="5" t="s">
        <v>1657</v>
      </c>
      <c r="C562" s="5">
        <v>2022</v>
      </c>
      <c r="D562" s="5" t="s">
        <v>1721</v>
      </c>
      <c r="E562" s="5" t="s">
        <v>1721</v>
      </c>
      <c r="F562" s="5" t="s">
        <v>1721</v>
      </c>
      <c r="G562" s="5" t="s">
        <v>73</v>
      </c>
      <c r="H562" s="5" t="s">
        <v>1721</v>
      </c>
      <c r="I562" s="5" t="s">
        <v>1721</v>
      </c>
      <c r="J562" s="5" t="s">
        <v>1721</v>
      </c>
      <c r="K562" s="5" t="s">
        <v>1721</v>
      </c>
      <c r="L562" s="5" t="s">
        <v>1721</v>
      </c>
      <c r="M562" s="9">
        <v>28</v>
      </c>
      <c r="N562" s="6">
        <f>IFERROR(Table2[[#This Row],[Darbuotojų skaičius]]/M561-1,0)</f>
        <v>0.16666666666666674</v>
      </c>
      <c r="O562" s="9">
        <v>2626</v>
      </c>
      <c r="P562" s="6">
        <v>3.8765822784810222E-2</v>
      </c>
      <c r="Q562" s="9">
        <f>Table2[[#This Row],[Atlyginimo vidurkis]]*Table2[[#This Row],[Darbuotojų skaičius]]*12</f>
        <v>882336</v>
      </c>
      <c r="R562" s="49">
        <f>IFERROR(Table2[[#This Row],[DU sąnaudos]]/Q561-1,0)</f>
        <v>0.2118934599156117</v>
      </c>
      <c r="S562" s="9">
        <v>10013897</v>
      </c>
      <c r="T562" s="6">
        <v>5.4704262159162242E-2</v>
      </c>
      <c r="U562" s="9">
        <f>IF(Table2[[#This Row],[DU sąnaudos]]=0,0,Table2[[#This Row],[Apyvarta]]-Table2[[#This Row],[DU sąnaudos]]-Table2[[#This Row],[Pelnas]])</f>
        <v>8945402</v>
      </c>
      <c r="V562" s="49">
        <f>IFERROR(Table2[[#This Row],[Ne-atlyginimų sąnaudos]]/U561-1,0)</f>
        <v>4.3256399790075228E-2</v>
      </c>
      <c r="W562" s="9">
        <v>186159</v>
      </c>
      <c r="X562" s="6">
        <v>-3.0133946015223231E-2</v>
      </c>
      <c r="Y562" s="8">
        <f>Table2[[#This Row],[DU sąnaudos]]*0.43</f>
        <v>379404.48</v>
      </c>
      <c r="Z562" s="8">
        <f>Table2[[#This Row],[Apyvarta]]-Table2[[#This Row],[Ne-atlyginimų sąnaudos]]+Table2[[#This Row],[Fiks ir pelno mokestis]]</f>
        <v>1447899.48</v>
      </c>
    </row>
    <row r="563" spans="1:26" hidden="1" x14ac:dyDescent="0.2">
      <c r="A563" s="5" t="s">
        <v>246</v>
      </c>
      <c r="B563" s="5" t="s">
        <v>1657</v>
      </c>
      <c r="C563" s="5">
        <v>2023</v>
      </c>
      <c r="D563" s="5" t="s">
        <v>1721</v>
      </c>
      <c r="E563" s="5" t="s">
        <v>1721</v>
      </c>
      <c r="F563" s="5" t="s">
        <v>1721</v>
      </c>
      <c r="G563" s="5" t="s">
        <v>73</v>
      </c>
      <c r="H563" s="5" t="s">
        <v>1721</v>
      </c>
      <c r="I563" s="5" t="s">
        <v>1721</v>
      </c>
      <c r="J563" s="5" t="s">
        <v>1721</v>
      </c>
      <c r="K563" s="5" t="s">
        <v>1721</v>
      </c>
      <c r="L563" s="5" t="s">
        <v>1721</v>
      </c>
      <c r="M563" s="9">
        <v>26</v>
      </c>
      <c r="N563" s="6">
        <f>IFERROR(Table2[[#This Row],[Darbuotojų skaičius]]/M562-1,0)</f>
        <v>-7.1428571428571397E-2</v>
      </c>
      <c r="O563" s="9">
        <v>2861</v>
      </c>
      <c r="P563" s="6">
        <v>8.9489718202589552E-2</v>
      </c>
      <c r="Q563" s="9">
        <f>Table2[[#This Row],[Atlyginimo vidurkis]]*Table2[[#This Row],[Darbuotojų skaičius]]*12</f>
        <v>892632</v>
      </c>
      <c r="R563" s="49">
        <f>IFERROR(Table2[[#This Row],[DU sąnaudos]]/Q562-1,0)</f>
        <v>1.1669024045261711E-2</v>
      </c>
      <c r="S563" s="9">
        <v>8389454</v>
      </c>
      <c r="T563" s="6">
        <v>-0.16221886444408209</v>
      </c>
      <c r="U563" s="9">
        <f>IF(Table2[[#This Row],[DU sąnaudos]]=0,0,Table2[[#This Row],[Apyvarta]]-Table2[[#This Row],[DU sąnaudos]]-Table2[[#This Row],[Pelnas]])</f>
        <v>7324112</v>
      </c>
      <c r="V563" s="49">
        <f>IFERROR(Table2[[#This Row],[Ne-atlyginimų sąnaudos]]/U562-1,0)</f>
        <v>-0.18124283291013643</v>
      </c>
      <c r="W563" s="9">
        <v>172710</v>
      </c>
      <c r="X563" s="6">
        <v>-7.2244694051858849E-2</v>
      </c>
      <c r="Y563" s="8">
        <f>Table2[[#This Row],[DU sąnaudos]]*0.43</f>
        <v>383831.76</v>
      </c>
      <c r="Z563" s="8">
        <f>Table2[[#This Row],[Apyvarta]]-Table2[[#This Row],[Ne-atlyginimų sąnaudos]]+Table2[[#This Row],[Fiks ir pelno mokestis]]</f>
        <v>1449173.76</v>
      </c>
    </row>
    <row r="564" spans="1:26" hidden="1" x14ac:dyDescent="0.2">
      <c r="A564" s="5" t="s">
        <v>246</v>
      </c>
      <c r="B564" s="5" t="s">
        <v>1657</v>
      </c>
      <c r="C564" s="5">
        <v>2024</v>
      </c>
      <c r="D564" s="5" t="s">
        <v>1721</v>
      </c>
      <c r="E564" s="5" t="s">
        <v>1721</v>
      </c>
      <c r="F564" s="5" t="s">
        <v>1721</v>
      </c>
      <c r="G564" s="5" t="s">
        <v>73</v>
      </c>
      <c r="H564" s="5" t="s">
        <v>1721</v>
      </c>
      <c r="I564" s="5" t="s">
        <v>1721</v>
      </c>
      <c r="J564" s="5" t="s">
        <v>1721</v>
      </c>
      <c r="K564" s="5" t="s">
        <v>1721</v>
      </c>
      <c r="L564" s="5" t="s">
        <v>1721</v>
      </c>
      <c r="M564" s="9">
        <v>25</v>
      </c>
      <c r="N564" s="6">
        <f>IFERROR(Table2[[#This Row],[Darbuotojų skaičius]]/M563-1,0)</f>
        <v>-3.8461538461538436E-2</v>
      </c>
      <c r="O564" s="9">
        <v>3073</v>
      </c>
      <c r="P564" s="6">
        <v>7.40999650471863E-2</v>
      </c>
      <c r="Q564" s="9">
        <f>Table2[[#This Row],[Atlyginimo vidurkis]]*Table2[[#This Row],[Darbuotojų skaičius]]*12</f>
        <v>921900</v>
      </c>
      <c r="R564" s="49">
        <f>IFERROR(Table2[[#This Row],[DU sąnaudos]]/Q563-1,0)</f>
        <v>3.2788427929986819E-2</v>
      </c>
      <c r="S564" s="9">
        <v>8837519</v>
      </c>
      <c r="T564" s="6">
        <v>5.3408124056702588E-2</v>
      </c>
      <c r="U564" s="9">
        <f>IF(Table2[[#This Row],[DU sąnaudos]]=0,0,Table2[[#This Row],[Apyvarta]]-Table2[[#This Row],[DU sąnaudos]]-Table2[[#This Row],[Pelnas]])</f>
        <v>7690258</v>
      </c>
      <c r="V564" s="49">
        <f>IFERROR(Table2[[#This Row],[Ne-atlyginimų sąnaudos]]/U563-1,0)</f>
        <v>4.9991862494729755E-2</v>
      </c>
      <c r="W564" s="9">
        <v>225361</v>
      </c>
      <c r="X564" s="6">
        <v>0.30485206415378369</v>
      </c>
      <c r="Y564" s="8">
        <f>Table2[[#This Row],[DU sąnaudos]]*0.43</f>
        <v>396417</v>
      </c>
      <c r="Z564" s="8">
        <f>Table2[[#This Row],[Apyvarta]]-Table2[[#This Row],[Ne-atlyginimų sąnaudos]]+Table2[[#This Row],[Fiks ir pelno mokestis]]</f>
        <v>1543678</v>
      </c>
    </row>
    <row r="565" spans="1:26" hidden="1" x14ac:dyDescent="0.2">
      <c r="A565" s="5" t="s">
        <v>1661</v>
      </c>
      <c r="B565" s="5" t="s">
        <v>1662</v>
      </c>
      <c r="C565" s="5">
        <v>2019</v>
      </c>
      <c r="D565" s="5" t="s">
        <v>1721</v>
      </c>
      <c r="E565" s="5" t="s">
        <v>1721</v>
      </c>
      <c r="F565" s="5" t="s">
        <v>1721</v>
      </c>
      <c r="G565" s="5" t="s">
        <v>1721</v>
      </c>
      <c r="H565" s="5" t="s">
        <v>1724</v>
      </c>
      <c r="I565" s="5" t="s">
        <v>1721</v>
      </c>
      <c r="J565" s="5" t="s">
        <v>1721</v>
      </c>
      <c r="K565" s="5" t="s">
        <v>1721</v>
      </c>
      <c r="L565" s="5" t="s">
        <v>1721</v>
      </c>
      <c r="M565" s="9">
        <v>1</v>
      </c>
      <c r="N565" s="6">
        <v>0</v>
      </c>
      <c r="O565" s="9">
        <v>0</v>
      </c>
      <c r="P565" s="6">
        <v>0</v>
      </c>
      <c r="Q565" s="9">
        <f>Table2[[#This Row],[Atlyginimo vidurkis]]*Table2[[#This Row],[Darbuotojų skaičius]]*12</f>
        <v>0</v>
      </c>
      <c r="R565" s="49">
        <v>0</v>
      </c>
      <c r="S565" s="9">
        <v>123105</v>
      </c>
      <c r="T565" s="6">
        <v>0</v>
      </c>
      <c r="U565" s="9">
        <f>IF(Table2[[#This Row],[DU sąnaudos]]=0,0,Table2[[#This Row],[Apyvarta]]-Table2[[#This Row],[DU sąnaudos]]-Table2[[#This Row],[Pelnas]])</f>
        <v>0</v>
      </c>
      <c r="V565" s="49">
        <v>0</v>
      </c>
      <c r="W565" s="9">
        <v>38230</v>
      </c>
      <c r="X565" s="6">
        <v>0</v>
      </c>
      <c r="Y565" s="8">
        <f>Table2[[#This Row],[DU sąnaudos]]*0.43</f>
        <v>0</v>
      </c>
      <c r="Z565" s="8">
        <f>Table2[[#This Row],[Apyvarta]]-Table2[[#This Row],[Ne-atlyginimų sąnaudos]]+Table2[[#This Row],[Fiks ir pelno mokestis]]</f>
        <v>123105</v>
      </c>
    </row>
    <row r="566" spans="1:26" hidden="1" x14ac:dyDescent="0.2">
      <c r="A566" s="5" t="s">
        <v>1661</v>
      </c>
      <c r="B566" s="5" t="s">
        <v>1662</v>
      </c>
      <c r="C566" s="5">
        <v>2020</v>
      </c>
      <c r="D566" s="5" t="s">
        <v>1721</v>
      </c>
      <c r="E566" s="5" t="s">
        <v>1721</v>
      </c>
      <c r="F566" s="5" t="s">
        <v>1721</v>
      </c>
      <c r="G566" s="5" t="s">
        <v>1721</v>
      </c>
      <c r="H566" s="5" t="s">
        <v>1724</v>
      </c>
      <c r="I566" s="5" t="s">
        <v>1721</v>
      </c>
      <c r="J566" s="5" t="s">
        <v>1721</v>
      </c>
      <c r="K566" s="5" t="s">
        <v>1721</v>
      </c>
      <c r="L566" s="5" t="s">
        <v>1721</v>
      </c>
      <c r="M566" s="9">
        <v>0</v>
      </c>
      <c r="N566" s="6">
        <f>IFERROR(Table2[[#This Row],[Darbuotojų skaičius]]/M565-1,0)</f>
        <v>-1</v>
      </c>
      <c r="O566" s="9">
        <v>0</v>
      </c>
      <c r="P566" s="6">
        <v>0</v>
      </c>
      <c r="Q566" s="9">
        <f>Table2[[#This Row],[Atlyginimo vidurkis]]*Table2[[#This Row],[Darbuotojų skaičius]]*12</f>
        <v>0</v>
      </c>
      <c r="R566" s="49">
        <f>IFERROR(Table2[[#This Row],[DU sąnaudos]]/Q565-1,0)</f>
        <v>0</v>
      </c>
      <c r="S566" s="9">
        <v>97942</v>
      </c>
      <c r="T566" s="6">
        <v>-0.2044027456236546</v>
      </c>
      <c r="U566" s="9">
        <f>IF(Table2[[#This Row],[DU sąnaudos]]=0,0,Table2[[#This Row],[Apyvarta]]-Table2[[#This Row],[DU sąnaudos]]-Table2[[#This Row],[Pelnas]])</f>
        <v>0</v>
      </c>
      <c r="V566" s="49">
        <f>IFERROR(Table2[[#This Row],[Ne-atlyginimų sąnaudos]]/U565-1,0)</f>
        <v>0</v>
      </c>
      <c r="W566" s="9">
        <v>-3183</v>
      </c>
      <c r="X566" s="6">
        <v>-1.0832592205074549</v>
      </c>
      <c r="Y566" s="8">
        <f>Table2[[#This Row],[DU sąnaudos]]*0.43</f>
        <v>0</v>
      </c>
      <c r="Z566" s="8">
        <f>Table2[[#This Row],[Apyvarta]]-Table2[[#This Row],[Ne-atlyginimų sąnaudos]]+Table2[[#This Row],[Fiks ir pelno mokestis]]</f>
        <v>97942</v>
      </c>
    </row>
    <row r="567" spans="1:26" hidden="1" x14ac:dyDescent="0.2">
      <c r="A567" s="5" t="s">
        <v>1661</v>
      </c>
      <c r="B567" s="5" t="s">
        <v>1662</v>
      </c>
      <c r="C567" s="5">
        <v>2021</v>
      </c>
      <c r="D567" s="5" t="s">
        <v>1721</v>
      </c>
      <c r="E567" s="5" t="s">
        <v>1721</v>
      </c>
      <c r="F567" s="5" t="s">
        <v>1721</v>
      </c>
      <c r="G567" s="5" t="s">
        <v>1721</v>
      </c>
      <c r="H567" s="5" t="s">
        <v>1724</v>
      </c>
      <c r="I567" s="5" t="s">
        <v>1721</v>
      </c>
      <c r="J567" s="5" t="s">
        <v>1721</v>
      </c>
      <c r="K567" s="5" t="s">
        <v>1721</v>
      </c>
      <c r="L567" s="5" t="s">
        <v>1721</v>
      </c>
      <c r="M567" s="9">
        <v>0</v>
      </c>
      <c r="N567" s="6">
        <f>IFERROR(Table2[[#This Row],[Darbuotojų skaičius]]/M566-1,0)</f>
        <v>0</v>
      </c>
      <c r="O567" s="9">
        <v>0</v>
      </c>
      <c r="P567" s="6">
        <v>0</v>
      </c>
      <c r="Q567" s="9">
        <f>Table2[[#This Row],[Atlyginimo vidurkis]]*Table2[[#This Row],[Darbuotojų skaičius]]*12</f>
        <v>0</v>
      </c>
      <c r="R567" s="49">
        <f>IFERROR(Table2[[#This Row],[DU sąnaudos]]/Q566-1,0)</f>
        <v>0</v>
      </c>
      <c r="S567" s="9">
        <v>136496</v>
      </c>
      <c r="T567" s="6">
        <v>0.39364113454901872</v>
      </c>
      <c r="U567" s="9">
        <f>IF(Table2[[#This Row],[DU sąnaudos]]=0,0,Table2[[#This Row],[Apyvarta]]-Table2[[#This Row],[DU sąnaudos]]-Table2[[#This Row],[Pelnas]])</f>
        <v>0</v>
      </c>
      <c r="V567" s="49">
        <f>IFERROR(Table2[[#This Row],[Ne-atlyginimų sąnaudos]]/U566-1,0)</f>
        <v>0</v>
      </c>
      <c r="W567" s="9">
        <v>9646</v>
      </c>
      <c r="X567" s="6">
        <v>-4.0304743952246307</v>
      </c>
      <c r="Y567" s="8">
        <f>Table2[[#This Row],[DU sąnaudos]]*0.43</f>
        <v>0</v>
      </c>
      <c r="Z567" s="8">
        <f>Table2[[#This Row],[Apyvarta]]-Table2[[#This Row],[Ne-atlyginimų sąnaudos]]+Table2[[#This Row],[Fiks ir pelno mokestis]]</f>
        <v>136496</v>
      </c>
    </row>
    <row r="568" spans="1:26" hidden="1" x14ac:dyDescent="0.2">
      <c r="A568" s="5" t="s">
        <v>1661</v>
      </c>
      <c r="B568" s="5" t="s">
        <v>1662</v>
      </c>
      <c r="C568" s="5">
        <v>2022</v>
      </c>
      <c r="D568" s="5" t="s">
        <v>1721</v>
      </c>
      <c r="E568" s="5" t="s">
        <v>1721</v>
      </c>
      <c r="F568" s="5" t="s">
        <v>1721</v>
      </c>
      <c r="G568" s="5" t="s">
        <v>1721</v>
      </c>
      <c r="H568" s="5" t="s">
        <v>1724</v>
      </c>
      <c r="I568" s="5" t="s">
        <v>1721</v>
      </c>
      <c r="J568" s="5" t="s">
        <v>1721</v>
      </c>
      <c r="K568" s="5" t="s">
        <v>1721</v>
      </c>
      <c r="L568" s="5" t="s">
        <v>1721</v>
      </c>
      <c r="M568" s="9">
        <v>0</v>
      </c>
      <c r="N568" s="6">
        <f>IFERROR(Table2[[#This Row],[Darbuotojų skaičius]]/M567-1,0)</f>
        <v>0</v>
      </c>
      <c r="O568" s="9">
        <v>0</v>
      </c>
      <c r="P568" s="6">
        <v>0</v>
      </c>
      <c r="Q568" s="9">
        <f>Table2[[#This Row],[Atlyginimo vidurkis]]*Table2[[#This Row],[Darbuotojų skaičius]]*12</f>
        <v>0</v>
      </c>
      <c r="R568" s="49">
        <f>IFERROR(Table2[[#This Row],[DU sąnaudos]]/Q567-1,0)</f>
        <v>0</v>
      </c>
      <c r="S568" s="9">
        <v>200535</v>
      </c>
      <c r="T568" s="6">
        <v>0.46916393154378139</v>
      </c>
      <c r="U568" s="9">
        <f>IF(Table2[[#This Row],[DU sąnaudos]]=0,0,Table2[[#This Row],[Apyvarta]]-Table2[[#This Row],[DU sąnaudos]]-Table2[[#This Row],[Pelnas]])</f>
        <v>0</v>
      </c>
      <c r="V568" s="49">
        <f>IFERROR(Table2[[#This Row],[Ne-atlyginimų sąnaudos]]/U567-1,0)</f>
        <v>0</v>
      </c>
      <c r="W568" s="9">
        <v>10605</v>
      </c>
      <c r="X568" s="6">
        <v>9.9419448476052219E-2</v>
      </c>
      <c r="Y568" s="8">
        <f>Table2[[#This Row],[DU sąnaudos]]*0.43</f>
        <v>0</v>
      </c>
      <c r="Z568" s="8">
        <f>Table2[[#This Row],[Apyvarta]]-Table2[[#This Row],[Ne-atlyginimų sąnaudos]]+Table2[[#This Row],[Fiks ir pelno mokestis]]</f>
        <v>200535</v>
      </c>
    </row>
    <row r="569" spans="1:26" hidden="1" x14ac:dyDescent="0.2">
      <c r="A569" s="5" t="s">
        <v>1661</v>
      </c>
      <c r="B569" s="5" t="s">
        <v>1662</v>
      </c>
      <c r="C569" s="5">
        <v>2023</v>
      </c>
      <c r="D569" s="5" t="s">
        <v>1721</v>
      </c>
      <c r="E569" s="5" t="s">
        <v>1721</v>
      </c>
      <c r="F569" s="5" t="s">
        <v>1721</v>
      </c>
      <c r="G569" s="5" t="s">
        <v>1721</v>
      </c>
      <c r="H569" s="5" t="s">
        <v>1724</v>
      </c>
      <c r="I569" s="5" t="s">
        <v>1721</v>
      </c>
      <c r="J569" s="5" t="s">
        <v>1721</v>
      </c>
      <c r="K569" s="5" t="s">
        <v>1721</v>
      </c>
      <c r="L569" s="5" t="s">
        <v>1721</v>
      </c>
      <c r="M569" s="9">
        <v>0</v>
      </c>
      <c r="N569" s="6">
        <f>IFERROR(Table2[[#This Row],[Darbuotojų skaičius]]/M568-1,0)</f>
        <v>0</v>
      </c>
      <c r="O569" s="9">
        <v>0</v>
      </c>
      <c r="P569" s="6">
        <v>0</v>
      </c>
      <c r="Q569" s="9">
        <f>Table2[[#This Row],[Atlyginimo vidurkis]]*Table2[[#This Row],[Darbuotojų skaičius]]*12</f>
        <v>0</v>
      </c>
      <c r="R569" s="49">
        <f>IFERROR(Table2[[#This Row],[DU sąnaudos]]/Q568-1,0)</f>
        <v>0</v>
      </c>
      <c r="S569" s="9">
        <v>177910</v>
      </c>
      <c r="T569" s="6">
        <v>-0.11282319794549581</v>
      </c>
      <c r="U569" s="9">
        <f>IF(Table2[[#This Row],[DU sąnaudos]]=0,0,Table2[[#This Row],[Apyvarta]]-Table2[[#This Row],[DU sąnaudos]]-Table2[[#This Row],[Pelnas]])</f>
        <v>0</v>
      </c>
      <c r="V569" s="49">
        <f>IFERROR(Table2[[#This Row],[Ne-atlyginimų sąnaudos]]/U568-1,0)</f>
        <v>0</v>
      </c>
      <c r="W569" s="9">
        <v>42203</v>
      </c>
      <c r="X569" s="6">
        <v>2.9795379537953801</v>
      </c>
      <c r="Y569" s="8">
        <f>Table2[[#This Row],[DU sąnaudos]]*0.43</f>
        <v>0</v>
      </c>
      <c r="Z569" s="8">
        <f>Table2[[#This Row],[Apyvarta]]-Table2[[#This Row],[Ne-atlyginimų sąnaudos]]+Table2[[#This Row],[Fiks ir pelno mokestis]]</f>
        <v>177910</v>
      </c>
    </row>
    <row r="570" spans="1:26" hidden="1" x14ac:dyDescent="0.2">
      <c r="A570" s="5" t="s">
        <v>1661</v>
      </c>
      <c r="B570" s="5" t="s">
        <v>1662</v>
      </c>
      <c r="C570" s="5">
        <v>2024</v>
      </c>
      <c r="D570" s="5" t="s">
        <v>1721</v>
      </c>
      <c r="E570" s="5" t="s">
        <v>1721</v>
      </c>
      <c r="F570" s="5" t="s">
        <v>1721</v>
      </c>
      <c r="G570" s="5" t="s">
        <v>1721</v>
      </c>
      <c r="H570" s="5" t="s">
        <v>1724</v>
      </c>
      <c r="I570" s="5" t="s">
        <v>1721</v>
      </c>
      <c r="J570" s="5" t="s">
        <v>1721</v>
      </c>
      <c r="K570" s="5" t="s">
        <v>1721</v>
      </c>
      <c r="L570" s="5" t="s">
        <v>1721</v>
      </c>
      <c r="M570" s="9">
        <v>0</v>
      </c>
      <c r="N570" s="6">
        <f>IFERROR(Table2[[#This Row],[Darbuotojų skaičius]]/M569-1,0)</f>
        <v>0</v>
      </c>
      <c r="O570" s="9">
        <v>0</v>
      </c>
      <c r="P570" s="6">
        <v>0</v>
      </c>
      <c r="Q570" s="9">
        <f>Table2[[#This Row],[Atlyginimo vidurkis]]*Table2[[#This Row],[Darbuotojų skaičius]]*12</f>
        <v>0</v>
      </c>
      <c r="R570" s="49">
        <f>IFERROR(Table2[[#This Row],[DU sąnaudos]]/Q569-1,0)</f>
        <v>0</v>
      </c>
      <c r="S570" s="9">
        <v>122111</v>
      </c>
      <c r="T570" s="6">
        <v>-0.31363610814456738</v>
      </c>
      <c r="U570" s="9">
        <f>IF(Table2[[#This Row],[DU sąnaudos]]=0,0,Table2[[#This Row],[Apyvarta]]-Table2[[#This Row],[DU sąnaudos]]-Table2[[#This Row],[Pelnas]])</f>
        <v>0</v>
      </c>
      <c r="V570" s="49">
        <f>IFERROR(Table2[[#This Row],[Ne-atlyginimų sąnaudos]]/U569-1,0)</f>
        <v>0</v>
      </c>
      <c r="W570" s="9">
        <v>-20529</v>
      </c>
      <c r="X570" s="6">
        <v>-1.486434613653058</v>
      </c>
      <c r="Y570" s="8">
        <f>Table2[[#This Row],[DU sąnaudos]]*0.43</f>
        <v>0</v>
      </c>
      <c r="Z570" s="8">
        <f>Table2[[#This Row],[Apyvarta]]-Table2[[#This Row],[Ne-atlyginimų sąnaudos]]+Table2[[#This Row],[Fiks ir pelno mokestis]]</f>
        <v>122111</v>
      </c>
    </row>
    <row r="571" spans="1:26" hidden="1" x14ac:dyDescent="0.2">
      <c r="A571" s="5" t="s">
        <v>1665</v>
      </c>
      <c r="B571" t="s">
        <v>1666</v>
      </c>
      <c r="C571">
        <v>2019</v>
      </c>
      <c r="D571" s="5" t="s">
        <v>1721</v>
      </c>
      <c r="E571" s="5" t="s">
        <v>1721</v>
      </c>
      <c r="F571" s="5" t="s">
        <v>1721</v>
      </c>
      <c r="G571" s="5" t="s">
        <v>1721</v>
      </c>
      <c r="H571" s="5" t="s">
        <v>1721</v>
      </c>
      <c r="I571" s="5" t="s">
        <v>1721</v>
      </c>
      <c r="J571" s="5" t="s">
        <v>1721</v>
      </c>
      <c r="K571" s="5" t="s">
        <v>193</v>
      </c>
      <c r="L571" s="5" t="s">
        <v>1721</v>
      </c>
      <c r="M571" s="9">
        <v>2</v>
      </c>
      <c r="N571" s="6">
        <v>0</v>
      </c>
      <c r="O571" s="9">
        <v>0</v>
      </c>
      <c r="P571" s="6">
        <v>0</v>
      </c>
      <c r="Q571" s="9">
        <f>Table2[[#This Row],[Atlyginimo vidurkis]]*Table2[[#This Row],[Darbuotojų skaičius]]*12</f>
        <v>0</v>
      </c>
      <c r="R571" s="49">
        <v>0</v>
      </c>
      <c r="S571" s="9">
        <v>106868</v>
      </c>
      <c r="T571" s="6">
        <v>0</v>
      </c>
      <c r="U571" s="9">
        <f>IF(Table2[[#This Row],[DU sąnaudos]]=0,0,Table2[[#This Row],[Apyvarta]]-Table2[[#This Row],[DU sąnaudos]]-Table2[[#This Row],[Pelnas]])</f>
        <v>0</v>
      </c>
      <c r="V571" s="49">
        <v>0</v>
      </c>
      <c r="W571" s="9">
        <v>35778</v>
      </c>
      <c r="X571" s="6">
        <v>0</v>
      </c>
      <c r="Y571" s="8">
        <f>Table2[[#This Row],[DU sąnaudos]]*0.43</f>
        <v>0</v>
      </c>
      <c r="Z571" s="8">
        <f>Table2[[#This Row],[Apyvarta]]-Table2[[#This Row],[Ne-atlyginimų sąnaudos]]+Table2[[#This Row],[Fiks ir pelno mokestis]]</f>
        <v>106868</v>
      </c>
    </row>
    <row r="572" spans="1:26" hidden="1" x14ac:dyDescent="0.2">
      <c r="A572" s="5" t="s">
        <v>1665</v>
      </c>
      <c r="B572" t="s">
        <v>1666</v>
      </c>
      <c r="C572">
        <v>2020</v>
      </c>
      <c r="D572" s="5" t="s">
        <v>1721</v>
      </c>
      <c r="E572" s="5" t="s">
        <v>1721</v>
      </c>
      <c r="F572" s="5" t="s">
        <v>1721</v>
      </c>
      <c r="G572" s="5" t="s">
        <v>1721</v>
      </c>
      <c r="H572" s="5" t="s">
        <v>1721</v>
      </c>
      <c r="I572" s="5" t="s">
        <v>1721</v>
      </c>
      <c r="J572" s="5" t="s">
        <v>1721</v>
      </c>
      <c r="K572" s="5" t="s">
        <v>193</v>
      </c>
      <c r="L572" s="5" t="s">
        <v>1721</v>
      </c>
      <c r="M572" s="9">
        <v>3</v>
      </c>
      <c r="N572" s="6">
        <f>IFERROR(Table2[[#This Row],[Darbuotojų skaičius]]/M571-1,0)</f>
        <v>0.5</v>
      </c>
      <c r="O572" s="9">
        <v>0</v>
      </c>
      <c r="P572" s="6">
        <v>0</v>
      </c>
      <c r="Q572" s="9">
        <f>Table2[[#This Row],[Atlyginimo vidurkis]]*Table2[[#This Row],[Darbuotojų skaičius]]*12</f>
        <v>0</v>
      </c>
      <c r="R572" s="49">
        <f>IFERROR(Table2[[#This Row],[DU sąnaudos]]/Q571-1,0)</f>
        <v>0</v>
      </c>
      <c r="S572" s="9">
        <v>188503</v>
      </c>
      <c r="T572" s="6">
        <v>0.76</v>
      </c>
      <c r="U572" s="9">
        <f>IF(Table2[[#This Row],[DU sąnaudos]]=0,0,Table2[[#This Row],[Apyvarta]]-Table2[[#This Row],[DU sąnaudos]]-Table2[[#This Row],[Pelnas]])</f>
        <v>0</v>
      </c>
      <c r="V572" s="49">
        <f>IFERROR(Table2[[#This Row],[Ne-atlyginimų sąnaudos]]/U571-1,0)</f>
        <v>0</v>
      </c>
      <c r="W572" s="9">
        <v>84072</v>
      </c>
      <c r="X572" s="6">
        <v>1.35</v>
      </c>
      <c r="Y572" s="8">
        <f>Table2[[#This Row],[DU sąnaudos]]*0.43</f>
        <v>0</v>
      </c>
      <c r="Z572" s="8">
        <f>Table2[[#This Row],[Apyvarta]]-Table2[[#This Row],[Ne-atlyginimų sąnaudos]]+Table2[[#This Row],[Fiks ir pelno mokestis]]</f>
        <v>188503</v>
      </c>
    </row>
    <row r="573" spans="1:26" hidden="1" x14ac:dyDescent="0.2">
      <c r="A573" s="5" t="s">
        <v>1665</v>
      </c>
      <c r="B573" t="s">
        <v>1666</v>
      </c>
      <c r="C573">
        <v>2021</v>
      </c>
      <c r="D573" s="5" t="s">
        <v>1721</v>
      </c>
      <c r="E573" s="5" t="s">
        <v>1721</v>
      </c>
      <c r="F573" s="5" t="s">
        <v>1721</v>
      </c>
      <c r="G573" s="5" t="s">
        <v>1721</v>
      </c>
      <c r="H573" s="5" t="s">
        <v>1721</v>
      </c>
      <c r="I573" s="5" t="s">
        <v>1721</v>
      </c>
      <c r="J573" s="5" t="s">
        <v>1721</v>
      </c>
      <c r="K573" s="5" t="s">
        <v>193</v>
      </c>
      <c r="L573" s="5" t="s">
        <v>1721</v>
      </c>
      <c r="M573" s="9">
        <v>5</v>
      </c>
      <c r="N573" s="6">
        <f>IFERROR(Table2[[#This Row],[Darbuotojų skaičius]]/M572-1,0)</f>
        <v>0.66666666666666674</v>
      </c>
      <c r="O573" s="9">
        <v>1467</v>
      </c>
      <c r="P573" s="6">
        <v>0</v>
      </c>
      <c r="Q573" s="9">
        <f>Table2[[#This Row],[Atlyginimo vidurkis]]*Table2[[#This Row],[Darbuotojų skaičius]]*12</f>
        <v>88020</v>
      </c>
      <c r="R573" s="49">
        <f>IFERROR(Table2[[#This Row],[DU sąnaudos]]/Q572-1,0)</f>
        <v>0</v>
      </c>
      <c r="S573" s="9">
        <v>334901</v>
      </c>
      <c r="T573" s="6">
        <v>0.78</v>
      </c>
      <c r="U573" s="9">
        <f>IF(Table2[[#This Row],[DU sąnaudos]]=0,0,Table2[[#This Row],[Apyvarta]]-Table2[[#This Row],[DU sąnaudos]]-Table2[[#This Row],[Pelnas]])</f>
        <v>180247</v>
      </c>
      <c r="V573" s="49">
        <f>IFERROR(Table2[[#This Row],[Ne-atlyginimų sąnaudos]]/U572-1,0)</f>
        <v>0</v>
      </c>
      <c r="W573" s="9">
        <v>66634</v>
      </c>
      <c r="X573" s="6">
        <v>-0.21</v>
      </c>
      <c r="Y573" s="8">
        <f>Table2[[#This Row],[DU sąnaudos]]*0.43</f>
        <v>37848.6</v>
      </c>
      <c r="Z573" s="8">
        <f>Table2[[#This Row],[Apyvarta]]-Table2[[#This Row],[Ne-atlyginimų sąnaudos]]+Table2[[#This Row],[Fiks ir pelno mokestis]]</f>
        <v>192502.6</v>
      </c>
    </row>
    <row r="574" spans="1:26" hidden="1" x14ac:dyDescent="0.2">
      <c r="A574" s="5" t="s">
        <v>1665</v>
      </c>
      <c r="B574" t="s">
        <v>1666</v>
      </c>
      <c r="C574">
        <v>2022</v>
      </c>
      <c r="D574" s="5" t="s">
        <v>1721</v>
      </c>
      <c r="E574" s="5" t="s">
        <v>1721</v>
      </c>
      <c r="F574" s="5" t="s">
        <v>1721</v>
      </c>
      <c r="G574" s="5" t="s">
        <v>1721</v>
      </c>
      <c r="H574" s="5" t="s">
        <v>1721</v>
      </c>
      <c r="I574" s="5" t="s">
        <v>1721</v>
      </c>
      <c r="J574" s="5" t="s">
        <v>1721</v>
      </c>
      <c r="K574" s="5" t="s">
        <v>193</v>
      </c>
      <c r="L574" s="5" t="s">
        <v>1721</v>
      </c>
      <c r="M574" s="9">
        <v>7</v>
      </c>
      <c r="N574" s="6">
        <f>IFERROR(Table2[[#This Row],[Darbuotojų skaičius]]/M573-1,0)</f>
        <v>0.39999999999999991</v>
      </c>
      <c r="O574" s="9">
        <v>1828</v>
      </c>
      <c r="P574" s="6">
        <v>0.25</v>
      </c>
      <c r="Q574" s="9">
        <f>Table2[[#This Row],[Atlyginimo vidurkis]]*Table2[[#This Row],[Darbuotojų skaičius]]*12</f>
        <v>153552</v>
      </c>
      <c r="R574" s="49">
        <f>IFERROR(Table2[[#This Row],[DU sąnaudos]]/Q573-1,0)</f>
        <v>0.74451261077027953</v>
      </c>
      <c r="S574" s="9">
        <v>557757</v>
      </c>
      <c r="T574" s="6">
        <v>0.67</v>
      </c>
      <c r="U574" s="9">
        <f>IF(Table2[[#This Row],[DU sąnaudos]]=0,0,Table2[[#This Row],[Apyvarta]]-Table2[[#This Row],[DU sąnaudos]]-Table2[[#This Row],[Pelnas]])</f>
        <v>315467</v>
      </c>
      <c r="V574" s="49">
        <f>IFERROR(Table2[[#This Row],[Ne-atlyginimų sąnaudos]]/U573-1,0)</f>
        <v>0.75019279100345626</v>
      </c>
      <c r="W574" s="9">
        <v>88738</v>
      </c>
      <c r="X574" s="6">
        <v>0.33</v>
      </c>
      <c r="Y574" s="8">
        <f>Table2[[#This Row],[DU sąnaudos]]*0.43</f>
        <v>66027.360000000001</v>
      </c>
      <c r="Z574" s="8">
        <f>Table2[[#This Row],[Apyvarta]]-Table2[[#This Row],[Ne-atlyginimų sąnaudos]]+Table2[[#This Row],[Fiks ir pelno mokestis]]</f>
        <v>308317.36</v>
      </c>
    </row>
    <row r="575" spans="1:26" hidden="1" x14ac:dyDescent="0.2">
      <c r="A575" s="5" t="s">
        <v>1665</v>
      </c>
      <c r="B575" t="s">
        <v>1666</v>
      </c>
      <c r="C575">
        <v>2023</v>
      </c>
      <c r="D575" s="5" t="s">
        <v>1721</v>
      </c>
      <c r="E575" s="5" t="s">
        <v>1721</v>
      </c>
      <c r="F575" s="5" t="s">
        <v>1721</v>
      </c>
      <c r="G575" s="5" t="s">
        <v>1721</v>
      </c>
      <c r="H575" s="5" t="s">
        <v>1721</v>
      </c>
      <c r="I575" s="5" t="s">
        <v>1721</v>
      </c>
      <c r="J575" s="5" t="s">
        <v>1721</v>
      </c>
      <c r="K575" s="5" t="s">
        <v>193</v>
      </c>
      <c r="L575" s="5" t="s">
        <v>1721</v>
      </c>
      <c r="M575" s="9">
        <v>8</v>
      </c>
      <c r="N575" s="6">
        <f>IFERROR(Table2[[#This Row],[Darbuotojų skaičius]]/M574-1,0)</f>
        <v>0.14285714285714279</v>
      </c>
      <c r="O575" s="9">
        <v>2501</v>
      </c>
      <c r="P575" s="6">
        <v>0.37</v>
      </c>
      <c r="Q575" s="9">
        <f>Table2[[#This Row],[Atlyginimo vidurkis]]*Table2[[#This Row],[Darbuotojų skaičius]]*12</f>
        <v>240096</v>
      </c>
      <c r="R575" s="49">
        <f>IFERROR(Table2[[#This Row],[DU sąnaudos]]/Q574-1,0)</f>
        <v>0.56361362925914338</v>
      </c>
      <c r="S575" s="9">
        <v>663263</v>
      </c>
      <c r="T575" s="6">
        <v>0.19</v>
      </c>
      <c r="U575" s="9">
        <f>IF(Table2[[#This Row],[DU sąnaudos]]=0,0,Table2[[#This Row],[Apyvarta]]-Table2[[#This Row],[DU sąnaudos]]-Table2[[#This Row],[Pelnas]])</f>
        <v>322915</v>
      </c>
      <c r="V575" s="49">
        <f>IFERROR(Table2[[#This Row],[Ne-atlyginimų sąnaudos]]/U574-1,0)</f>
        <v>2.3609442509042067E-2</v>
      </c>
      <c r="W575" s="9">
        <v>100252</v>
      </c>
      <c r="X575" s="6">
        <v>0.13</v>
      </c>
      <c r="Y575" s="8">
        <f>Table2[[#This Row],[DU sąnaudos]]*0.43</f>
        <v>103241.28</v>
      </c>
      <c r="Z575" s="8">
        <f>Table2[[#This Row],[Apyvarta]]-Table2[[#This Row],[Ne-atlyginimų sąnaudos]]+Table2[[#This Row],[Fiks ir pelno mokestis]]</f>
        <v>443589.28</v>
      </c>
    </row>
    <row r="576" spans="1:26" hidden="1" x14ac:dyDescent="0.2">
      <c r="A576" s="5" t="s">
        <v>1665</v>
      </c>
      <c r="B576" t="s">
        <v>1666</v>
      </c>
      <c r="C576">
        <v>2024</v>
      </c>
      <c r="D576" s="5" t="s">
        <v>1721</v>
      </c>
      <c r="E576" s="5" t="s">
        <v>1721</v>
      </c>
      <c r="F576" s="5" t="s">
        <v>1721</v>
      </c>
      <c r="G576" s="5" t="s">
        <v>1721</v>
      </c>
      <c r="H576" s="5" t="s">
        <v>1721</v>
      </c>
      <c r="I576" s="5" t="s">
        <v>1721</v>
      </c>
      <c r="J576" s="5" t="s">
        <v>1721</v>
      </c>
      <c r="K576" s="5" t="s">
        <v>193</v>
      </c>
      <c r="L576" s="5" t="s">
        <v>1721</v>
      </c>
      <c r="M576" s="9">
        <v>8</v>
      </c>
      <c r="N576" s="6">
        <f>IFERROR(Table2[[#This Row],[Darbuotojų skaičius]]/M575-1,0)</f>
        <v>0</v>
      </c>
      <c r="O576" s="9">
        <v>2967</v>
      </c>
      <c r="P576" s="6">
        <v>0.19</v>
      </c>
      <c r="Q576" s="9">
        <f>Table2[[#This Row],[Atlyginimo vidurkis]]*Table2[[#This Row],[Darbuotojų skaičius]]*12</f>
        <v>284832</v>
      </c>
      <c r="R576" s="49">
        <f>IFERROR(Table2[[#This Row],[DU sąnaudos]]/Q575-1,0)</f>
        <v>0.1863254698120751</v>
      </c>
      <c r="S576" s="9">
        <v>542041</v>
      </c>
      <c r="T576" s="6">
        <v>-0.18</v>
      </c>
      <c r="U576" s="9">
        <f>IF(Table2[[#This Row],[DU sąnaudos]]=0,0,Table2[[#This Row],[Apyvarta]]-Table2[[#This Row],[DU sąnaudos]]-Table2[[#This Row],[Pelnas]])</f>
        <v>167263</v>
      </c>
      <c r="V576" s="49">
        <f>IFERROR(Table2[[#This Row],[Ne-atlyginimų sąnaudos]]/U575-1,0)</f>
        <v>-0.48202158462753353</v>
      </c>
      <c r="W576" s="9">
        <v>89946</v>
      </c>
      <c r="X576" s="6">
        <v>-0.1</v>
      </c>
      <c r="Y576" s="8">
        <f>Table2[[#This Row],[DU sąnaudos]]*0.43</f>
        <v>122477.75999999999</v>
      </c>
      <c r="Z576" s="8">
        <f>Table2[[#This Row],[Apyvarta]]-Table2[[#This Row],[Ne-atlyginimų sąnaudos]]+Table2[[#This Row],[Fiks ir pelno mokestis]]</f>
        <v>497255.76</v>
      </c>
    </row>
    <row r="577" spans="1:26" x14ac:dyDescent="0.2">
      <c r="A577" s="5" t="s">
        <v>1669</v>
      </c>
      <c r="B577" s="5" t="s">
        <v>1667</v>
      </c>
      <c r="C577" s="5">
        <v>2019</v>
      </c>
      <c r="D577" s="5" t="s">
        <v>1721</v>
      </c>
      <c r="E577" s="5" t="s">
        <v>1721</v>
      </c>
      <c r="F577" s="5" t="s">
        <v>1721</v>
      </c>
      <c r="G577" s="5" t="s">
        <v>1721</v>
      </c>
      <c r="H577" s="5" t="s">
        <v>1721</v>
      </c>
      <c r="I577" s="5" t="s">
        <v>1721</v>
      </c>
      <c r="J577" s="5" t="s">
        <v>300</v>
      </c>
      <c r="K577" s="5" t="s">
        <v>193</v>
      </c>
      <c r="L577" s="5" t="s">
        <v>1721</v>
      </c>
      <c r="M577" s="9">
        <v>7</v>
      </c>
      <c r="N577" s="6">
        <v>0</v>
      </c>
      <c r="O577" s="9">
        <v>1630</v>
      </c>
      <c r="P577" s="6">
        <v>0</v>
      </c>
      <c r="Q577" s="9">
        <f>Table2[[#This Row],[Atlyginimo vidurkis]]*Table2[[#This Row],[Darbuotojų skaičius]]*12</f>
        <v>136920</v>
      </c>
      <c r="R577" s="49">
        <v>0</v>
      </c>
      <c r="S577" s="9">
        <v>184041</v>
      </c>
      <c r="T577" s="6">
        <v>0</v>
      </c>
      <c r="U577" s="9">
        <f>IF(Table2[[#This Row],[DU sąnaudos]]=0,0,Table2[[#This Row],[Apyvarta]]-Table2[[#This Row],[DU sąnaudos]]-Table2[[#This Row],[Pelnas]])</f>
        <v>81266</v>
      </c>
      <c r="V577" s="49">
        <v>0</v>
      </c>
      <c r="W577" s="9">
        <v>-34145</v>
      </c>
      <c r="X577" s="6">
        <v>0</v>
      </c>
      <c r="Y577" s="8">
        <f>Table2[[#This Row],[DU sąnaudos]]*0.43</f>
        <v>58875.6</v>
      </c>
      <c r="Z577" s="8">
        <f>Table2[[#This Row],[Apyvarta]]-Table2[[#This Row],[Ne-atlyginimų sąnaudos]]+Table2[[#This Row],[Fiks ir pelno mokestis]]</f>
        <v>161650.6</v>
      </c>
    </row>
    <row r="578" spans="1:26" x14ac:dyDescent="0.2">
      <c r="A578" s="5" t="s">
        <v>1669</v>
      </c>
      <c r="B578" s="5" t="s">
        <v>1667</v>
      </c>
      <c r="C578" s="5">
        <v>2020</v>
      </c>
      <c r="D578" s="5" t="s">
        <v>1721</v>
      </c>
      <c r="E578" s="5" t="s">
        <v>1721</v>
      </c>
      <c r="F578" s="5" t="s">
        <v>1721</v>
      </c>
      <c r="G578" s="5" t="s">
        <v>1721</v>
      </c>
      <c r="H578" s="5" t="s">
        <v>1721</v>
      </c>
      <c r="I578" s="5" t="s">
        <v>1721</v>
      </c>
      <c r="J578" s="5" t="s">
        <v>300</v>
      </c>
      <c r="K578" s="5" t="s">
        <v>193</v>
      </c>
      <c r="L578" s="5" t="s">
        <v>1721</v>
      </c>
      <c r="M578" s="9">
        <v>8</v>
      </c>
      <c r="N578" s="6">
        <f>IFERROR(Table2[[#This Row],[Darbuotojų skaičius]]/M577-1,0)</f>
        <v>0.14285714285714279</v>
      </c>
      <c r="O578" s="9">
        <v>1620</v>
      </c>
      <c r="P578" s="6">
        <v>-6.1349693251533388E-3</v>
      </c>
      <c r="Q578" s="9">
        <f>Table2[[#This Row],[Atlyginimo vidurkis]]*Table2[[#This Row],[Darbuotojų skaičius]]*12</f>
        <v>155520</v>
      </c>
      <c r="R578" s="49">
        <f>IFERROR(Table2[[#This Row],[DU sąnaudos]]/Q577-1,0)</f>
        <v>0.1358457493426819</v>
      </c>
      <c r="S578" s="9">
        <v>185268</v>
      </c>
      <c r="T578" s="6">
        <v>6.6669926809785904E-3</v>
      </c>
      <c r="U578" s="9">
        <f>IF(Table2[[#This Row],[DU sąnaudos]]=0,0,Table2[[#This Row],[Apyvarta]]-Table2[[#This Row],[DU sąnaudos]]-Table2[[#This Row],[Pelnas]])</f>
        <v>75161</v>
      </c>
      <c r="V578" s="49">
        <f>IFERROR(Table2[[#This Row],[Ne-atlyginimų sąnaudos]]/U577-1,0)</f>
        <v>-7.5123667954618223E-2</v>
      </c>
      <c r="W578" s="9">
        <v>-45413</v>
      </c>
      <c r="X578" s="6">
        <v>0.33000439302972612</v>
      </c>
      <c r="Y578" s="8">
        <f>Table2[[#This Row],[DU sąnaudos]]*0.43</f>
        <v>66873.600000000006</v>
      </c>
      <c r="Z578" s="8">
        <f>Table2[[#This Row],[Apyvarta]]-Table2[[#This Row],[Ne-atlyginimų sąnaudos]]+Table2[[#This Row],[Fiks ir pelno mokestis]]</f>
        <v>176980.6</v>
      </c>
    </row>
    <row r="579" spans="1:26" x14ac:dyDescent="0.2">
      <c r="A579" s="5" t="s">
        <v>1669</v>
      </c>
      <c r="B579" s="5" t="s">
        <v>1667</v>
      </c>
      <c r="C579" s="5">
        <v>2021</v>
      </c>
      <c r="D579" s="5" t="s">
        <v>1721</v>
      </c>
      <c r="E579" s="5" t="s">
        <v>1721</v>
      </c>
      <c r="F579" s="5" t="s">
        <v>1721</v>
      </c>
      <c r="G579" s="5" t="s">
        <v>1721</v>
      </c>
      <c r="H579" s="5" t="s">
        <v>1721</v>
      </c>
      <c r="I579" s="5" t="s">
        <v>1721</v>
      </c>
      <c r="J579" s="5" t="s">
        <v>300</v>
      </c>
      <c r="K579" s="5" t="s">
        <v>193</v>
      </c>
      <c r="L579" s="5" t="s">
        <v>1721</v>
      </c>
      <c r="M579" s="9">
        <v>7</v>
      </c>
      <c r="N579" s="6">
        <f>IFERROR(Table2[[#This Row],[Darbuotojų skaičius]]/M578-1,0)</f>
        <v>-0.125</v>
      </c>
      <c r="O579" s="9">
        <v>1770</v>
      </c>
      <c r="P579" s="6">
        <v>9.259259259259256E-2</v>
      </c>
      <c r="Q579" s="9">
        <f>Table2[[#This Row],[Atlyginimo vidurkis]]*Table2[[#This Row],[Darbuotojų skaičius]]*12</f>
        <v>148680</v>
      </c>
      <c r="R579" s="49">
        <f>IFERROR(Table2[[#This Row],[DU sąnaudos]]/Q578-1,0)</f>
        <v>-4.398148148148151E-2</v>
      </c>
      <c r="S579" s="9">
        <v>137096</v>
      </c>
      <c r="T579" s="6">
        <v>-0.26001252239998268</v>
      </c>
      <c r="U579" s="9">
        <f>IF(Table2[[#This Row],[DU sąnaudos]]=0,0,Table2[[#This Row],[Apyvarta]]-Table2[[#This Row],[DU sąnaudos]]-Table2[[#This Row],[Pelnas]])</f>
        <v>57715</v>
      </c>
      <c r="V579" s="49">
        <f>IFERROR(Table2[[#This Row],[Ne-atlyginimų sąnaudos]]/U578-1,0)</f>
        <v>-0.23211505967190427</v>
      </c>
      <c r="W579" s="9">
        <v>-69299</v>
      </c>
      <c r="X579" s="6">
        <v>0.52597273908352227</v>
      </c>
      <c r="Y579" s="8">
        <f>Table2[[#This Row],[DU sąnaudos]]*0.43</f>
        <v>63932.4</v>
      </c>
      <c r="Z579" s="8">
        <f>Table2[[#This Row],[Apyvarta]]-Table2[[#This Row],[Ne-atlyginimų sąnaudos]]+Table2[[#This Row],[Fiks ir pelno mokestis]]</f>
        <v>143313.4</v>
      </c>
    </row>
    <row r="580" spans="1:26" x14ac:dyDescent="0.2">
      <c r="A580" s="5" t="s">
        <v>1669</v>
      </c>
      <c r="B580" s="5" t="s">
        <v>1667</v>
      </c>
      <c r="C580" s="5">
        <v>2022</v>
      </c>
      <c r="D580" s="5" t="s">
        <v>1721</v>
      </c>
      <c r="E580" s="5" t="s">
        <v>1721</v>
      </c>
      <c r="F580" s="5" t="s">
        <v>1721</v>
      </c>
      <c r="G580" s="5" t="s">
        <v>1721</v>
      </c>
      <c r="H580" s="5" t="s">
        <v>1721</v>
      </c>
      <c r="I580" s="5" t="s">
        <v>1721</v>
      </c>
      <c r="J580" s="5" t="s">
        <v>300</v>
      </c>
      <c r="K580" s="5" t="s">
        <v>193</v>
      </c>
      <c r="L580" s="5" t="s">
        <v>1721</v>
      </c>
      <c r="M580" s="9">
        <v>6</v>
      </c>
      <c r="N580" s="6">
        <f>IFERROR(Table2[[#This Row],[Darbuotojų skaičius]]/M579-1,0)</f>
        <v>-0.1428571428571429</v>
      </c>
      <c r="O580" s="9">
        <v>1272</v>
      </c>
      <c r="P580" s="6">
        <v>-0.28135593220338978</v>
      </c>
      <c r="Q580" s="9">
        <f>Table2[[#This Row],[Atlyginimo vidurkis]]*Table2[[#This Row],[Darbuotojų skaičius]]*12</f>
        <v>91584</v>
      </c>
      <c r="R580" s="49">
        <f>IFERROR(Table2[[#This Row],[DU sąnaudos]]/Q579-1,0)</f>
        <v>-0.38401937046004841</v>
      </c>
      <c r="S580" s="9">
        <v>176468</v>
      </c>
      <c r="T580" s="6">
        <v>0.28718562175409929</v>
      </c>
      <c r="U580" s="9">
        <f>IF(Table2[[#This Row],[DU sąnaudos]]=0,0,Table2[[#This Row],[Apyvarta]]-Table2[[#This Row],[DU sąnaudos]]-Table2[[#This Row],[Pelnas]])</f>
        <v>59283</v>
      </c>
      <c r="V580" s="49">
        <f>IFERROR(Table2[[#This Row],[Ne-atlyginimų sąnaudos]]/U579-1,0)</f>
        <v>2.7167980594299479E-2</v>
      </c>
      <c r="W580" s="9">
        <v>25601</v>
      </c>
      <c r="X580" s="6">
        <v>-1.36942813027605</v>
      </c>
      <c r="Y580" s="8">
        <f>Table2[[#This Row],[DU sąnaudos]]*0.43</f>
        <v>39381.120000000003</v>
      </c>
      <c r="Z580" s="8">
        <f>Table2[[#This Row],[Apyvarta]]-Table2[[#This Row],[Ne-atlyginimų sąnaudos]]+Table2[[#This Row],[Fiks ir pelno mokestis]]</f>
        <v>156566.12</v>
      </c>
    </row>
    <row r="581" spans="1:26" x14ac:dyDescent="0.2">
      <c r="A581" s="5" t="s">
        <v>1669</v>
      </c>
      <c r="B581" s="5" t="s">
        <v>1667</v>
      </c>
      <c r="C581" s="5">
        <v>2023</v>
      </c>
      <c r="D581" s="5" t="s">
        <v>1721</v>
      </c>
      <c r="E581" s="5" t="s">
        <v>1721</v>
      </c>
      <c r="F581" s="5" t="s">
        <v>1721</v>
      </c>
      <c r="G581" s="5" t="s">
        <v>1721</v>
      </c>
      <c r="H581" s="5" t="s">
        <v>1721</v>
      </c>
      <c r="I581" s="5" t="s">
        <v>1721</v>
      </c>
      <c r="J581" s="5" t="s">
        <v>300</v>
      </c>
      <c r="K581" s="5" t="s">
        <v>193</v>
      </c>
      <c r="L581" s="5" t="s">
        <v>1721</v>
      </c>
      <c r="M581" s="9">
        <v>6</v>
      </c>
      <c r="N581" s="6">
        <f>IFERROR(Table2[[#This Row],[Darbuotojų skaičius]]/M580-1,0)</f>
        <v>0</v>
      </c>
      <c r="O581" s="9">
        <v>939</v>
      </c>
      <c r="P581" s="6">
        <v>-0.2617924528301887</v>
      </c>
      <c r="Q581" s="9">
        <f>Table2[[#This Row],[Atlyginimo vidurkis]]*Table2[[#This Row],[Darbuotojų skaičius]]*12</f>
        <v>67608</v>
      </c>
      <c r="R581" s="49">
        <f>IFERROR(Table2[[#This Row],[DU sąnaudos]]/Q580-1,0)</f>
        <v>-0.2617924528301887</v>
      </c>
      <c r="S581" s="9">
        <v>145013</v>
      </c>
      <c r="T581" s="6">
        <v>-0.17824761429834299</v>
      </c>
      <c r="U581" s="9">
        <f>IF(Table2[[#This Row],[DU sąnaudos]]=0,0,Table2[[#This Row],[Apyvarta]]-Table2[[#This Row],[DU sąnaudos]]-Table2[[#This Row],[Pelnas]])</f>
        <v>42361</v>
      </c>
      <c r="V581" s="49">
        <f>IFERROR(Table2[[#This Row],[Ne-atlyginimų sąnaudos]]/U580-1,0)</f>
        <v>-0.28544439383971798</v>
      </c>
      <c r="W581" s="9">
        <v>35044</v>
      </c>
      <c r="X581" s="6">
        <v>0.36885277918831288</v>
      </c>
      <c r="Y581" s="8">
        <f>Table2[[#This Row],[DU sąnaudos]]*0.43</f>
        <v>29071.439999999999</v>
      </c>
      <c r="Z581" s="8">
        <f>Table2[[#This Row],[Apyvarta]]-Table2[[#This Row],[Ne-atlyginimų sąnaudos]]+Table2[[#This Row],[Fiks ir pelno mokestis]]</f>
        <v>131723.44</v>
      </c>
    </row>
    <row r="582" spans="1:26" x14ac:dyDescent="0.2">
      <c r="A582" s="5" t="s">
        <v>1669</v>
      </c>
      <c r="B582" s="5" t="s">
        <v>1667</v>
      </c>
      <c r="C582" s="5">
        <v>2024</v>
      </c>
      <c r="D582" s="5" t="s">
        <v>1721</v>
      </c>
      <c r="E582" s="5" t="s">
        <v>1721</v>
      </c>
      <c r="F582" s="5" t="s">
        <v>1721</v>
      </c>
      <c r="G582" s="5" t="s">
        <v>1721</v>
      </c>
      <c r="H582" s="5" t="s">
        <v>1721</v>
      </c>
      <c r="I582" s="5" t="s">
        <v>1721</v>
      </c>
      <c r="J582" s="5" t="s">
        <v>300</v>
      </c>
      <c r="K582" s="5" t="s">
        <v>193</v>
      </c>
      <c r="L582" s="5" t="s">
        <v>1721</v>
      </c>
      <c r="M582" s="9">
        <v>5</v>
      </c>
      <c r="N582" s="6">
        <f>IFERROR(Table2[[#This Row],[Darbuotojų skaičius]]/M581-1,0)</f>
        <v>-0.16666666666666663</v>
      </c>
      <c r="O582" s="9">
        <v>116</v>
      </c>
      <c r="P582" s="6">
        <v>-0.87646432374866878</v>
      </c>
      <c r="Q582" s="9">
        <f>Table2[[#This Row],[Atlyginimo vidurkis]]*Table2[[#This Row],[Darbuotojų skaičius]]*12</f>
        <v>6960</v>
      </c>
      <c r="R582" s="49">
        <f>IFERROR(Table2[[#This Row],[DU sąnaudos]]/Q581-1,0)</f>
        <v>-0.89705360312389071</v>
      </c>
      <c r="S582" s="9">
        <v>87681</v>
      </c>
      <c r="T582" s="6">
        <v>-0.39535765758931962</v>
      </c>
      <c r="U582" s="9">
        <f>IF(Table2[[#This Row],[DU sąnaudos]]=0,0,Table2[[#This Row],[Apyvarta]]-Table2[[#This Row],[DU sąnaudos]]-Table2[[#This Row],[Pelnas]])</f>
        <v>-5984</v>
      </c>
      <c r="V582" s="49">
        <f>IFERROR(Table2[[#This Row],[Ne-atlyginimų sąnaudos]]/U581-1,0)</f>
        <v>-1.141262009867567</v>
      </c>
      <c r="W582" s="9">
        <v>86705</v>
      </c>
      <c r="X582" s="6">
        <v>1.4741753224517751</v>
      </c>
      <c r="Y582" s="8">
        <f>Table2[[#This Row],[DU sąnaudos]]*0.43</f>
        <v>2992.7999999999997</v>
      </c>
      <c r="Z582" s="8">
        <f>Table2[[#This Row],[Apyvarta]]-Table2[[#This Row],[Ne-atlyginimų sąnaudos]]+Table2[[#This Row],[Fiks ir pelno mokestis]]</f>
        <v>96657.8</v>
      </c>
    </row>
    <row r="583" spans="1:26" hidden="1" x14ac:dyDescent="0.2">
      <c r="A583" s="5" t="s">
        <v>842</v>
      </c>
      <c r="B583" s="5" t="s">
        <v>1672</v>
      </c>
      <c r="C583" s="5">
        <v>2019</v>
      </c>
      <c r="D583" s="5" t="s">
        <v>1721</v>
      </c>
      <c r="E583" s="5" t="s">
        <v>1721</v>
      </c>
      <c r="F583" s="5" t="s">
        <v>1721</v>
      </c>
      <c r="G583" s="5" t="s">
        <v>1721</v>
      </c>
      <c r="H583" s="5" t="s">
        <v>1721</v>
      </c>
      <c r="I583" s="5" t="s">
        <v>1721</v>
      </c>
      <c r="J583" s="5" t="s">
        <v>1721</v>
      </c>
      <c r="K583" s="5" t="s">
        <v>193</v>
      </c>
      <c r="L583" s="5" t="s">
        <v>1721</v>
      </c>
      <c r="M583" s="9">
        <v>0</v>
      </c>
      <c r="N583" s="6">
        <v>0</v>
      </c>
      <c r="O583" s="9">
        <v>0</v>
      </c>
      <c r="P583" s="6">
        <v>0</v>
      </c>
      <c r="Q583" s="9">
        <f>Table2[[#This Row],[Atlyginimo vidurkis]]*Table2[[#This Row],[Darbuotojų skaičius]]*12</f>
        <v>0</v>
      </c>
      <c r="R583" s="49">
        <v>0</v>
      </c>
      <c r="S583" s="9">
        <v>0</v>
      </c>
      <c r="T583" s="6">
        <v>0</v>
      </c>
      <c r="U583" s="9">
        <f>IF(Table2[[#This Row],[DU sąnaudos]]=0,0,Table2[[#This Row],[Apyvarta]]-Table2[[#This Row],[DU sąnaudos]]-Table2[[#This Row],[Pelnas]])</f>
        <v>0</v>
      </c>
      <c r="V583" s="49">
        <v>0</v>
      </c>
      <c r="W583" s="9">
        <v>0</v>
      </c>
      <c r="X583" s="6">
        <v>0</v>
      </c>
      <c r="Y583" s="8">
        <f>Table2[[#This Row],[DU sąnaudos]]*0.43</f>
        <v>0</v>
      </c>
      <c r="Z583" s="8">
        <f>Table2[[#This Row],[Apyvarta]]-Table2[[#This Row],[Ne-atlyginimų sąnaudos]]+Table2[[#This Row],[Fiks ir pelno mokestis]]</f>
        <v>0</v>
      </c>
    </row>
    <row r="584" spans="1:26" hidden="1" x14ac:dyDescent="0.2">
      <c r="A584" s="5" t="s">
        <v>842</v>
      </c>
      <c r="B584" s="5" t="s">
        <v>1672</v>
      </c>
      <c r="C584" s="5">
        <v>2020</v>
      </c>
      <c r="D584" s="5" t="s">
        <v>1721</v>
      </c>
      <c r="E584" s="5" t="s">
        <v>1721</v>
      </c>
      <c r="F584" s="5" t="s">
        <v>1721</v>
      </c>
      <c r="G584" s="5" t="s">
        <v>1721</v>
      </c>
      <c r="H584" s="5" t="s">
        <v>1721</v>
      </c>
      <c r="I584" s="5" t="s">
        <v>1721</v>
      </c>
      <c r="J584" s="5" t="s">
        <v>1721</v>
      </c>
      <c r="K584" s="5" t="s">
        <v>193</v>
      </c>
      <c r="L584" s="5" t="s">
        <v>1721</v>
      </c>
      <c r="M584" s="9">
        <v>0</v>
      </c>
      <c r="N584" s="6">
        <f>IFERROR(Table2[[#This Row],[Darbuotojų skaičius]]/M583-1,0)</f>
        <v>0</v>
      </c>
      <c r="O584" s="9">
        <v>0</v>
      </c>
      <c r="P584" s="6">
        <v>0</v>
      </c>
      <c r="Q584" s="9">
        <f>Table2[[#This Row],[Atlyginimo vidurkis]]*Table2[[#This Row],[Darbuotojų skaičius]]*12</f>
        <v>0</v>
      </c>
      <c r="R584" s="49">
        <f>IFERROR(Table2[[#This Row],[DU sąnaudos]]/Q583-1,0)</f>
        <v>0</v>
      </c>
      <c r="S584" s="9">
        <v>0</v>
      </c>
      <c r="T584" s="6">
        <v>0</v>
      </c>
      <c r="U584" s="9">
        <f>IF(Table2[[#This Row],[DU sąnaudos]]=0,0,Table2[[#This Row],[Apyvarta]]-Table2[[#This Row],[DU sąnaudos]]-Table2[[#This Row],[Pelnas]])</f>
        <v>0</v>
      </c>
      <c r="V584" s="49">
        <f>IFERROR(Table2[[#This Row],[Ne-atlyginimų sąnaudos]]/U583-1,0)</f>
        <v>0</v>
      </c>
      <c r="W584" s="9">
        <v>0</v>
      </c>
      <c r="X584" s="6">
        <v>0</v>
      </c>
      <c r="Y584" s="8">
        <f>Table2[[#This Row],[DU sąnaudos]]*0.43</f>
        <v>0</v>
      </c>
      <c r="Z584" s="8">
        <f>Table2[[#This Row],[Apyvarta]]-Table2[[#This Row],[Ne-atlyginimų sąnaudos]]+Table2[[#This Row],[Fiks ir pelno mokestis]]</f>
        <v>0</v>
      </c>
    </row>
    <row r="585" spans="1:26" hidden="1" x14ac:dyDescent="0.2">
      <c r="A585" s="5" t="s">
        <v>842</v>
      </c>
      <c r="B585" s="5" t="s">
        <v>1672</v>
      </c>
      <c r="C585" s="5">
        <v>2021</v>
      </c>
      <c r="D585" s="5" t="s">
        <v>1721</v>
      </c>
      <c r="E585" s="5" t="s">
        <v>1721</v>
      </c>
      <c r="F585" s="5" t="s">
        <v>1721</v>
      </c>
      <c r="G585" s="5" t="s">
        <v>1721</v>
      </c>
      <c r="H585" s="5" t="s">
        <v>1721</v>
      </c>
      <c r="I585" s="5" t="s">
        <v>1721</v>
      </c>
      <c r="J585" s="5" t="s">
        <v>1721</v>
      </c>
      <c r="K585" s="5" t="s">
        <v>193</v>
      </c>
      <c r="L585" s="5" t="s">
        <v>1721</v>
      </c>
      <c r="M585" s="9">
        <v>0</v>
      </c>
      <c r="N585" s="6">
        <f>IFERROR(Table2[[#This Row],[Darbuotojų skaičius]]/M584-1,0)</f>
        <v>0</v>
      </c>
      <c r="O585" s="9">
        <v>0</v>
      </c>
      <c r="P585" s="6">
        <v>0</v>
      </c>
      <c r="Q585" s="9">
        <f>Table2[[#This Row],[Atlyginimo vidurkis]]*Table2[[#This Row],[Darbuotojų skaičius]]*12</f>
        <v>0</v>
      </c>
      <c r="R585" s="49">
        <f>IFERROR(Table2[[#This Row],[DU sąnaudos]]/Q584-1,0)</f>
        <v>0</v>
      </c>
      <c r="S585" s="9">
        <v>20541</v>
      </c>
      <c r="T585" s="6">
        <v>0</v>
      </c>
      <c r="U585" s="9">
        <f>IF(Table2[[#This Row],[DU sąnaudos]]=0,0,Table2[[#This Row],[Apyvarta]]-Table2[[#This Row],[DU sąnaudos]]-Table2[[#This Row],[Pelnas]])</f>
        <v>0</v>
      </c>
      <c r="V585" s="49">
        <f>IFERROR(Table2[[#This Row],[Ne-atlyginimų sąnaudos]]/U584-1,0)</f>
        <v>0</v>
      </c>
      <c r="W585" s="9">
        <v>8091</v>
      </c>
      <c r="X585" s="6">
        <v>0</v>
      </c>
      <c r="Y585" s="8">
        <f>Table2[[#This Row],[DU sąnaudos]]*0.43</f>
        <v>0</v>
      </c>
      <c r="Z585" s="8">
        <f>Table2[[#This Row],[Apyvarta]]-Table2[[#This Row],[Ne-atlyginimų sąnaudos]]+Table2[[#This Row],[Fiks ir pelno mokestis]]</f>
        <v>20541</v>
      </c>
    </row>
    <row r="586" spans="1:26" hidden="1" x14ac:dyDescent="0.2">
      <c r="A586" s="5" t="s">
        <v>842</v>
      </c>
      <c r="B586" s="5" t="s">
        <v>1672</v>
      </c>
      <c r="C586" s="5">
        <v>2022</v>
      </c>
      <c r="D586" s="5" t="s">
        <v>1721</v>
      </c>
      <c r="E586" s="5" t="s">
        <v>1721</v>
      </c>
      <c r="F586" s="5" t="s">
        <v>1721</v>
      </c>
      <c r="G586" s="5" t="s">
        <v>1721</v>
      </c>
      <c r="H586" s="5" t="s">
        <v>1721</v>
      </c>
      <c r="I586" s="5" t="s">
        <v>1721</v>
      </c>
      <c r="J586" s="5" t="s">
        <v>1721</v>
      </c>
      <c r="K586" s="5" t="s">
        <v>193</v>
      </c>
      <c r="L586" s="5" t="s">
        <v>1721</v>
      </c>
      <c r="M586" s="9">
        <v>1</v>
      </c>
      <c r="N586" s="6">
        <f>IFERROR(Table2[[#This Row],[Darbuotojų skaičius]]/M585-1,0)</f>
        <v>0</v>
      </c>
      <c r="O586" s="9">
        <v>0</v>
      </c>
      <c r="P586" s="6">
        <v>0</v>
      </c>
      <c r="Q586" s="9">
        <f>Table2[[#This Row],[Atlyginimo vidurkis]]*Table2[[#This Row],[Darbuotojų skaičius]]*12</f>
        <v>0</v>
      </c>
      <c r="R586" s="49">
        <f>IFERROR(Table2[[#This Row],[DU sąnaudos]]/Q585-1,0)</f>
        <v>0</v>
      </c>
      <c r="S586" s="9">
        <v>109420</v>
      </c>
      <c r="T586" s="6">
        <v>4.3269071612871821</v>
      </c>
      <c r="U586" s="9">
        <f>IF(Table2[[#This Row],[DU sąnaudos]]=0,0,Table2[[#This Row],[Apyvarta]]-Table2[[#This Row],[DU sąnaudos]]-Table2[[#This Row],[Pelnas]])</f>
        <v>0</v>
      </c>
      <c r="V586" s="49">
        <f>IFERROR(Table2[[#This Row],[Ne-atlyginimų sąnaudos]]/U585-1,0)</f>
        <v>0</v>
      </c>
      <c r="W586" s="9">
        <v>-1170</v>
      </c>
      <c r="X586" s="6">
        <v>-1.1446051167964399</v>
      </c>
      <c r="Y586" s="8">
        <f>Table2[[#This Row],[DU sąnaudos]]*0.43</f>
        <v>0</v>
      </c>
      <c r="Z586" s="8">
        <f>Table2[[#This Row],[Apyvarta]]-Table2[[#This Row],[Ne-atlyginimų sąnaudos]]+Table2[[#This Row],[Fiks ir pelno mokestis]]</f>
        <v>109420</v>
      </c>
    </row>
    <row r="587" spans="1:26" hidden="1" x14ac:dyDescent="0.2">
      <c r="A587" s="5" t="s">
        <v>842</v>
      </c>
      <c r="B587" s="5" t="s">
        <v>1672</v>
      </c>
      <c r="C587" s="5">
        <v>2023</v>
      </c>
      <c r="D587" s="5" t="s">
        <v>1721</v>
      </c>
      <c r="E587" s="5" t="s">
        <v>1721</v>
      </c>
      <c r="F587" s="5" t="s">
        <v>1721</v>
      </c>
      <c r="G587" s="5" t="s">
        <v>1721</v>
      </c>
      <c r="H587" s="5" t="s">
        <v>1721</v>
      </c>
      <c r="I587" s="5" t="s">
        <v>1721</v>
      </c>
      <c r="J587" s="5" t="s">
        <v>1721</v>
      </c>
      <c r="K587" s="5" t="s">
        <v>193</v>
      </c>
      <c r="L587" s="5" t="s">
        <v>1721</v>
      </c>
      <c r="M587" s="9">
        <v>1</v>
      </c>
      <c r="N587" s="6">
        <f>IFERROR(Table2[[#This Row],[Darbuotojų skaičius]]/M586-1,0)</f>
        <v>0</v>
      </c>
      <c r="O587" s="9">
        <v>0</v>
      </c>
      <c r="P587" s="6">
        <v>0</v>
      </c>
      <c r="Q587" s="9">
        <f>Table2[[#This Row],[Atlyginimo vidurkis]]*Table2[[#This Row],[Darbuotojų skaičius]]*12</f>
        <v>0</v>
      </c>
      <c r="R587" s="49">
        <f>IFERROR(Table2[[#This Row],[DU sąnaudos]]/Q586-1,0)</f>
        <v>0</v>
      </c>
      <c r="S587" s="9">
        <v>87472</v>
      </c>
      <c r="T587" s="6">
        <v>-0.2005849022116615</v>
      </c>
      <c r="U587" s="9">
        <f>IF(Table2[[#This Row],[DU sąnaudos]]=0,0,Table2[[#This Row],[Apyvarta]]-Table2[[#This Row],[DU sąnaudos]]-Table2[[#This Row],[Pelnas]])</f>
        <v>0</v>
      </c>
      <c r="V587" s="49">
        <f>IFERROR(Table2[[#This Row],[Ne-atlyginimų sąnaudos]]/U586-1,0)</f>
        <v>0</v>
      </c>
      <c r="W587" s="9">
        <v>-8800</v>
      </c>
      <c r="X587" s="6">
        <v>6.5213675213675213</v>
      </c>
      <c r="Y587" s="8">
        <f>Table2[[#This Row],[DU sąnaudos]]*0.43</f>
        <v>0</v>
      </c>
      <c r="Z587" s="8">
        <f>Table2[[#This Row],[Apyvarta]]-Table2[[#This Row],[Ne-atlyginimų sąnaudos]]+Table2[[#This Row],[Fiks ir pelno mokestis]]</f>
        <v>87472</v>
      </c>
    </row>
    <row r="588" spans="1:26" hidden="1" x14ac:dyDescent="0.2">
      <c r="A588" s="5" t="s">
        <v>842</v>
      </c>
      <c r="B588" s="5" t="s">
        <v>1672</v>
      </c>
      <c r="C588" s="5">
        <v>2024</v>
      </c>
      <c r="D588" s="5" t="s">
        <v>1721</v>
      </c>
      <c r="E588" s="5" t="s">
        <v>1721</v>
      </c>
      <c r="F588" s="5" t="s">
        <v>1721</v>
      </c>
      <c r="G588" s="5" t="s">
        <v>1721</v>
      </c>
      <c r="H588" s="5" t="s">
        <v>1721</v>
      </c>
      <c r="I588" s="5" t="s">
        <v>1721</v>
      </c>
      <c r="J588" s="5" t="s">
        <v>1721</v>
      </c>
      <c r="K588" s="5" t="s">
        <v>193</v>
      </c>
      <c r="L588" s="5" t="s">
        <v>1721</v>
      </c>
      <c r="M588" s="9">
        <v>1</v>
      </c>
      <c r="N588" s="6">
        <f>IFERROR(Table2[[#This Row],[Darbuotojų skaičius]]/M587-1,0)</f>
        <v>0</v>
      </c>
      <c r="O588" s="9">
        <v>0</v>
      </c>
      <c r="P588" s="6">
        <v>0</v>
      </c>
      <c r="Q588" s="9">
        <f>Table2[[#This Row],[Atlyginimo vidurkis]]*Table2[[#This Row],[Darbuotojų skaičius]]*12</f>
        <v>0</v>
      </c>
      <c r="R588" s="49">
        <f>IFERROR(Table2[[#This Row],[DU sąnaudos]]/Q587-1,0)</f>
        <v>0</v>
      </c>
      <c r="S588" s="9">
        <v>124520</v>
      </c>
      <c r="T588" s="6">
        <v>0.4235412474849094</v>
      </c>
      <c r="U588" s="9">
        <f>IF(Table2[[#This Row],[DU sąnaudos]]=0,0,Table2[[#This Row],[Apyvarta]]-Table2[[#This Row],[DU sąnaudos]]-Table2[[#This Row],[Pelnas]])</f>
        <v>0</v>
      </c>
      <c r="V588" s="49">
        <f>IFERROR(Table2[[#This Row],[Ne-atlyginimų sąnaudos]]/U587-1,0)</f>
        <v>0</v>
      </c>
      <c r="W588" s="9">
        <v>4937</v>
      </c>
      <c r="X588" s="6">
        <v>-1.5610227272727271</v>
      </c>
      <c r="Y588" s="8">
        <f>Table2[[#This Row],[DU sąnaudos]]*0.43</f>
        <v>0</v>
      </c>
      <c r="Z588" s="8">
        <f>Table2[[#This Row],[Apyvarta]]-Table2[[#This Row],[Ne-atlyginimų sąnaudos]]+Table2[[#This Row],[Fiks ir pelno mokestis]]</f>
        <v>124520</v>
      </c>
    </row>
    <row r="589" spans="1:26" hidden="1" x14ac:dyDescent="0.2">
      <c r="A589" s="5" t="s">
        <v>600</v>
      </c>
      <c r="B589" s="5" t="s">
        <v>1674</v>
      </c>
      <c r="C589" s="5">
        <v>2019</v>
      </c>
      <c r="D589" s="5" t="s">
        <v>1721</v>
      </c>
      <c r="E589" s="5" t="s">
        <v>1721</v>
      </c>
      <c r="F589" s="5" t="s">
        <v>1726</v>
      </c>
      <c r="G589" s="5" t="s">
        <v>1721</v>
      </c>
      <c r="H589" s="5" t="s">
        <v>1721</v>
      </c>
      <c r="I589" s="5" t="s">
        <v>1721</v>
      </c>
      <c r="J589" s="5" t="s">
        <v>1721</v>
      </c>
      <c r="K589" s="5" t="s">
        <v>193</v>
      </c>
      <c r="L589" s="5" t="s">
        <v>1721</v>
      </c>
      <c r="M589" s="9">
        <v>10</v>
      </c>
      <c r="N589" s="6">
        <v>0</v>
      </c>
      <c r="O589" s="9">
        <v>2052</v>
      </c>
      <c r="P589" s="6">
        <v>0</v>
      </c>
      <c r="Q589" s="9">
        <f>Table2[[#This Row],[Atlyginimo vidurkis]]*Table2[[#This Row],[Darbuotojų skaičius]]*12</f>
        <v>246240</v>
      </c>
      <c r="R589" s="49">
        <v>0</v>
      </c>
      <c r="S589" s="9">
        <v>338919</v>
      </c>
      <c r="T589" s="6">
        <v>0</v>
      </c>
      <c r="U589" s="9">
        <f>IF(Table2[[#This Row],[DU sąnaudos]]=0,0,Table2[[#This Row],[Apyvarta]]-Table2[[#This Row],[DU sąnaudos]]-Table2[[#This Row],[Pelnas]])</f>
        <v>96194</v>
      </c>
      <c r="V589" s="49">
        <v>0</v>
      </c>
      <c r="W589" s="9">
        <v>-3515</v>
      </c>
      <c r="X589" s="6">
        <v>0</v>
      </c>
      <c r="Y589" s="8">
        <f>Table2[[#This Row],[DU sąnaudos]]*0.43</f>
        <v>105883.2</v>
      </c>
      <c r="Z589" s="8">
        <f>Table2[[#This Row],[Apyvarta]]-Table2[[#This Row],[Ne-atlyginimų sąnaudos]]+Table2[[#This Row],[Fiks ir pelno mokestis]]</f>
        <v>348608.2</v>
      </c>
    </row>
    <row r="590" spans="1:26" hidden="1" x14ac:dyDescent="0.2">
      <c r="A590" s="5" t="s">
        <v>600</v>
      </c>
      <c r="B590" s="5" t="s">
        <v>1674</v>
      </c>
      <c r="C590" s="5">
        <v>2020</v>
      </c>
      <c r="D590" s="5" t="s">
        <v>1721</v>
      </c>
      <c r="E590" s="5" t="s">
        <v>1721</v>
      </c>
      <c r="F590" s="5" t="s">
        <v>1726</v>
      </c>
      <c r="G590" s="5" t="s">
        <v>1721</v>
      </c>
      <c r="H590" s="5" t="s">
        <v>1721</v>
      </c>
      <c r="I590" s="5" t="s">
        <v>1721</v>
      </c>
      <c r="J590" s="5" t="s">
        <v>1721</v>
      </c>
      <c r="K590" s="5" t="s">
        <v>193</v>
      </c>
      <c r="L590" s="5" t="s">
        <v>1721</v>
      </c>
      <c r="M590" s="9">
        <v>10</v>
      </c>
      <c r="N590" s="6">
        <f>IFERROR(Table2[[#This Row],[Darbuotojų skaičius]]/M589-1,0)</f>
        <v>0</v>
      </c>
      <c r="O590" s="9">
        <v>2182</v>
      </c>
      <c r="P590" s="6">
        <v>6.3352826510721272E-2</v>
      </c>
      <c r="Q590" s="9">
        <f>Table2[[#This Row],[Atlyginimo vidurkis]]*Table2[[#This Row],[Darbuotojų skaičius]]*12</f>
        <v>261840</v>
      </c>
      <c r="R590" s="49">
        <f>IFERROR(Table2[[#This Row],[DU sąnaudos]]/Q589-1,0)</f>
        <v>6.3352826510721272E-2</v>
      </c>
      <c r="S590" s="9">
        <v>514461</v>
      </c>
      <c r="T590" s="6">
        <v>0.51794676604144363</v>
      </c>
      <c r="U590" s="9">
        <f>IF(Table2[[#This Row],[DU sąnaudos]]=0,0,Table2[[#This Row],[Apyvarta]]-Table2[[#This Row],[DU sąnaudos]]-Table2[[#This Row],[Pelnas]])</f>
        <v>160132</v>
      </c>
      <c r="V590" s="49">
        <f>IFERROR(Table2[[#This Row],[Ne-atlyginimų sąnaudos]]/U589-1,0)</f>
        <v>0.66467763062145258</v>
      </c>
      <c r="W590" s="9">
        <v>92489</v>
      </c>
      <c r="X590" s="6">
        <v>-27.3126600284495</v>
      </c>
      <c r="Y590" s="8">
        <f>Table2[[#This Row],[DU sąnaudos]]*0.43</f>
        <v>112591.2</v>
      </c>
      <c r="Z590" s="8">
        <f>Table2[[#This Row],[Apyvarta]]-Table2[[#This Row],[Ne-atlyginimų sąnaudos]]+Table2[[#This Row],[Fiks ir pelno mokestis]]</f>
        <v>466920.2</v>
      </c>
    </row>
    <row r="591" spans="1:26" ht="16" hidden="1" customHeight="1" x14ac:dyDescent="0.2">
      <c r="A591" s="5" t="s">
        <v>600</v>
      </c>
      <c r="B591" s="5" t="s">
        <v>1674</v>
      </c>
      <c r="C591" s="5">
        <v>2021</v>
      </c>
      <c r="D591" s="5" t="s">
        <v>1721</v>
      </c>
      <c r="E591" s="5" t="s">
        <v>1721</v>
      </c>
      <c r="F591" s="5" t="s">
        <v>1726</v>
      </c>
      <c r="G591" s="5" t="s">
        <v>1721</v>
      </c>
      <c r="H591" s="5" t="s">
        <v>1721</v>
      </c>
      <c r="I591" s="5" t="s">
        <v>1721</v>
      </c>
      <c r="J591" s="5" t="s">
        <v>1721</v>
      </c>
      <c r="K591" s="5" t="s">
        <v>193</v>
      </c>
      <c r="L591" s="5" t="s">
        <v>1721</v>
      </c>
      <c r="M591" s="9">
        <v>17</v>
      </c>
      <c r="N591" s="6">
        <f>IFERROR(Table2[[#This Row],[Darbuotojų skaičius]]/M590-1,0)</f>
        <v>0.7</v>
      </c>
      <c r="O591" s="9">
        <v>2301</v>
      </c>
      <c r="P591" s="6">
        <v>5.4537121906507828E-2</v>
      </c>
      <c r="Q591" s="9">
        <f>Table2[[#This Row],[Atlyginimo vidurkis]]*Table2[[#This Row],[Darbuotojų skaičius]]*12</f>
        <v>469404</v>
      </c>
      <c r="R591" s="49">
        <f>IFERROR(Table2[[#This Row],[DU sąnaudos]]/Q590-1,0)</f>
        <v>0.79271310724106314</v>
      </c>
      <c r="S591" s="9">
        <v>747732</v>
      </c>
      <c r="T591" s="6">
        <v>0.45342795663811247</v>
      </c>
      <c r="U591" s="9">
        <f>IF(Table2[[#This Row],[DU sąnaudos]]=0,0,Table2[[#This Row],[Apyvarta]]-Table2[[#This Row],[DU sąnaudos]]-Table2[[#This Row],[Pelnas]])</f>
        <v>234089</v>
      </c>
      <c r="V591" s="49">
        <f>IFERROR(Table2[[#This Row],[Ne-atlyginimų sąnaudos]]/U590-1,0)</f>
        <v>0.46185022356555838</v>
      </c>
      <c r="W591" s="9">
        <v>44239</v>
      </c>
      <c r="X591" s="6">
        <v>-0.52168365967844821</v>
      </c>
      <c r="Y591" s="8">
        <f>Table2[[#This Row],[DU sąnaudos]]*0.43</f>
        <v>201843.72</v>
      </c>
      <c r="Z591" s="8">
        <f>Table2[[#This Row],[Apyvarta]]-Table2[[#This Row],[Ne-atlyginimų sąnaudos]]+Table2[[#This Row],[Fiks ir pelno mokestis]]</f>
        <v>715486.71999999997</v>
      </c>
    </row>
    <row r="592" spans="1:26" hidden="1" x14ac:dyDescent="0.2">
      <c r="A592" s="5" t="s">
        <v>600</v>
      </c>
      <c r="B592" s="5" t="s">
        <v>1674</v>
      </c>
      <c r="C592" s="5">
        <v>2022</v>
      </c>
      <c r="D592" s="5" t="s">
        <v>1721</v>
      </c>
      <c r="E592" s="5" t="s">
        <v>1721</v>
      </c>
      <c r="F592" s="5" t="s">
        <v>1726</v>
      </c>
      <c r="G592" s="5" t="s">
        <v>1721</v>
      </c>
      <c r="H592" s="5" t="s">
        <v>1721</v>
      </c>
      <c r="I592" s="5" t="s">
        <v>1721</v>
      </c>
      <c r="J592" s="5" t="s">
        <v>1721</v>
      </c>
      <c r="K592" s="5" t="s">
        <v>193</v>
      </c>
      <c r="L592" s="5" t="s">
        <v>1721</v>
      </c>
      <c r="M592" s="9">
        <v>21</v>
      </c>
      <c r="N592" s="6">
        <f>IFERROR(Table2[[#This Row],[Darbuotojų skaičius]]/M591-1,0)</f>
        <v>0.23529411764705888</v>
      </c>
      <c r="O592" s="9">
        <v>2659</v>
      </c>
      <c r="P592" s="6">
        <v>0.1555845284658843</v>
      </c>
      <c r="Q592" s="9">
        <f>Table2[[#This Row],[Atlyginimo vidurkis]]*Table2[[#This Row],[Darbuotojų skaičius]]*12</f>
        <v>670068</v>
      </c>
      <c r="R592" s="49">
        <f>IFERROR(Table2[[#This Row],[DU sąnaudos]]/Q591-1,0)</f>
        <v>0.4274867704578571</v>
      </c>
      <c r="S592" s="9">
        <v>966637</v>
      </c>
      <c r="T592" s="6">
        <v>0.29275863544692488</v>
      </c>
      <c r="U592" s="9">
        <f>IF(Table2[[#This Row],[DU sąnaudos]]=0,0,Table2[[#This Row],[Apyvarta]]-Table2[[#This Row],[DU sąnaudos]]-Table2[[#This Row],[Pelnas]])</f>
        <v>327694</v>
      </c>
      <c r="V592" s="49">
        <f>IFERROR(Table2[[#This Row],[Ne-atlyginimų sąnaudos]]/U591-1,0)</f>
        <v>0.39986928048733605</v>
      </c>
      <c r="W592" s="9">
        <v>-31125</v>
      </c>
      <c r="X592" s="6">
        <v>-1.7035647279549719</v>
      </c>
      <c r="Y592" s="8">
        <f>Table2[[#This Row],[DU sąnaudos]]*0.43</f>
        <v>288129.24</v>
      </c>
      <c r="Z592" s="8">
        <f>Table2[[#This Row],[Apyvarta]]-Table2[[#This Row],[Ne-atlyginimų sąnaudos]]+Table2[[#This Row],[Fiks ir pelno mokestis]]</f>
        <v>927072.24</v>
      </c>
    </row>
    <row r="593" spans="1:26" hidden="1" x14ac:dyDescent="0.2">
      <c r="A593" s="5" t="s">
        <v>600</v>
      </c>
      <c r="B593" s="5" t="s">
        <v>1674</v>
      </c>
      <c r="C593" s="5">
        <v>2023</v>
      </c>
      <c r="D593" s="5" t="s">
        <v>1721</v>
      </c>
      <c r="E593" s="5" t="s">
        <v>1721</v>
      </c>
      <c r="F593" s="5" t="s">
        <v>1726</v>
      </c>
      <c r="G593" s="5" t="s">
        <v>1721</v>
      </c>
      <c r="H593" s="5" t="s">
        <v>1721</v>
      </c>
      <c r="I593" s="5" t="s">
        <v>1721</v>
      </c>
      <c r="J593" s="5" t="s">
        <v>1721</v>
      </c>
      <c r="K593" s="5" t="s">
        <v>193</v>
      </c>
      <c r="L593" s="5" t="s">
        <v>1721</v>
      </c>
      <c r="M593" s="9">
        <v>22</v>
      </c>
      <c r="N593" s="6">
        <f>IFERROR(Table2[[#This Row],[Darbuotojų skaičius]]/M592-1,0)</f>
        <v>4.7619047619047672E-2</v>
      </c>
      <c r="O593" s="9">
        <v>2964</v>
      </c>
      <c r="P593" s="6">
        <v>0.114704776231666</v>
      </c>
      <c r="Q593" s="9">
        <f>Table2[[#This Row],[Atlyginimo vidurkis]]*Table2[[#This Row],[Darbuotojų skaičius]]*12</f>
        <v>782496</v>
      </c>
      <c r="R593" s="49">
        <f>IFERROR(Table2[[#This Row],[DU sąnaudos]]/Q592-1,0)</f>
        <v>0.16778595605222146</v>
      </c>
      <c r="S593" s="9">
        <v>1097125</v>
      </c>
      <c r="T593" s="6">
        <v>0.13499172905651241</v>
      </c>
      <c r="U593" s="9">
        <f>IF(Table2[[#This Row],[DU sąnaudos]]=0,0,Table2[[#This Row],[Apyvarta]]-Table2[[#This Row],[DU sąnaudos]]-Table2[[#This Row],[Pelnas]])</f>
        <v>305611</v>
      </c>
      <c r="V593" s="49">
        <f>IFERROR(Table2[[#This Row],[Ne-atlyginimų sąnaudos]]/U592-1,0)</f>
        <v>-6.7389088600950942E-2</v>
      </c>
      <c r="W593" s="9">
        <v>9018</v>
      </c>
      <c r="X593" s="6">
        <v>-1.2897349397590361</v>
      </c>
      <c r="Y593" s="8">
        <f>Table2[[#This Row],[DU sąnaudos]]*0.43</f>
        <v>336473.27999999997</v>
      </c>
      <c r="Z593" s="8">
        <f>Table2[[#This Row],[Apyvarta]]-Table2[[#This Row],[Ne-atlyginimų sąnaudos]]+Table2[[#This Row],[Fiks ir pelno mokestis]]</f>
        <v>1127987.28</v>
      </c>
    </row>
    <row r="594" spans="1:26" hidden="1" x14ac:dyDescent="0.2">
      <c r="A594" s="5" t="s">
        <v>600</v>
      </c>
      <c r="B594" s="5" t="s">
        <v>1674</v>
      </c>
      <c r="C594" s="5">
        <v>2024</v>
      </c>
      <c r="D594" s="5" t="s">
        <v>1721</v>
      </c>
      <c r="E594" s="5" t="s">
        <v>1721</v>
      </c>
      <c r="F594" s="5" t="s">
        <v>1726</v>
      </c>
      <c r="G594" s="5" t="s">
        <v>1721</v>
      </c>
      <c r="H594" s="5" t="s">
        <v>1721</v>
      </c>
      <c r="I594" s="5" t="s">
        <v>1721</v>
      </c>
      <c r="J594" s="5" t="s">
        <v>1721</v>
      </c>
      <c r="K594" s="5" t="s">
        <v>193</v>
      </c>
      <c r="L594" s="5" t="s">
        <v>1721</v>
      </c>
      <c r="M594" s="9">
        <v>23</v>
      </c>
      <c r="N594" s="6">
        <f>IFERROR(Table2[[#This Row],[Darbuotojų skaičius]]/M593-1,0)</f>
        <v>4.5454545454545414E-2</v>
      </c>
      <c r="O594" s="9">
        <v>3336</v>
      </c>
      <c r="P594" s="6">
        <v>0.12550607287449389</v>
      </c>
      <c r="Q594" s="9">
        <f>Table2[[#This Row],[Atlyginimo vidurkis]]*Table2[[#This Row],[Darbuotojų skaičius]]*12</f>
        <v>920736</v>
      </c>
      <c r="R594" s="49">
        <f>IFERROR(Table2[[#This Row],[DU sąnaudos]]/Q593-1,0)</f>
        <v>0.17666543982333449</v>
      </c>
      <c r="S594" s="9">
        <v>1247022</v>
      </c>
      <c r="T594" s="6">
        <v>0.13662709353993391</v>
      </c>
      <c r="U594" s="9">
        <f>IF(Table2[[#This Row],[DU sąnaudos]]=0,0,Table2[[#This Row],[Apyvarta]]-Table2[[#This Row],[DU sąnaudos]]-Table2[[#This Row],[Pelnas]])</f>
        <v>215072</v>
      </c>
      <c r="V594" s="49">
        <f>IFERROR(Table2[[#This Row],[Ne-atlyginimų sąnaudos]]/U593-1,0)</f>
        <v>-0.29625569760250781</v>
      </c>
      <c r="W594" s="9">
        <v>111214</v>
      </c>
      <c r="X594" s="6">
        <v>11.332446218673759</v>
      </c>
      <c r="Y594" s="8">
        <f>Table2[[#This Row],[DU sąnaudos]]*0.43</f>
        <v>395916.48</v>
      </c>
      <c r="Z594" s="8">
        <f>Table2[[#This Row],[Apyvarta]]-Table2[[#This Row],[Ne-atlyginimų sąnaudos]]+Table2[[#This Row],[Fiks ir pelno mokestis]]</f>
        <v>1427866.48</v>
      </c>
    </row>
    <row r="595" spans="1:26" hidden="1" x14ac:dyDescent="0.2">
      <c r="A595" s="5" t="s">
        <v>165</v>
      </c>
      <c r="B595" s="5" t="s">
        <v>1677</v>
      </c>
      <c r="C595" s="5">
        <v>2019</v>
      </c>
      <c r="D595" s="5" t="s">
        <v>1721</v>
      </c>
      <c r="E595" s="5" t="s">
        <v>1721</v>
      </c>
      <c r="F595" s="5" t="s">
        <v>1721</v>
      </c>
      <c r="G595" s="5" t="s">
        <v>73</v>
      </c>
      <c r="H595" s="5" t="s">
        <v>1721</v>
      </c>
      <c r="I595" s="5" t="s">
        <v>280</v>
      </c>
      <c r="J595" s="5" t="s">
        <v>1721</v>
      </c>
      <c r="K595" s="5" t="s">
        <v>193</v>
      </c>
      <c r="L595" s="5" t="s">
        <v>1721</v>
      </c>
      <c r="M595" s="9">
        <v>17</v>
      </c>
      <c r="N595" s="6">
        <v>0</v>
      </c>
      <c r="O595" s="9">
        <v>972</v>
      </c>
      <c r="P595" s="6">
        <v>0</v>
      </c>
      <c r="Q595" s="9">
        <f>Table2[[#This Row],[Atlyginimo vidurkis]]*Table2[[#This Row],[Darbuotojų skaičius]]*12</f>
        <v>198288</v>
      </c>
      <c r="R595" s="49">
        <v>0</v>
      </c>
      <c r="S595" s="9">
        <v>1140388</v>
      </c>
      <c r="T595" s="6">
        <v>0</v>
      </c>
      <c r="U595" s="9">
        <f>IF(Table2[[#This Row],[DU sąnaudos]]=0,0,Table2[[#This Row],[Apyvarta]]-Table2[[#This Row],[DU sąnaudos]]-Table2[[#This Row],[Pelnas]])</f>
        <v>841767</v>
      </c>
      <c r="V595" s="49">
        <v>0</v>
      </c>
      <c r="W595" s="9">
        <v>100333</v>
      </c>
      <c r="X595" s="6">
        <v>0</v>
      </c>
      <c r="Y595" s="8">
        <f>Table2[[#This Row],[DU sąnaudos]]*0.43</f>
        <v>85263.84</v>
      </c>
      <c r="Z595" s="8">
        <f>Table2[[#This Row],[Apyvarta]]-Table2[[#This Row],[Ne-atlyginimų sąnaudos]]+Table2[[#This Row],[Fiks ir pelno mokestis]]</f>
        <v>383884.83999999997</v>
      </c>
    </row>
    <row r="596" spans="1:26" hidden="1" x14ac:dyDescent="0.2">
      <c r="A596" s="5" t="s">
        <v>165</v>
      </c>
      <c r="B596" s="5" t="s">
        <v>1677</v>
      </c>
      <c r="C596" s="5">
        <v>2020</v>
      </c>
      <c r="D596" s="5" t="s">
        <v>1721</v>
      </c>
      <c r="E596" s="5" t="s">
        <v>1721</v>
      </c>
      <c r="F596" s="5" t="s">
        <v>1721</v>
      </c>
      <c r="G596" s="5" t="s">
        <v>73</v>
      </c>
      <c r="H596" s="5" t="s">
        <v>1721</v>
      </c>
      <c r="I596" s="5" t="s">
        <v>280</v>
      </c>
      <c r="J596" s="5" t="s">
        <v>1721</v>
      </c>
      <c r="K596" s="5" t="s">
        <v>193</v>
      </c>
      <c r="L596" s="5" t="s">
        <v>1721</v>
      </c>
      <c r="M596" s="9">
        <v>20</v>
      </c>
      <c r="N596" s="6">
        <f>IFERROR(Table2[[#This Row],[Darbuotojų skaičius]]/M595-1,0)</f>
        <v>0.17647058823529416</v>
      </c>
      <c r="O596" s="9">
        <v>1273</v>
      </c>
      <c r="P596" s="6">
        <v>0.30967078189300401</v>
      </c>
      <c r="Q596" s="9">
        <f>Table2[[#This Row],[Atlyginimo vidurkis]]*Table2[[#This Row],[Darbuotojų skaičius]]*12</f>
        <v>305520</v>
      </c>
      <c r="R596" s="49">
        <f>IFERROR(Table2[[#This Row],[DU sąnaudos]]/Q595-1,0)</f>
        <v>0.54078915516824022</v>
      </c>
      <c r="S596" s="9">
        <v>1946452</v>
      </c>
      <c r="T596" s="6">
        <v>0.70683311294050788</v>
      </c>
      <c r="U596" s="9">
        <f>IF(Table2[[#This Row],[DU sąnaudos]]=0,0,Table2[[#This Row],[Apyvarta]]-Table2[[#This Row],[DU sąnaudos]]-Table2[[#This Row],[Pelnas]])</f>
        <v>1517334</v>
      </c>
      <c r="V596" s="49">
        <f>IFERROR(Table2[[#This Row],[Ne-atlyginimų sąnaudos]]/U595-1,0)</f>
        <v>0.80255819009298301</v>
      </c>
      <c r="W596" s="9">
        <v>123598</v>
      </c>
      <c r="X596" s="6">
        <v>0.23187784677025511</v>
      </c>
      <c r="Y596" s="8">
        <f>Table2[[#This Row],[DU sąnaudos]]*0.43</f>
        <v>131373.6</v>
      </c>
      <c r="Z596" s="8">
        <f>Table2[[#This Row],[Apyvarta]]-Table2[[#This Row],[Ne-atlyginimų sąnaudos]]+Table2[[#This Row],[Fiks ir pelno mokestis]]</f>
        <v>560491.6</v>
      </c>
    </row>
    <row r="597" spans="1:26" hidden="1" x14ac:dyDescent="0.2">
      <c r="A597" s="5" t="s">
        <v>165</v>
      </c>
      <c r="B597" s="5" t="s">
        <v>1677</v>
      </c>
      <c r="C597" s="5">
        <v>2021</v>
      </c>
      <c r="D597" s="5" t="s">
        <v>1721</v>
      </c>
      <c r="E597" s="5" t="s">
        <v>1721</v>
      </c>
      <c r="F597" s="5" t="s">
        <v>1721</v>
      </c>
      <c r="G597" s="5" t="s">
        <v>73</v>
      </c>
      <c r="H597" s="5" t="s">
        <v>1721</v>
      </c>
      <c r="I597" s="5" t="s">
        <v>280</v>
      </c>
      <c r="J597" s="5" t="s">
        <v>1721</v>
      </c>
      <c r="K597" s="5" t="s">
        <v>193</v>
      </c>
      <c r="L597" s="5" t="s">
        <v>1721</v>
      </c>
      <c r="M597" s="9">
        <v>21</v>
      </c>
      <c r="N597" s="6">
        <f>IFERROR(Table2[[#This Row],[Darbuotojų skaičius]]/M596-1,0)</f>
        <v>5.0000000000000044E-2</v>
      </c>
      <c r="O597" s="9">
        <v>1535</v>
      </c>
      <c r="P597" s="6">
        <v>0.20581304006284371</v>
      </c>
      <c r="Q597" s="9">
        <f>Table2[[#This Row],[Atlyginimo vidurkis]]*Table2[[#This Row],[Darbuotojų skaičius]]*12</f>
        <v>386820</v>
      </c>
      <c r="R597" s="49">
        <f>IFERROR(Table2[[#This Row],[DU sąnaudos]]/Q596-1,0)</f>
        <v>0.26610369206598583</v>
      </c>
      <c r="S597" s="9">
        <v>6988301</v>
      </c>
      <c r="T597" s="6">
        <v>2.5902765647444679</v>
      </c>
      <c r="U597" s="9">
        <f>IF(Table2[[#This Row],[DU sąnaudos]]=0,0,Table2[[#This Row],[Apyvarta]]-Table2[[#This Row],[DU sąnaudos]]-Table2[[#This Row],[Pelnas]])</f>
        <v>6458179</v>
      </c>
      <c r="V597" s="49">
        <f>IFERROR(Table2[[#This Row],[Ne-atlyginimų sąnaudos]]/U596-1,0)</f>
        <v>3.2562672424133385</v>
      </c>
      <c r="W597" s="9">
        <v>143302</v>
      </c>
      <c r="X597" s="6">
        <v>0.15942005534070119</v>
      </c>
      <c r="Y597" s="8">
        <f>Table2[[#This Row],[DU sąnaudos]]*0.43</f>
        <v>166332.6</v>
      </c>
      <c r="Z597" s="8">
        <f>Table2[[#This Row],[Apyvarta]]-Table2[[#This Row],[Ne-atlyginimų sąnaudos]]+Table2[[#This Row],[Fiks ir pelno mokestis]]</f>
        <v>696454.6</v>
      </c>
    </row>
    <row r="598" spans="1:26" hidden="1" x14ac:dyDescent="0.2">
      <c r="A598" s="5" t="s">
        <v>165</v>
      </c>
      <c r="B598" s="5" t="s">
        <v>1677</v>
      </c>
      <c r="C598" s="5">
        <v>2022</v>
      </c>
      <c r="D598" s="5" t="s">
        <v>1721</v>
      </c>
      <c r="E598" s="5" t="s">
        <v>1721</v>
      </c>
      <c r="F598" s="5" t="s">
        <v>1721</v>
      </c>
      <c r="G598" s="5" t="s">
        <v>73</v>
      </c>
      <c r="H598" s="5" t="s">
        <v>1721</v>
      </c>
      <c r="I598" s="5" t="s">
        <v>280</v>
      </c>
      <c r="J598" s="5" t="s">
        <v>1721</v>
      </c>
      <c r="K598" s="5" t="s">
        <v>193</v>
      </c>
      <c r="L598" s="5" t="s">
        <v>1721</v>
      </c>
      <c r="M598" s="9">
        <v>30</v>
      </c>
      <c r="N598" s="6">
        <f>IFERROR(Table2[[#This Row],[Darbuotojų skaičius]]/M597-1,0)</f>
        <v>0.4285714285714286</v>
      </c>
      <c r="O598" s="9">
        <v>1938</v>
      </c>
      <c r="P598" s="6">
        <v>0.26254071661237788</v>
      </c>
      <c r="Q598" s="9">
        <f>Table2[[#This Row],[Atlyginimo vidurkis]]*Table2[[#This Row],[Darbuotojų skaičius]]*12</f>
        <v>697680</v>
      </c>
      <c r="R598" s="49">
        <f>IFERROR(Table2[[#This Row],[DU sąnaudos]]/Q597-1,0)</f>
        <v>0.80362959516053989</v>
      </c>
      <c r="S598" s="9">
        <v>7033233</v>
      </c>
      <c r="T598" s="6">
        <v>6.4296028462424992E-3</v>
      </c>
      <c r="U598" s="9">
        <f>IF(Table2[[#This Row],[DU sąnaudos]]=0,0,Table2[[#This Row],[Apyvarta]]-Table2[[#This Row],[DU sąnaudos]]-Table2[[#This Row],[Pelnas]])</f>
        <v>6420840</v>
      </c>
      <c r="V598" s="49">
        <f>IFERROR(Table2[[#This Row],[Ne-atlyginimų sąnaudos]]/U597-1,0)</f>
        <v>-5.7816607436864675E-3</v>
      </c>
      <c r="W598" s="9">
        <v>-85287</v>
      </c>
      <c r="X598" s="6">
        <v>-1.5951556851962989</v>
      </c>
      <c r="Y598" s="8">
        <f>Table2[[#This Row],[DU sąnaudos]]*0.43</f>
        <v>300002.40000000002</v>
      </c>
      <c r="Z598" s="8">
        <f>Table2[[#This Row],[Apyvarta]]-Table2[[#This Row],[Ne-atlyginimų sąnaudos]]+Table2[[#This Row],[Fiks ir pelno mokestis]]</f>
        <v>912395.4</v>
      </c>
    </row>
    <row r="599" spans="1:26" hidden="1" x14ac:dyDescent="0.2">
      <c r="A599" s="5" t="s">
        <v>165</v>
      </c>
      <c r="B599" s="5" t="s">
        <v>1677</v>
      </c>
      <c r="C599" s="5">
        <v>2023</v>
      </c>
      <c r="D599" s="5" t="s">
        <v>1721</v>
      </c>
      <c r="E599" s="5" t="s">
        <v>1721</v>
      </c>
      <c r="F599" s="5" t="s">
        <v>1721</v>
      </c>
      <c r="G599" s="5" t="s">
        <v>73</v>
      </c>
      <c r="H599" s="5" t="s">
        <v>1721</v>
      </c>
      <c r="I599" s="5" t="s">
        <v>280</v>
      </c>
      <c r="J599" s="5" t="s">
        <v>1721</v>
      </c>
      <c r="K599" s="5" t="s">
        <v>193</v>
      </c>
      <c r="L599" s="5" t="s">
        <v>1721</v>
      </c>
      <c r="M599" s="9">
        <v>35</v>
      </c>
      <c r="N599" s="6">
        <f>IFERROR(Table2[[#This Row],[Darbuotojų skaičius]]/M598-1,0)</f>
        <v>0.16666666666666674</v>
      </c>
      <c r="O599" s="9">
        <v>2374</v>
      </c>
      <c r="P599" s="6">
        <v>0.22497420020639841</v>
      </c>
      <c r="Q599" s="9">
        <f>Table2[[#This Row],[Atlyginimo vidurkis]]*Table2[[#This Row],[Darbuotojų skaičius]]*12</f>
        <v>997080</v>
      </c>
      <c r="R599" s="49">
        <f>IFERROR(Table2[[#This Row],[DU sąnaudos]]/Q598-1,0)</f>
        <v>0.42913656690746471</v>
      </c>
      <c r="S599" s="9">
        <v>8766185</v>
      </c>
      <c r="T599" s="6">
        <v>0.24639479454185589</v>
      </c>
      <c r="U599" s="9">
        <f>IF(Table2[[#This Row],[DU sąnaudos]]=0,0,Table2[[#This Row],[Apyvarta]]-Table2[[#This Row],[DU sąnaudos]]-Table2[[#This Row],[Pelnas]])</f>
        <v>7719153</v>
      </c>
      <c r="V599" s="49">
        <f>IFERROR(Table2[[#This Row],[Ne-atlyginimų sąnaudos]]/U598-1,0)</f>
        <v>0.20220298278729887</v>
      </c>
      <c r="W599" s="9">
        <v>49952</v>
      </c>
      <c r="X599" s="6">
        <v>-1.5856930130031539</v>
      </c>
      <c r="Y599" s="8">
        <f>Table2[[#This Row],[DU sąnaudos]]*0.43</f>
        <v>428744.39999999997</v>
      </c>
      <c r="Z599" s="8">
        <f>Table2[[#This Row],[Apyvarta]]-Table2[[#This Row],[Ne-atlyginimų sąnaudos]]+Table2[[#This Row],[Fiks ir pelno mokestis]]</f>
        <v>1475776.4</v>
      </c>
    </row>
    <row r="600" spans="1:26" hidden="1" x14ac:dyDescent="0.2">
      <c r="A600" s="5" t="s">
        <v>165</v>
      </c>
      <c r="B600" s="5" t="s">
        <v>1677</v>
      </c>
      <c r="C600" s="5">
        <v>2024</v>
      </c>
      <c r="D600" s="5" t="s">
        <v>1721</v>
      </c>
      <c r="E600" s="5" t="s">
        <v>1721</v>
      </c>
      <c r="F600" s="5" t="s">
        <v>1721</v>
      </c>
      <c r="G600" s="5" t="s">
        <v>73</v>
      </c>
      <c r="H600" s="5" t="s">
        <v>1721</v>
      </c>
      <c r="I600" s="5" t="s">
        <v>280</v>
      </c>
      <c r="J600" s="5" t="s">
        <v>1721</v>
      </c>
      <c r="K600" s="5" t="s">
        <v>193</v>
      </c>
      <c r="L600" s="5" t="s">
        <v>1721</v>
      </c>
      <c r="M600" s="9">
        <v>36</v>
      </c>
      <c r="N600" s="6">
        <f>IFERROR(Table2[[#This Row],[Darbuotojų skaičius]]/M599-1,0)</f>
        <v>2.857142857142847E-2</v>
      </c>
      <c r="O600" s="9">
        <v>2497</v>
      </c>
      <c r="P600" s="6">
        <v>5.1811288963774287E-2</v>
      </c>
      <c r="Q600" s="9">
        <f>Table2[[#This Row],[Atlyginimo vidurkis]]*Table2[[#This Row],[Darbuotojų skaičius]]*12</f>
        <v>1078704</v>
      </c>
      <c r="R600" s="49">
        <f>IFERROR(Table2[[#This Row],[DU sąnaudos]]/Q599-1,0)</f>
        <v>8.1863040077024829E-2</v>
      </c>
      <c r="S600" s="9">
        <v>11931673</v>
      </c>
      <c r="T600" s="6">
        <v>0.36110212139031977</v>
      </c>
      <c r="U600" s="9">
        <f>IF(Table2[[#This Row],[DU sąnaudos]]=0,0,Table2[[#This Row],[Apyvarta]]-Table2[[#This Row],[DU sąnaudos]]-Table2[[#This Row],[Pelnas]])</f>
        <v>11235900</v>
      </c>
      <c r="V600" s="49">
        <f>IFERROR(Table2[[#This Row],[Ne-atlyginimų sąnaudos]]/U599-1,0)</f>
        <v>0.45558716092296647</v>
      </c>
      <c r="W600" s="9">
        <v>-382931</v>
      </c>
      <c r="X600" s="6">
        <v>-8.6659793401665599</v>
      </c>
      <c r="Y600" s="8">
        <f>Table2[[#This Row],[DU sąnaudos]]*0.43</f>
        <v>463842.72</v>
      </c>
      <c r="Z600" s="8">
        <f>Table2[[#This Row],[Apyvarta]]-Table2[[#This Row],[Ne-atlyginimų sąnaudos]]+Table2[[#This Row],[Fiks ir pelno mokestis]]</f>
        <v>1159615.72</v>
      </c>
    </row>
    <row r="601" spans="1:26" hidden="1" x14ac:dyDescent="0.2">
      <c r="A601" s="5" t="s">
        <v>1678</v>
      </c>
      <c r="B601" t="s">
        <v>1679</v>
      </c>
      <c r="C601">
        <v>2019</v>
      </c>
      <c r="D601" s="5" t="s">
        <v>1721</v>
      </c>
      <c r="E601" s="5" t="s">
        <v>1721</v>
      </c>
      <c r="F601" s="5" t="s">
        <v>1721</v>
      </c>
      <c r="G601" s="5" t="s">
        <v>1721</v>
      </c>
      <c r="H601" s="5" t="s">
        <v>1724</v>
      </c>
      <c r="I601" s="5" t="s">
        <v>1721</v>
      </c>
      <c r="J601" s="5" t="s">
        <v>1721</v>
      </c>
      <c r="K601" s="5" t="s">
        <v>1721</v>
      </c>
      <c r="L601" s="5" t="s">
        <v>1721</v>
      </c>
      <c r="M601" s="9">
        <v>14</v>
      </c>
      <c r="N601" s="6">
        <v>0</v>
      </c>
      <c r="O601" s="9">
        <v>1019</v>
      </c>
      <c r="P601" s="6">
        <v>0</v>
      </c>
      <c r="Q601" s="9">
        <f>Table2[[#This Row],[Atlyginimo vidurkis]]*Table2[[#This Row],[Darbuotojų skaičius]]*12</f>
        <v>171192</v>
      </c>
      <c r="R601" s="49">
        <v>0</v>
      </c>
      <c r="S601" s="9">
        <v>542303</v>
      </c>
      <c r="T601" s="6">
        <v>0</v>
      </c>
      <c r="U601" s="9">
        <f>IF(Table2[[#This Row],[DU sąnaudos]]=0,0,Table2[[#This Row],[Apyvarta]]-Table2[[#This Row],[DU sąnaudos]]-Table2[[#This Row],[Pelnas]])</f>
        <v>366930</v>
      </c>
      <c r="V601" s="49">
        <v>0</v>
      </c>
      <c r="W601" s="9">
        <v>4181</v>
      </c>
      <c r="X601" s="6">
        <v>0</v>
      </c>
      <c r="Y601" s="8">
        <f>Table2[[#This Row],[DU sąnaudos]]*0.43</f>
        <v>73612.56</v>
      </c>
      <c r="Z601" s="8">
        <f>Table2[[#This Row],[Apyvarta]]-Table2[[#This Row],[Ne-atlyginimų sąnaudos]]+Table2[[#This Row],[Fiks ir pelno mokestis]]</f>
        <v>248985.56</v>
      </c>
    </row>
    <row r="602" spans="1:26" hidden="1" x14ac:dyDescent="0.2">
      <c r="A602" s="5" t="s">
        <v>1678</v>
      </c>
      <c r="B602" t="s">
        <v>1679</v>
      </c>
      <c r="C602">
        <v>2020</v>
      </c>
      <c r="D602" s="5" t="s">
        <v>1721</v>
      </c>
      <c r="E602" s="5" t="s">
        <v>1721</v>
      </c>
      <c r="F602" s="5" t="s">
        <v>1721</v>
      </c>
      <c r="G602" s="5" t="s">
        <v>1721</v>
      </c>
      <c r="H602" s="5" t="s">
        <v>1724</v>
      </c>
      <c r="I602" s="5" t="s">
        <v>1721</v>
      </c>
      <c r="J602" s="5" t="s">
        <v>1721</v>
      </c>
      <c r="K602" s="5" t="s">
        <v>1721</v>
      </c>
      <c r="L602" s="5" t="s">
        <v>1721</v>
      </c>
      <c r="M602" s="9">
        <v>16</v>
      </c>
      <c r="N602" s="6">
        <f>IFERROR(Table2[[#This Row],[Darbuotojų skaičius]]/M601-1,0)</f>
        <v>0.14285714285714279</v>
      </c>
      <c r="O602" s="9">
        <v>974</v>
      </c>
      <c r="P602" s="6">
        <v>-0.04</v>
      </c>
      <c r="Q602" s="9">
        <f>Table2[[#This Row],[Atlyginimo vidurkis]]*Table2[[#This Row],[Darbuotojų skaičius]]*12</f>
        <v>187008</v>
      </c>
      <c r="R602" s="49">
        <f>IFERROR(Table2[[#This Row],[DU sąnaudos]]/Q601-1,0)</f>
        <v>9.2387494742744991E-2</v>
      </c>
      <c r="S602" s="9">
        <v>658028</v>
      </c>
      <c r="T602" s="6">
        <v>0.21</v>
      </c>
      <c r="U602" s="9">
        <f>IF(Table2[[#This Row],[DU sąnaudos]]=0,0,Table2[[#This Row],[Apyvarta]]-Table2[[#This Row],[DU sąnaudos]]-Table2[[#This Row],[Pelnas]])</f>
        <v>379764</v>
      </c>
      <c r="V602" s="49">
        <f>IFERROR(Table2[[#This Row],[Ne-atlyginimų sąnaudos]]/U601-1,0)</f>
        <v>3.4976698552857455E-2</v>
      </c>
      <c r="W602" s="9">
        <v>91256</v>
      </c>
      <c r="X602" s="6">
        <v>20.83</v>
      </c>
      <c r="Y602" s="8">
        <f>Table2[[#This Row],[DU sąnaudos]]*0.43</f>
        <v>80413.440000000002</v>
      </c>
      <c r="Z602" s="8">
        <f>Table2[[#This Row],[Apyvarta]]-Table2[[#This Row],[Ne-atlyginimų sąnaudos]]+Table2[[#This Row],[Fiks ir pelno mokestis]]</f>
        <v>358677.44</v>
      </c>
    </row>
    <row r="603" spans="1:26" hidden="1" x14ac:dyDescent="0.2">
      <c r="A603" s="5" t="s">
        <v>1678</v>
      </c>
      <c r="B603" t="s">
        <v>1679</v>
      </c>
      <c r="C603">
        <v>2021</v>
      </c>
      <c r="D603" s="5" t="s">
        <v>1721</v>
      </c>
      <c r="E603" s="5" t="s">
        <v>1721</v>
      </c>
      <c r="F603" s="5" t="s">
        <v>1721</v>
      </c>
      <c r="G603" s="5" t="s">
        <v>1721</v>
      </c>
      <c r="H603" s="5" t="s">
        <v>1724</v>
      </c>
      <c r="I603" s="5" t="s">
        <v>1721</v>
      </c>
      <c r="J603" s="5" t="s">
        <v>1721</v>
      </c>
      <c r="K603" s="5" t="s">
        <v>1721</v>
      </c>
      <c r="L603" s="5" t="s">
        <v>1721</v>
      </c>
      <c r="M603" s="9">
        <v>16</v>
      </c>
      <c r="N603" s="6">
        <f>IFERROR(Table2[[#This Row],[Darbuotojų skaičius]]/M602-1,0)</f>
        <v>0</v>
      </c>
      <c r="O603" s="9">
        <v>1437</v>
      </c>
      <c r="P603" s="6">
        <v>0.48</v>
      </c>
      <c r="Q603" s="9">
        <f>Table2[[#This Row],[Atlyginimo vidurkis]]*Table2[[#This Row],[Darbuotojų skaičius]]*12</f>
        <v>275904</v>
      </c>
      <c r="R603" s="49">
        <f>IFERROR(Table2[[#This Row],[DU sąnaudos]]/Q602-1,0)</f>
        <v>0.47535934291581117</v>
      </c>
      <c r="S603" s="9">
        <v>752783</v>
      </c>
      <c r="T603" s="6">
        <v>0.14000000000000001</v>
      </c>
      <c r="U603" s="9">
        <f>IF(Table2[[#This Row],[DU sąnaudos]]=0,0,Table2[[#This Row],[Apyvarta]]-Table2[[#This Row],[DU sąnaudos]]-Table2[[#This Row],[Pelnas]])</f>
        <v>427656</v>
      </c>
      <c r="V603" s="49">
        <f>IFERROR(Table2[[#This Row],[Ne-atlyginimų sąnaudos]]/U602-1,0)</f>
        <v>0.12610989983252763</v>
      </c>
      <c r="W603" s="9">
        <v>49223</v>
      </c>
      <c r="X603" s="6">
        <v>-0.46</v>
      </c>
      <c r="Y603" s="8">
        <f>Table2[[#This Row],[DU sąnaudos]]*0.43</f>
        <v>118638.72</v>
      </c>
      <c r="Z603" s="8">
        <f>Table2[[#This Row],[Apyvarta]]-Table2[[#This Row],[Ne-atlyginimų sąnaudos]]+Table2[[#This Row],[Fiks ir pelno mokestis]]</f>
        <v>443765.72</v>
      </c>
    </row>
    <row r="604" spans="1:26" hidden="1" x14ac:dyDescent="0.2">
      <c r="A604" s="5" t="s">
        <v>1678</v>
      </c>
      <c r="B604" t="s">
        <v>1679</v>
      </c>
      <c r="C604">
        <v>2022</v>
      </c>
      <c r="D604" s="5" t="s">
        <v>1721</v>
      </c>
      <c r="E604" s="5" t="s">
        <v>1721</v>
      </c>
      <c r="F604" s="5" t="s">
        <v>1721</v>
      </c>
      <c r="G604" s="5" t="s">
        <v>1721</v>
      </c>
      <c r="H604" s="5" t="s">
        <v>1724</v>
      </c>
      <c r="I604" s="5" t="s">
        <v>1721</v>
      </c>
      <c r="J604" s="5" t="s">
        <v>1721</v>
      </c>
      <c r="K604" s="5" t="s">
        <v>1721</v>
      </c>
      <c r="L604" s="5" t="s">
        <v>1721</v>
      </c>
      <c r="M604" s="9">
        <v>13</v>
      </c>
      <c r="N604" s="6">
        <f>IFERROR(Table2[[#This Row],[Darbuotojų skaičius]]/M603-1,0)</f>
        <v>-0.1875</v>
      </c>
      <c r="O604" s="9">
        <v>1826</v>
      </c>
      <c r="P604" s="6">
        <v>0.27</v>
      </c>
      <c r="Q604" s="9">
        <f>Table2[[#This Row],[Atlyginimo vidurkis]]*Table2[[#This Row],[Darbuotojų skaičius]]*12</f>
        <v>284856</v>
      </c>
      <c r="R604" s="49">
        <f>IFERROR(Table2[[#This Row],[DU sąnaudos]]/Q603-1,0)</f>
        <v>3.2446068197633959E-2</v>
      </c>
      <c r="S604" s="9">
        <v>684723</v>
      </c>
      <c r="T604" s="6">
        <v>-0.09</v>
      </c>
      <c r="U604" s="9">
        <f>IF(Table2[[#This Row],[DU sąnaudos]]=0,0,Table2[[#This Row],[Apyvarta]]-Table2[[#This Row],[DU sąnaudos]]-Table2[[#This Row],[Pelnas]])</f>
        <v>369811</v>
      </c>
      <c r="V604" s="49">
        <f>IFERROR(Table2[[#This Row],[Ne-atlyginimų sąnaudos]]/U603-1,0)</f>
        <v>-0.13526058327253676</v>
      </c>
      <c r="W604" s="9">
        <v>30056</v>
      </c>
      <c r="X604" s="6">
        <v>-0.39</v>
      </c>
      <c r="Y604" s="8">
        <f>Table2[[#This Row],[DU sąnaudos]]*0.43</f>
        <v>122488.08</v>
      </c>
      <c r="Z604" s="8">
        <f>Table2[[#This Row],[Apyvarta]]-Table2[[#This Row],[Ne-atlyginimų sąnaudos]]+Table2[[#This Row],[Fiks ir pelno mokestis]]</f>
        <v>437400.08</v>
      </c>
    </row>
    <row r="605" spans="1:26" hidden="1" x14ac:dyDescent="0.2">
      <c r="A605" s="5" t="s">
        <v>1678</v>
      </c>
      <c r="B605" t="s">
        <v>1679</v>
      </c>
      <c r="C605">
        <v>2023</v>
      </c>
      <c r="D605" s="5" t="s">
        <v>1721</v>
      </c>
      <c r="E605" s="5" t="s">
        <v>1721</v>
      </c>
      <c r="F605" s="5" t="s">
        <v>1721</v>
      </c>
      <c r="G605" s="5" t="s">
        <v>1721</v>
      </c>
      <c r="H605" s="5" t="s">
        <v>1724</v>
      </c>
      <c r="I605" s="5" t="s">
        <v>1721</v>
      </c>
      <c r="J605" s="5" t="s">
        <v>1721</v>
      </c>
      <c r="K605" s="5" t="s">
        <v>1721</v>
      </c>
      <c r="L605" s="5" t="s">
        <v>1721</v>
      </c>
      <c r="M605" s="9">
        <v>11</v>
      </c>
      <c r="N605" s="6">
        <f>IFERROR(Table2[[#This Row],[Darbuotojų skaičius]]/M604-1,0)</f>
        <v>-0.15384615384615385</v>
      </c>
      <c r="O605" s="9">
        <v>2196</v>
      </c>
      <c r="P605" s="6">
        <v>0.2</v>
      </c>
      <c r="Q605" s="9">
        <f>Table2[[#This Row],[Atlyginimo vidurkis]]*Table2[[#This Row],[Darbuotojų skaičius]]*12</f>
        <v>289872</v>
      </c>
      <c r="R605" s="49">
        <f>IFERROR(Table2[[#This Row],[DU sąnaudos]]/Q604-1,0)</f>
        <v>1.7608897126969447E-2</v>
      </c>
      <c r="S605" s="9">
        <v>670301</v>
      </c>
      <c r="T605" s="6">
        <v>-0.02</v>
      </c>
      <c r="U605" s="9">
        <f>IF(Table2[[#This Row],[DU sąnaudos]]=0,0,Table2[[#This Row],[Apyvarta]]-Table2[[#This Row],[DU sąnaudos]]-Table2[[#This Row],[Pelnas]])</f>
        <v>360868</v>
      </c>
      <c r="V605" s="49">
        <f>IFERROR(Table2[[#This Row],[Ne-atlyginimų sąnaudos]]/U604-1,0)</f>
        <v>-2.4182623015540416E-2</v>
      </c>
      <c r="W605" s="9">
        <v>19561</v>
      </c>
      <c r="X605" s="6">
        <v>-0.35</v>
      </c>
      <c r="Y605" s="8">
        <f>Table2[[#This Row],[DU sąnaudos]]*0.43</f>
        <v>124644.95999999999</v>
      </c>
      <c r="Z605" s="8">
        <f>Table2[[#This Row],[Apyvarta]]-Table2[[#This Row],[Ne-atlyginimų sąnaudos]]+Table2[[#This Row],[Fiks ir pelno mokestis]]</f>
        <v>434077.95999999996</v>
      </c>
    </row>
    <row r="606" spans="1:26" hidden="1" x14ac:dyDescent="0.2">
      <c r="A606" s="5" t="s">
        <v>1678</v>
      </c>
      <c r="B606" t="s">
        <v>1679</v>
      </c>
      <c r="C606">
        <v>2024</v>
      </c>
      <c r="D606" s="5" t="s">
        <v>1721</v>
      </c>
      <c r="E606" s="5" t="s">
        <v>1721</v>
      </c>
      <c r="F606" s="5" t="s">
        <v>1721</v>
      </c>
      <c r="G606" s="5" t="s">
        <v>1721</v>
      </c>
      <c r="H606" s="5" t="s">
        <v>1724</v>
      </c>
      <c r="I606" s="5" t="s">
        <v>1721</v>
      </c>
      <c r="J606" s="5" t="s">
        <v>1721</v>
      </c>
      <c r="K606" s="5" t="s">
        <v>1721</v>
      </c>
      <c r="L606" s="5" t="s">
        <v>1721</v>
      </c>
      <c r="M606" s="9">
        <v>8</v>
      </c>
      <c r="N606" s="6">
        <f>IFERROR(Table2[[#This Row],[Darbuotojų skaičius]]/M605-1,0)</f>
        <v>-0.27272727272727271</v>
      </c>
      <c r="O606" s="9">
        <v>2276</v>
      </c>
      <c r="P606" s="6">
        <v>0.04</v>
      </c>
      <c r="Q606" s="9">
        <f>Table2[[#This Row],[Atlyginimo vidurkis]]*Table2[[#This Row],[Darbuotojų skaičius]]*12</f>
        <v>218496</v>
      </c>
      <c r="R606" s="49">
        <f>IFERROR(Table2[[#This Row],[DU sąnaudos]]/Q605-1,0)</f>
        <v>-0.24623282000331181</v>
      </c>
      <c r="S606" s="9">
        <v>808733</v>
      </c>
      <c r="T606" s="6">
        <v>0.21</v>
      </c>
      <c r="U606" s="9">
        <f>IF(Table2[[#This Row],[DU sąnaudos]]=0,0,Table2[[#This Row],[Apyvarta]]-Table2[[#This Row],[DU sąnaudos]]-Table2[[#This Row],[Pelnas]])</f>
        <v>568793</v>
      </c>
      <c r="V606" s="49">
        <f>IFERROR(Table2[[#This Row],[Ne-atlyginimų sąnaudos]]/U605-1,0)</f>
        <v>0.57618020993826002</v>
      </c>
      <c r="W606" s="9">
        <v>21444</v>
      </c>
      <c r="X606" s="6">
        <v>0.1</v>
      </c>
      <c r="Y606" s="8">
        <f>Table2[[#This Row],[DU sąnaudos]]*0.43</f>
        <v>93953.279999999999</v>
      </c>
      <c r="Z606" s="8">
        <f>Table2[[#This Row],[Apyvarta]]-Table2[[#This Row],[Ne-atlyginimų sąnaudos]]+Table2[[#This Row],[Fiks ir pelno mokestis]]</f>
        <v>333893.28000000003</v>
      </c>
    </row>
    <row r="607" spans="1:26" hidden="1" x14ac:dyDescent="0.2">
      <c r="A607" t="s">
        <v>1731</v>
      </c>
      <c r="B607" t="s">
        <v>1732</v>
      </c>
      <c r="C607">
        <v>2020</v>
      </c>
      <c r="D607" s="5" t="s">
        <v>1721</v>
      </c>
      <c r="E607" s="5" t="s">
        <v>1721</v>
      </c>
      <c r="F607" s="5" t="s">
        <v>1721</v>
      </c>
      <c r="G607" s="5" t="s">
        <v>1721</v>
      </c>
      <c r="H607" s="5" t="s">
        <v>1724</v>
      </c>
      <c r="I607" s="5" t="s">
        <v>1721</v>
      </c>
      <c r="J607" s="5" t="s">
        <v>1721</v>
      </c>
      <c r="K607" s="5" t="s">
        <v>1721</v>
      </c>
      <c r="L607" s="5" t="s">
        <v>1721</v>
      </c>
      <c r="M607" s="9">
        <v>3</v>
      </c>
      <c r="N607" s="6">
        <f>IFERROR(Table2[[#This Row],[Darbuotojų skaičius]]/M606-1,0)</f>
        <v>-0.625</v>
      </c>
      <c r="O607" s="9">
        <v>0</v>
      </c>
      <c r="P607" s="6">
        <v>0</v>
      </c>
      <c r="Q607" s="9">
        <f>Table2[[#This Row],[Atlyginimo vidurkis]]*Table2[[#This Row],[Darbuotojų skaičius]]*12</f>
        <v>0</v>
      </c>
      <c r="R607" s="49">
        <f>IFERROR(Table2[[#This Row],[DU sąnaudos]]/Q606-1,0)</f>
        <v>-1</v>
      </c>
      <c r="S607" s="9">
        <v>312761</v>
      </c>
      <c r="T607" s="6">
        <v>0</v>
      </c>
      <c r="U607" s="9">
        <f>IF(Table2[[#This Row],[DU sąnaudos]]=0,0,Table2[[#This Row],[Apyvarta]]-Table2[[#This Row],[DU sąnaudos]]-Table2[[#This Row],[Pelnas]])</f>
        <v>0</v>
      </c>
      <c r="V607" s="49">
        <f>IFERROR(Table2[[#This Row],[Ne-atlyginimų sąnaudos]]/U606-1,0)</f>
        <v>-1</v>
      </c>
      <c r="W607" s="9">
        <v>15166</v>
      </c>
      <c r="X607" s="6">
        <v>0</v>
      </c>
      <c r="Y607" s="8">
        <f>Table2[[#This Row],[DU sąnaudos]]*0.43</f>
        <v>0</v>
      </c>
      <c r="Z607" s="8">
        <f>Table2[[#This Row],[Apyvarta]]-Table2[[#This Row],[Ne-atlyginimų sąnaudos]]+Table2[[#This Row],[Fiks ir pelno mokestis]]</f>
        <v>312761</v>
      </c>
    </row>
    <row r="608" spans="1:26" hidden="1" x14ac:dyDescent="0.2">
      <c r="A608" t="s">
        <v>1731</v>
      </c>
      <c r="B608" t="s">
        <v>1732</v>
      </c>
      <c r="C608">
        <v>2021</v>
      </c>
      <c r="D608" s="5" t="s">
        <v>1721</v>
      </c>
      <c r="E608" s="5" t="s">
        <v>1721</v>
      </c>
      <c r="F608" s="5" t="s">
        <v>1721</v>
      </c>
      <c r="G608" s="5" t="s">
        <v>1721</v>
      </c>
      <c r="H608" s="5" t="s">
        <v>1724</v>
      </c>
      <c r="I608" s="5" t="s">
        <v>1721</v>
      </c>
      <c r="J608" s="5" t="s">
        <v>1721</v>
      </c>
      <c r="K608" s="5" t="s">
        <v>1721</v>
      </c>
      <c r="L608" s="5" t="s">
        <v>1721</v>
      </c>
      <c r="M608" s="9">
        <v>6</v>
      </c>
      <c r="N608" s="6">
        <f>IFERROR(Table2[[#This Row],[Darbuotojų skaičius]]/M607-1,0)</f>
        <v>1</v>
      </c>
      <c r="O608" s="9">
        <v>0</v>
      </c>
      <c r="P608" s="6">
        <v>0</v>
      </c>
      <c r="Q608" s="9">
        <f>Table2[[#This Row],[Atlyginimo vidurkis]]*Table2[[#This Row],[Darbuotojų skaičius]]*12</f>
        <v>0</v>
      </c>
      <c r="R608" s="49">
        <f>IFERROR(Table2[[#This Row],[DU sąnaudos]]/Q607-1,0)</f>
        <v>0</v>
      </c>
      <c r="S608" s="9">
        <v>762774</v>
      </c>
      <c r="T608" s="6">
        <f>'Įmonės-analizei'!$S449/S607-1</f>
        <v>21.942870114880051</v>
      </c>
      <c r="U608" s="9">
        <f>IF(Table2[[#This Row],[DU sąnaudos]]=0,0,Table2[[#This Row],[Apyvarta]]-Table2[[#This Row],[DU sąnaudos]]-Table2[[#This Row],[Pelnas]])</f>
        <v>0</v>
      </c>
      <c r="V608" s="49">
        <f>IFERROR(Table2[[#This Row],[Ne-atlyginimų sąnaudos]]/U607-1,0)</f>
        <v>0</v>
      </c>
      <c r="W608" s="9">
        <v>-22892</v>
      </c>
      <c r="X608" s="6">
        <f>'Įmonės-analizei'!$W449/W607-1</f>
        <v>29.915205063958854</v>
      </c>
      <c r="Y608" s="8">
        <f>Table2[[#This Row],[DU sąnaudos]]*0.43</f>
        <v>0</v>
      </c>
      <c r="Z608" s="8">
        <f>Table2[[#This Row],[Apyvarta]]-Table2[[#This Row],[Ne-atlyginimų sąnaudos]]+Table2[[#This Row],[Fiks ir pelno mokestis]]</f>
        <v>762774</v>
      </c>
    </row>
    <row r="609" spans="1:26" hidden="1" x14ac:dyDescent="0.2">
      <c r="A609" t="s">
        <v>1731</v>
      </c>
      <c r="B609" t="s">
        <v>1732</v>
      </c>
      <c r="C609">
        <v>2022</v>
      </c>
      <c r="D609" s="5" t="s">
        <v>1721</v>
      </c>
      <c r="E609" s="5" t="s">
        <v>1721</v>
      </c>
      <c r="F609" s="5" t="s">
        <v>1721</v>
      </c>
      <c r="G609" s="5" t="s">
        <v>1721</v>
      </c>
      <c r="H609" s="5" t="s">
        <v>1724</v>
      </c>
      <c r="I609" s="5" t="s">
        <v>1721</v>
      </c>
      <c r="J609" s="5" t="s">
        <v>1721</v>
      </c>
      <c r="K609" s="5" t="s">
        <v>1721</v>
      </c>
      <c r="L609" s="5" t="s">
        <v>1721</v>
      </c>
      <c r="M609" s="9">
        <v>5</v>
      </c>
      <c r="N609" s="6">
        <f>IFERROR(Table2[[#This Row],[Darbuotojų skaičius]]/M608-1,0)</f>
        <v>-0.16666666666666663</v>
      </c>
      <c r="O609" s="9">
        <v>3500</v>
      </c>
      <c r="P609" s="6">
        <v>0</v>
      </c>
      <c r="Q609" s="9">
        <f>Table2[[#This Row],[Atlyginimo vidurkis]]*Table2[[#This Row],[Darbuotojų skaičius]]*12</f>
        <v>210000</v>
      </c>
      <c r="R609" s="49">
        <f>IFERROR(Table2[[#This Row],[DU sąnaudos]]/Q608-1,0)</f>
        <v>0</v>
      </c>
      <c r="S609" s="9">
        <v>1178640</v>
      </c>
      <c r="T609" s="6">
        <f>'Įmonės-analizei'!$S450/S608-1</f>
        <v>13.989576204747408</v>
      </c>
      <c r="U609" s="9">
        <f>IF(Table2[[#This Row],[DU sąnaudos]]=0,0,Table2[[#This Row],[Apyvarta]]-Table2[[#This Row],[DU sąnaudos]]-Table2[[#This Row],[Pelnas]])</f>
        <v>940979</v>
      </c>
      <c r="V609" s="49">
        <f>IFERROR(Table2[[#This Row],[Ne-atlyginimų sąnaudos]]/U608-1,0)</f>
        <v>0</v>
      </c>
      <c r="W609" s="9">
        <v>27661</v>
      </c>
      <c r="X609" s="6">
        <f>'Įmonės-analizei'!$W450/W608-1</f>
        <v>-26.660449065175609</v>
      </c>
      <c r="Y609" s="8">
        <f>Table2[[#This Row],[DU sąnaudos]]*0.43</f>
        <v>90300</v>
      </c>
      <c r="Z609" s="8">
        <f>Table2[[#This Row],[Apyvarta]]-Table2[[#This Row],[Ne-atlyginimų sąnaudos]]+Table2[[#This Row],[Fiks ir pelno mokestis]]</f>
        <v>327961</v>
      </c>
    </row>
    <row r="610" spans="1:26" hidden="1" x14ac:dyDescent="0.2">
      <c r="A610" t="s">
        <v>1731</v>
      </c>
      <c r="B610" t="s">
        <v>1732</v>
      </c>
      <c r="C610">
        <v>2023</v>
      </c>
      <c r="D610" s="5" t="s">
        <v>1721</v>
      </c>
      <c r="E610" s="5" t="s">
        <v>1721</v>
      </c>
      <c r="F610" s="5" t="s">
        <v>1721</v>
      </c>
      <c r="G610" s="5" t="s">
        <v>1721</v>
      </c>
      <c r="H610" s="5" t="s">
        <v>1724</v>
      </c>
      <c r="I610" s="5" t="s">
        <v>1721</v>
      </c>
      <c r="J610" s="5" t="s">
        <v>1721</v>
      </c>
      <c r="K610" s="5" t="s">
        <v>1721</v>
      </c>
      <c r="L610" s="5" t="s">
        <v>1721</v>
      </c>
      <c r="M610" s="9">
        <v>3</v>
      </c>
      <c r="N610" s="6">
        <f>IFERROR(Table2[[#This Row],[Darbuotojų skaičius]]/M609-1,0)</f>
        <v>-0.4</v>
      </c>
      <c r="O610" s="9">
        <v>3435</v>
      </c>
      <c r="P610" s="6">
        <f>'Įmonės-analizei'!$O451/O609-1</f>
        <v>-5.514285714285716E-2</v>
      </c>
      <c r="Q610" s="9">
        <f>Table2[[#This Row],[Atlyginimo vidurkis]]*Table2[[#This Row],[Darbuotojų skaičius]]*12</f>
        <v>123660</v>
      </c>
      <c r="R610" s="49">
        <f>IFERROR(Table2[[#This Row],[DU sąnaudos]]/Q609-1,0)</f>
        <v>-0.41114285714285714</v>
      </c>
      <c r="S610" s="9">
        <v>1337678</v>
      </c>
      <c r="T610" s="6">
        <f>'Įmonės-analizei'!$S451/S609-1</f>
        <v>15.75298479603611</v>
      </c>
      <c r="U610" s="9">
        <f>IF(Table2[[#This Row],[DU sąnaudos]]=0,0,Table2[[#This Row],[Apyvarta]]-Table2[[#This Row],[DU sąnaudos]]-Table2[[#This Row],[Pelnas]])</f>
        <v>1141604</v>
      </c>
      <c r="V610" s="49">
        <f>IFERROR(Table2[[#This Row],[Ne-atlyginimų sąnaudos]]/U609-1,0)</f>
        <v>0.21320879637058843</v>
      </c>
      <c r="W610" s="9">
        <v>72414</v>
      </c>
      <c r="X610" s="6">
        <f>'Įmonės-analizei'!$W451/W609-1</f>
        <v>11.485918802646324</v>
      </c>
      <c r="Y610" s="8">
        <f>Table2[[#This Row],[DU sąnaudos]]*0.43</f>
        <v>53173.799999999996</v>
      </c>
      <c r="Z610" s="8">
        <f>Table2[[#This Row],[Apyvarta]]-Table2[[#This Row],[Ne-atlyginimų sąnaudos]]+Table2[[#This Row],[Fiks ir pelno mokestis]]</f>
        <v>249247.8</v>
      </c>
    </row>
    <row r="611" spans="1:26" hidden="1" x14ac:dyDescent="0.2">
      <c r="A611" t="s">
        <v>1731</v>
      </c>
      <c r="B611" t="s">
        <v>1732</v>
      </c>
      <c r="C611">
        <v>2024</v>
      </c>
      <c r="D611" s="5" t="s">
        <v>1721</v>
      </c>
      <c r="E611" s="5" t="s">
        <v>1721</v>
      </c>
      <c r="F611" s="5" t="s">
        <v>1721</v>
      </c>
      <c r="G611" s="5" t="s">
        <v>1721</v>
      </c>
      <c r="H611" s="5" t="s">
        <v>1724</v>
      </c>
      <c r="I611" s="5" t="s">
        <v>1721</v>
      </c>
      <c r="J611" s="5" t="s">
        <v>1721</v>
      </c>
      <c r="K611" s="5" t="s">
        <v>1721</v>
      </c>
      <c r="L611" s="5" t="s">
        <v>1721</v>
      </c>
      <c r="M611" s="9">
        <v>2</v>
      </c>
      <c r="N611" s="6">
        <f>IFERROR(Table2[[#This Row],[Darbuotojų skaičius]]/M610-1,0)</f>
        <v>-0.33333333333333337</v>
      </c>
      <c r="O611" s="9">
        <v>0</v>
      </c>
      <c r="P611" s="6">
        <v>0</v>
      </c>
      <c r="Q611" s="9">
        <f>Table2[[#This Row],[Atlyginimo vidurkis]]*Table2[[#This Row],[Darbuotojų skaičius]]*12</f>
        <v>0</v>
      </c>
      <c r="R611" s="49">
        <f>IFERROR(Table2[[#This Row],[DU sąnaudos]]/Q610-1,0)</f>
        <v>-1</v>
      </c>
      <c r="S611" s="9">
        <v>844981</v>
      </c>
      <c r="T611" s="6">
        <f>'Įmonės-analizei'!$S452/S610-1</f>
        <v>7.6169556500144289</v>
      </c>
      <c r="U611" s="9">
        <f>IF(Table2[[#This Row],[DU sąnaudos]]=0,0,Table2[[#This Row],[Apyvarta]]-Table2[[#This Row],[DU sąnaudos]]-Table2[[#This Row],[Pelnas]])</f>
        <v>0</v>
      </c>
      <c r="V611" s="49">
        <f>IFERROR(Table2[[#This Row],[Ne-atlyginimų sąnaudos]]/U610-1,0)</f>
        <v>-1</v>
      </c>
      <c r="W611" s="9">
        <v>38886</v>
      </c>
      <c r="X611" s="6">
        <f>'Įmonės-analizei'!$W452/W610-1</f>
        <v>0.31691385643660075</v>
      </c>
      <c r="Y611" s="8">
        <f>Table2[[#This Row],[DU sąnaudos]]*0.43</f>
        <v>0</v>
      </c>
      <c r="Z611" s="8">
        <f>Table2[[#This Row],[Apyvarta]]-Table2[[#This Row],[Ne-atlyginimų sąnaudos]]+Table2[[#This Row],[Fiks ir pelno mokestis]]</f>
        <v>844981</v>
      </c>
    </row>
    <row r="612" spans="1:26" hidden="1" x14ac:dyDescent="0.2">
      <c r="A612" s="42" t="s">
        <v>1680</v>
      </c>
      <c r="B612" s="41" t="s">
        <v>1681</v>
      </c>
      <c r="C612">
        <v>2020</v>
      </c>
      <c r="D612" s="5" t="s">
        <v>1721</v>
      </c>
      <c r="E612" s="5" t="s">
        <v>1721</v>
      </c>
      <c r="F612" s="5" t="s">
        <v>1721</v>
      </c>
      <c r="G612" s="5" t="s">
        <v>1721</v>
      </c>
      <c r="H612" s="5" t="s">
        <v>1721</v>
      </c>
      <c r="I612" s="5" t="s">
        <v>280</v>
      </c>
      <c r="J612" s="5" t="s">
        <v>1721</v>
      </c>
      <c r="K612" s="5" t="s">
        <v>1721</v>
      </c>
      <c r="L612" s="5" t="s">
        <v>1721</v>
      </c>
      <c r="M612" s="22">
        <v>7</v>
      </c>
      <c r="N612" s="23">
        <v>0</v>
      </c>
      <c r="O612" s="22">
        <v>0</v>
      </c>
      <c r="P612" s="21">
        <v>0</v>
      </c>
      <c r="Q612" s="9">
        <f>Table2[[#This Row],[Atlyginimo vidurkis]]*Table2[[#This Row],[Darbuotojų skaičius]]*12</f>
        <v>0</v>
      </c>
      <c r="R612" s="49">
        <f>IFERROR(Table2[[#This Row],[DU sąnaudos]]/Q611-1,0)</f>
        <v>0</v>
      </c>
      <c r="S612" s="20">
        <v>536042</v>
      </c>
      <c r="T612" s="23">
        <v>0</v>
      </c>
      <c r="U612" s="9">
        <f>IF(Table2[[#This Row],[DU sąnaudos]]=0,0,Table2[[#This Row],[Apyvarta]]-Table2[[#This Row],[DU sąnaudos]]-Table2[[#This Row],[Pelnas]])</f>
        <v>0</v>
      </c>
      <c r="V612" s="49">
        <f>IFERROR(Table2[[#This Row],[Ne-atlyginimų sąnaudos]]/U611-1,0)</f>
        <v>0</v>
      </c>
      <c r="W612" s="22">
        <v>98117</v>
      </c>
      <c r="X612" s="23">
        <v>0</v>
      </c>
      <c r="Y612" s="8">
        <f>Table2[[#This Row],[DU sąnaudos]]*0.43</f>
        <v>0</v>
      </c>
      <c r="Z612" s="8">
        <f>Table2[[#This Row],[Apyvarta]]-Table2[[#This Row],[Ne-atlyginimų sąnaudos]]+Table2[[#This Row],[Fiks ir pelno mokestis]]</f>
        <v>536042</v>
      </c>
    </row>
    <row r="613" spans="1:26" hidden="1" x14ac:dyDescent="0.2">
      <c r="A613" s="42" t="s">
        <v>1680</v>
      </c>
      <c r="B613" s="41" t="s">
        <v>1681</v>
      </c>
      <c r="C613">
        <v>2021</v>
      </c>
      <c r="D613" s="5" t="s">
        <v>1721</v>
      </c>
      <c r="E613" s="5" t="s">
        <v>1721</v>
      </c>
      <c r="F613" s="5" t="s">
        <v>1721</v>
      </c>
      <c r="G613" s="5" t="s">
        <v>1721</v>
      </c>
      <c r="H613" s="5" t="s">
        <v>1721</v>
      </c>
      <c r="I613" s="5" t="s">
        <v>280</v>
      </c>
      <c r="J613" s="5" t="s">
        <v>1721</v>
      </c>
      <c r="K613" s="5" t="s">
        <v>1721</v>
      </c>
      <c r="L613" s="5" t="s">
        <v>1721</v>
      </c>
      <c r="M613" s="22">
        <v>8</v>
      </c>
      <c r="N613" s="23">
        <v>0.14285714285714279</v>
      </c>
      <c r="O613" s="22">
        <v>0</v>
      </c>
      <c r="P613" s="21">
        <v>0</v>
      </c>
      <c r="Q613" s="20">
        <f>Table2[[#This Row],[Atlyginimo vidurkis]]*Table2[[#This Row],[Darbuotojų skaičius]]*12</f>
        <v>0</v>
      </c>
      <c r="R613" s="49">
        <f>IFERROR(Table2[[#This Row],[DU sąnaudos]]/Q612-1,0)</f>
        <v>0</v>
      </c>
      <c r="S613" s="20">
        <v>677713</v>
      </c>
      <c r="T613" s="23">
        <v>0.26429085780591821</v>
      </c>
      <c r="U613" s="20">
        <f>IF(Table2[[#This Row],[DU sąnaudos]]=0,0,Table2[[#This Row],[Apyvarta]]-Table2[[#This Row],[DU sąnaudos]]-Table2[[#This Row],[Pelnas]])</f>
        <v>0</v>
      </c>
      <c r="V613" s="49">
        <f>IFERROR(Table2[[#This Row],[Ne-atlyginimų sąnaudos]]/U612-1,0)</f>
        <v>0</v>
      </c>
      <c r="W613" s="22">
        <v>96906</v>
      </c>
      <c r="X613" s="23">
        <v>-1.234240753386262E-2</v>
      </c>
      <c r="Y613" s="8">
        <f>Table2[[#This Row],[DU sąnaudos]]*0.43</f>
        <v>0</v>
      </c>
      <c r="Z613" s="8">
        <f>Table2[[#This Row],[Apyvarta]]-Table2[[#This Row],[Ne-atlyginimų sąnaudos]]+Table2[[#This Row],[Fiks ir pelno mokestis]]</f>
        <v>677713</v>
      </c>
    </row>
    <row r="614" spans="1:26" hidden="1" x14ac:dyDescent="0.2">
      <c r="A614" s="42" t="s">
        <v>1680</v>
      </c>
      <c r="B614" s="41" t="s">
        <v>1681</v>
      </c>
      <c r="C614">
        <v>2022</v>
      </c>
      <c r="D614" s="5" t="s">
        <v>1721</v>
      </c>
      <c r="E614" s="5" t="s">
        <v>1721</v>
      </c>
      <c r="F614" s="5" t="s">
        <v>1721</v>
      </c>
      <c r="G614" s="5" t="s">
        <v>1721</v>
      </c>
      <c r="H614" s="5" t="s">
        <v>1721</v>
      </c>
      <c r="I614" s="5" t="s">
        <v>280</v>
      </c>
      <c r="J614" s="5" t="s">
        <v>1721</v>
      </c>
      <c r="K614" s="5" t="s">
        <v>1721</v>
      </c>
      <c r="L614" s="5" t="s">
        <v>1721</v>
      </c>
      <c r="M614" s="22">
        <v>10</v>
      </c>
      <c r="N614" s="23">
        <v>0.25</v>
      </c>
      <c r="O614" s="22">
        <v>0</v>
      </c>
      <c r="P614" s="21">
        <v>0</v>
      </c>
      <c r="Q614" s="20">
        <f>Table2[[#This Row],[Atlyginimo vidurkis]]*Table2[[#This Row],[Darbuotojų skaičius]]*12</f>
        <v>0</v>
      </c>
      <c r="R614" s="49">
        <f>IFERROR(Table2[[#This Row],[DU sąnaudos]]/Q613-1,0)</f>
        <v>0</v>
      </c>
      <c r="S614" s="20">
        <v>648818</v>
      </c>
      <c r="T614" s="23">
        <v>-4.263604210041716E-2</v>
      </c>
      <c r="U614" s="20">
        <f>IF(Table2[[#This Row],[DU sąnaudos]]=0,0,Table2[[#This Row],[Apyvarta]]-Table2[[#This Row],[DU sąnaudos]]-Table2[[#This Row],[Pelnas]])</f>
        <v>0</v>
      </c>
      <c r="V614" s="49">
        <f>IFERROR(Table2[[#This Row],[Ne-atlyginimų sąnaudos]]/U613-1,0)</f>
        <v>0</v>
      </c>
      <c r="W614" s="22">
        <v>-44496</v>
      </c>
      <c r="X614" s="23">
        <v>-1.4591666150702742</v>
      </c>
      <c r="Y614" s="8">
        <f>Table2[[#This Row],[DU sąnaudos]]*0.43</f>
        <v>0</v>
      </c>
      <c r="Z614" s="8">
        <f>Table2[[#This Row],[Apyvarta]]-Table2[[#This Row],[Ne-atlyginimų sąnaudos]]+Table2[[#This Row],[Fiks ir pelno mokestis]]</f>
        <v>648818</v>
      </c>
    </row>
    <row r="615" spans="1:26" hidden="1" x14ac:dyDescent="0.2">
      <c r="A615" s="42" t="s">
        <v>1680</v>
      </c>
      <c r="B615" s="41" t="s">
        <v>1681</v>
      </c>
      <c r="C615">
        <v>2023</v>
      </c>
      <c r="D615" s="5" t="s">
        <v>1721</v>
      </c>
      <c r="E615" s="5" t="s">
        <v>1721</v>
      </c>
      <c r="F615" s="5" t="s">
        <v>1721</v>
      </c>
      <c r="G615" s="5" t="s">
        <v>1721</v>
      </c>
      <c r="H615" s="5" t="s">
        <v>1721</v>
      </c>
      <c r="I615" s="5" t="s">
        <v>280</v>
      </c>
      <c r="J615" s="5" t="s">
        <v>1721</v>
      </c>
      <c r="K615" s="5" t="s">
        <v>1721</v>
      </c>
      <c r="L615" s="5" t="s">
        <v>1721</v>
      </c>
      <c r="M615" s="22">
        <v>9</v>
      </c>
      <c r="N615" s="23">
        <v>-9.9999999999999978E-2</v>
      </c>
      <c r="O615" s="22">
        <v>2750</v>
      </c>
      <c r="P615" s="21">
        <v>0</v>
      </c>
      <c r="Q615" s="20">
        <f>Table2[[#This Row],[Atlyginimo vidurkis]]*Table2[[#This Row],[Darbuotojų skaičius]]*12</f>
        <v>297000</v>
      </c>
      <c r="R615" s="49">
        <f>IFERROR(Table2[[#This Row],[DU sąnaudos]]/Q614-1,0)</f>
        <v>0</v>
      </c>
      <c r="S615" s="20">
        <v>764293</v>
      </c>
      <c r="T615" s="23">
        <v>0.17797749137662633</v>
      </c>
      <c r="U615" s="20">
        <f>IF(Table2[[#This Row],[DU sąnaudos]]=0,0,Table2[[#This Row],[Apyvarta]]-Table2[[#This Row],[DU sąnaudos]]-Table2[[#This Row],[Pelnas]])</f>
        <v>484799</v>
      </c>
      <c r="V615" s="49">
        <f>IFERROR(Table2[[#This Row],[Ne-atlyginimų sąnaudos]]/U614-1,0)</f>
        <v>0</v>
      </c>
      <c r="W615" s="22">
        <v>-17506</v>
      </c>
      <c r="X615" s="23">
        <v>-0.60657137720244514</v>
      </c>
      <c r="Y615" s="8">
        <f>Table2[[#This Row],[DU sąnaudos]]*0.43</f>
        <v>127710</v>
      </c>
      <c r="Z615" s="8">
        <f>Table2[[#This Row],[Apyvarta]]-Table2[[#This Row],[Ne-atlyginimų sąnaudos]]+Table2[[#This Row],[Fiks ir pelno mokestis]]</f>
        <v>407204</v>
      </c>
    </row>
    <row r="616" spans="1:26" hidden="1" x14ac:dyDescent="0.2">
      <c r="A616" s="42" t="s">
        <v>1680</v>
      </c>
      <c r="B616" s="41" t="s">
        <v>1681</v>
      </c>
      <c r="C616">
        <v>2024</v>
      </c>
      <c r="D616" s="5" t="s">
        <v>1721</v>
      </c>
      <c r="E616" s="5" t="s">
        <v>1721</v>
      </c>
      <c r="F616" s="5" t="s">
        <v>1721</v>
      </c>
      <c r="G616" s="5" t="s">
        <v>1721</v>
      </c>
      <c r="H616" s="5" t="s">
        <v>1721</v>
      </c>
      <c r="I616" s="5" t="s">
        <v>280</v>
      </c>
      <c r="J616" s="5" t="s">
        <v>1721</v>
      </c>
      <c r="K616" s="5" t="s">
        <v>1721</v>
      </c>
      <c r="L616" s="5" t="s">
        <v>1721</v>
      </c>
      <c r="M616" s="22">
        <v>9</v>
      </c>
      <c r="N616" s="23">
        <v>0</v>
      </c>
      <c r="O616" s="22">
        <v>2850</v>
      </c>
      <c r="P616" s="21">
        <v>3.6363636363636376E-2</v>
      </c>
      <c r="Q616" s="20">
        <f>Table2[[#This Row],[Atlyginimo vidurkis]]*Table2[[#This Row],[Darbuotojų skaičius]]*12</f>
        <v>307800</v>
      </c>
      <c r="R616" s="49">
        <f>IFERROR(Table2[[#This Row],[DU sąnaudos]]/Q615-1,0)</f>
        <v>3.6363636363636376E-2</v>
      </c>
      <c r="S616" s="20">
        <v>671087</v>
      </c>
      <c r="T616" s="23">
        <v>-0.12195061318107059</v>
      </c>
      <c r="U616" s="20">
        <f>IF(Table2[[#This Row],[DU sąnaudos]]=0,0,Table2[[#This Row],[Apyvarta]]-Table2[[#This Row],[DU sąnaudos]]-Table2[[#This Row],[Pelnas]])</f>
        <v>374019</v>
      </c>
      <c r="V616" s="49">
        <f>IFERROR(Table2[[#This Row],[Ne-atlyginimų sąnaudos]]/U615-1,0)</f>
        <v>-0.22850707200303633</v>
      </c>
      <c r="W616" s="22">
        <v>-10732</v>
      </c>
      <c r="X616" s="23">
        <v>-0.3869530446703987</v>
      </c>
      <c r="Y616" s="8">
        <f>Table2[[#This Row],[DU sąnaudos]]*0.43</f>
        <v>132354</v>
      </c>
      <c r="Z616" s="8">
        <f>Table2[[#This Row],[Apyvarta]]-Table2[[#This Row],[Ne-atlyginimų sąnaudos]]+Table2[[#This Row],[Fiks ir pelno mokestis]]</f>
        <v>429422</v>
      </c>
    </row>
    <row r="617" spans="1:26" hidden="1" x14ac:dyDescent="0.2">
      <c r="A617" s="42" t="s">
        <v>1682</v>
      </c>
      <c r="B617" s="41" t="s">
        <v>1683</v>
      </c>
      <c r="C617">
        <v>2020</v>
      </c>
      <c r="D617" s="5" t="s">
        <v>1721</v>
      </c>
      <c r="E617" s="5" t="s">
        <v>1721</v>
      </c>
      <c r="F617" s="5" t="s">
        <v>1721</v>
      </c>
      <c r="G617" s="5" t="s">
        <v>1721</v>
      </c>
      <c r="H617" s="5" t="s">
        <v>1721</v>
      </c>
      <c r="I617" s="5" t="s">
        <v>280</v>
      </c>
      <c r="J617" s="5" t="s">
        <v>1721</v>
      </c>
      <c r="K617" s="5" t="s">
        <v>1721</v>
      </c>
      <c r="L617" s="5" t="s">
        <v>1721</v>
      </c>
      <c r="M617" s="22">
        <v>9</v>
      </c>
      <c r="N617" s="23">
        <v>0</v>
      </c>
      <c r="O617" s="22">
        <v>0</v>
      </c>
      <c r="P617" s="21">
        <v>0</v>
      </c>
      <c r="Q617" s="20">
        <f>Table2[[#This Row],[Atlyginimo vidurkis]]*Table2[[#This Row],[Darbuotojų skaičius]]*12</f>
        <v>0</v>
      </c>
      <c r="R617" s="49">
        <f>IFERROR(Table2[[#This Row],[DU sąnaudos]]/Q616-1,0)</f>
        <v>-1</v>
      </c>
      <c r="S617" s="20">
        <v>617121</v>
      </c>
      <c r="T617" s="23">
        <v>0</v>
      </c>
      <c r="U617" s="20">
        <f>IF(Table2[[#This Row],[DU sąnaudos]]=0,0,Table2[[#This Row],[Apyvarta]]-Table2[[#This Row],[DU sąnaudos]]-Table2[[#This Row],[Pelnas]])</f>
        <v>0</v>
      </c>
      <c r="V617" s="49">
        <f>IFERROR(Table2[[#This Row],[Ne-atlyginimų sąnaudos]]/U616-1,0)</f>
        <v>-1</v>
      </c>
      <c r="W617" s="22">
        <v>-28657</v>
      </c>
      <c r="X617" s="23">
        <v>0</v>
      </c>
      <c r="Y617" s="8">
        <f>Table2[[#This Row],[DU sąnaudos]]*0.43</f>
        <v>0</v>
      </c>
      <c r="Z617" s="8">
        <f>Table2[[#This Row],[Apyvarta]]-Table2[[#This Row],[Ne-atlyginimų sąnaudos]]+Table2[[#This Row],[Fiks ir pelno mokestis]]</f>
        <v>617121</v>
      </c>
    </row>
    <row r="618" spans="1:26" hidden="1" x14ac:dyDescent="0.2">
      <c r="A618" s="5" t="s">
        <v>1682</v>
      </c>
      <c r="B618" s="41" t="s">
        <v>1683</v>
      </c>
      <c r="C618">
        <v>2021</v>
      </c>
      <c r="D618" s="5" t="s">
        <v>1721</v>
      </c>
      <c r="E618" s="5" t="s">
        <v>1721</v>
      </c>
      <c r="F618" s="5" t="s">
        <v>1721</v>
      </c>
      <c r="G618" s="5" t="s">
        <v>1721</v>
      </c>
      <c r="H618" s="5" t="s">
        <v>1721</v>
      </c>
      <c r="I618" s="5" t="s">
        <v>280</v>
      </c>
      <c r="J618" s="5" t="s">
        <v>1721</v>
      </c>
      <c r="K618" s="5" t="s">
        <v>1721</v>
      </c>
      <c r="L618" s="5" t="s">
        <v>1721</v>
      </c>
      <c r="M618" s="22">
        <v>9</v>
      </c>
      <c r="N618" s="23">
        <v>0</v>
      </c>
      <c r="O618" s="22">
        <v>0</v>
      </c>
      <c r="P618" s="21">
        <v>0</v>
      </c>
      <c r="Q618" s="20">
        <f>Table2[[#This Row],[Atlyginimo vidurkis]]*Table2[[#This Row],[Darbuotojų skaičius]]*12</f>
        <v>0</v>
      </c>
      <c r="R618" s="49">
        <f>IFERROR(Table2[[#This Row],[DU sąnaudos]]/Q617-1,0)</f>
        <v>0</v>
      </c>
      <c r="S618" s="20">
        <v>662748</v>
      </c>
      <c r="T618" s="23">
        <v>7.3935257429256218E-2</v>
      </c>
      <c r="U618" s="20">
        <f>IF(Table2[[#This Row],[DU sąnaudos]]=0,0,Table2[[#This Row],[Apyvarta]]-Table2[[#This Row],[DU sąnaudos]]-Table2[[#This Row],[Pelnas]])</f>
        <v>0</v>
      </c>
      <c r="V618" s="49">
        <f>IFERROR(Table2[[#This Row],[Ne-atlyginimų sąnaudos]]/U617-1,0)</f>
        <v>0</v>
      </c>
      <c r="W618" s="22">
        <v>30759</v>
      </c>
      <c r="X618" s="23">
        <v>2.07335031580417</v>
      </c>
      <c r="Y618" s="8">
        <f>Table2[[#This Row],[DU sąnaudos]]*0.43</f>
        <v>0</v>
      </c>
      <c r="Z618" s="8">
        <f>Table2[[#This Row],[Apyvarta]]-Table2[[#This Row],[Ne-atlyginimų sąnaudos]]+Table2[[#This Row],[Fiks ir pelno mokestis]]</f>
        <v>662748</v>
      </c>
    </row>
    <row r="619" spans="1:26" hidden="1" x14ac:dyDescent="0.2">
      <c r="A619" s="5" t="s">
        <v>1682</v>
      </c>
      <c r="B619" s="41" t="s">
        <v>1683</v>
      </c>
      <c r="C619">
        <v>2022</v>
      </c>
      <c r="D619" s="5" t="s">
        <v>1721</v>
      </c>
      <c r="E619" s="5" t="s">
        <v>1721</v>
      </c>
      <c r="F619" s="5" t="s">
        <v>1721</v>
      </c>
      <c r="G619" s="5" t="s">
        <v>1721</v>
      </c>
      <c r="H619" s="5" t="s">
        <v>1721</v>
      </c>
      <c r="I619" s="5" t="s">
        <v>280</v>
      </c>
      <c r="J619" s="5" t="s">
        <v>1721</v>
      </c>
      <c r="K619" s="5" t="s">
        <v>1721</v>
      </c>
      <c r="L619" s="5" t="s">
        <v>1721</v>
      </c>
      <c r="M619" s="22">
        <v>10</v>
      </c>
      <c r="N619" s="23">
        <v>0.11111111111111116</v>
      </c>
      <c r="O619" s="22">
        <v>0</v>
      </c>
      <c r="P619" s="21">
        <v>0</v>
      </c>
      <c r="Q619" s="20">
        <f>Table2[[#This Row],[Atlyginimo vidurkis]]*Table2[[#This Row],[Darbuotojų skaičius]]*12</f>
        <v>0</v>
      </c>
      <c r="R619" s="49">
        <f>IFERROR(Table2[[#This Row],[DU sąnaudos]]/Q618-1,0)</f>
        <v>0</v>
      </c>
      <c r="S619" s="20">
        <v>566996</v>
      </c>
      <c r="T619" s="23">
        <v>-0.14447723720026318</v>
      </c>
      <c r="U619" s="20">
        <f>IF(Table2[[#This Row],[DU sąnaudos]]=0,0,Table2[[#This Row],[Apyvarta]]-Table2[[#This Row],[DU sąnaudos]]-Table2[[#This Row],[Pelnas]])</f>
        <v>0</v>
      </c>
      <c r="V619" s="49">
        <f>IFERROR(Table2[[#This Row],[Ne-atlyginimų sąnaudos]]/U618-1,0)</f>
        <v>0</v>
      </c>
      <c r="W619" s="22">
        <v>10453</v>
      </c>
      <c r="X619" s="23">
        <v>-0.66016450469781196</v>
      </c>
      <c r="Y619" s="8">
        <f>Table2[[#This Row],[DU sąnaudos]]*0.43</f>
        <v>0</v>
      </c>
      <c r="Z619" s="8">
        <f>Table2[[#This Row],[Apyvarta]]-Table2[[#This Row],[Ne-atlyginimų sąnaudos]]+Table2[[#This Row],[Fiks ir pelno mokestis]]</f>
        <v>566996</v>
      </c>
    </row>
    <row r="620" spans="1:26" hidden="1" x14ac:dyDescent="0.2">
      <c r="A620" s="5" t="s">
        <v>1682</v>
      </c>
      <c r="B620" s="41" t="s">
        <v>1683</v>
      </c>
      <c r="C620">
        <v>2023</v>
      </c>
      <c r="D620" s="5" t="s">
        <v>1721</v>
      </c>
      <c r="E620" s="5" t="s">
        <v>1721</v>
      </c>
      <c r="F620" s="5" t="s">
        <v>1721</v>
      </c>
      <c r="G620" s="5" t="s">
        <v>1721</v>
      </c>
      <c r="H620" s="5" t="s">
        <v>1721</v>
      </c>
      <c r="I620" s="5" t="s">
        <v>280</v>
      </c>
      <c r="J620" s="5" t="s">
        <v>1721</v>
      </c>
      <c r="K620" s="5" t="s">
        <v>1721</v>
      </c>
      <c r="L620" s="5" t="s">
        <v>1721</v>
      </c>
      <c r="M620" s="22">
        <v>8</v>
      </c>
      <c r="N620" s="23">
        <v>-0.19999999999999996</v>
      </c>
      <c r="O620" s="22">
        <v>2100</v>
      </c>
      <c r="P620" s="21">
        <v>0</v>
      </c>
      <c r="Q620" s="20">
        <f>Table2[[#This Row],[Atlyginimo vidurkis]]*Table2[[#This Row],[Darbuotojų skaičius]]*12</f>
        <v>201600</v>
      </c>
      <c r="R620" s="49">
        <f>IFERROR(Table2[[#This Row],[DU sąnaudos]]/Q619-1,0)</f>
        <v>0</v>
      </c>
      <c r="S620" s="20">
        <v>516376</v>
      </c>
      <c r="T620" s="23">
        <v>-8.9277525767377575E-2</v>
      </c>
      <c r="U620" s="20">
        <f>IF(Table2[[#This Row],[DU sąnaudos]]=0,0,Table2[[#This Row],[Apyvarta]]-Table2[[#This Row],[DU sąnaudos]]-Table2[[#This Row],[Pelnas]])</f>
        <v>359258</v>
      </c>
      <c r="V620" s="49">
        <f>IFERROR(Table2[[#This Row],[Ne-atlyginimų sąnaudos]]/U619-1,0)</f>
        <v>0</v>
      </c>
      <c r="W620" s="22">
        <v>-44482</v>
      </c>
      <c r="X620" s="23">
        <v>-5.2554290634267673</v>
      </c>
      <c r="Y620" s="8">
        <f>Table2[[#This Row],[DU sąnaudos]]*0.43</f>
        <v>86688</v>
      </c>
      <c r="Z620" s="8">
        <f>Table2[[#This Row],[Apyvarta]]-Table2[[#This Row],[Ne-atlyginimų sąnaudos]]+Table2[[#This Row],[Fiks ir pelno mokestis]]</f>
        <v>243806</v>
      </c>
    </row>
    <row r="621" spans="1:26" hidden="1" x14ac:dyDescent="0.2">
      <c r="A621" s="5" t="s">
        <v>1682</v>
      </c>
      <c r="B621" s="41" t="s">
        <v>1683</v>
      </c>
      <c r="C621">
        <v>2024</v>
      </c>
      <c r="D621" s="5" t="s">
        <v>1721</v>
      </c>
      <c r="E621" s="5" t="s">
        <v>1721</v>
      </c>
      <c r="F621" s="5" t="s">
        <v>1721</v>
      </c>
      <c r="G621" s="5" t="s">
        <v>1721</v>
      </c>
      <c r="H621" s="5" t="s">
        <v>1721</v>
      </c>
      <c r="I621" s="5" t="s">
        <v>280</v>
      </c>
      <c r="J621" s="5" t="s">
        <v>1721</v>
      </c>
      <c r="K621" s="5" t="s">
        <v>1721</v>
      </c>
      <c r="L621" s="5" t="s">
        <v>1721</v>
      </c>
      <c r="M621" s="22">
        <v>6</v>
      </c>
      <c r="N621" s="23">
        <v>-0.25</v>
      </c>
      <c r="O621" s="22">
        <v>2450</v>
      </c>
      <c r="P621" s="21">
        <v>0.16666666666666674</v>
      </c>
      <c r="Q621" s="20">
        <f>Table2[[#This Row],[Atlyginimo vidurkis]]*Table2[[#This Row],[Darbuotojų skaičius]]*12</f>
        <v>176400</v>
      </c>
      <c r="R621" s="49">
        <f>IFERROR(Table2[[#This Row],[DU sąnaudos]]/Q620-1,0)</f>
        <v>-0.125</v>
      </c>
      <c r="S621" s="20">
        <v>568422</v>
      </c>
      <c r="T621" s="23">
        <v>0.10079089655599804</v>
      </c>
      <c r="U621" s="20">
        <f>IF(Table2[[#This Row],[DU sąnaudos]]=0,0,Table2[[#This Row],[Apyvarta]]-Table2[[#This Row],[DU sąnaudos]]-Table2[[#This Row],[Pelnas]])</f>
        <v>435999</v>
      </c>
      <c r="V621" s="49">
        <f>IFERROR(Table2[[#This Row],[Ne-atlyginimų sąnaudos]]/U620-1,0)</f>
        <v>0.21360971780725824</v>
      </c>
      <c r="W621" s="22">
        <v>-43977</v>
      </c>
      <c r="X621" s="23">
        <v>-1.1352906793759221E-2</v>
      </c>
      <c r="Y621" s="8">
        <f>Table2[[#This Row],[DU sąnaudos]]*0.43</f>
        <v>75852</v>
      </c>
      <c r="Z621" s="8">
        <f>Table2[[#This Row],[Apyvarta]]-Table2[[#This Row],[Ne-atlyginimų sąnaudos]]+Table2[[#This Row],[Fiks ir pelno mokestis]]</f>
        <v>208275</v>
      </c>
    </row>
    <row r="622" spans="1:26" hidden="1" x14ac:dyDescent="0.2">
      <c r="A622" s="42" t="s">
        <v>1684</v>
      </c>
      <c r="B622" s="41" t="s">
        <v>1685</v>
      </c>
      <c r="C622">
        <v>2020</v>
      </c>
      <c r="D622" s="5" t="s">
        <v>1721</v>
      </c>
      <c r="E622" s="5" t="s">
        <v>1721</v>
      </c>
      <c r="F622" s="5" t="s">
        <v>1721</v>
      </c>
      <c r="G622" s="5" t="s">
        <v>1721</v>
      </c>
      <c r="H622" s="5" t="s">
        <v>1721</v>
      </c>
      <c r="I622" s="5" t="s">
        <v>280</v>
      </c>
      <c r="J622" s="5" t="s">
        <v>1721</v>
      </c>
      <c r="K622" s="5" t="s">
        <v>1721</v>
      </c>
      <c r="L622" s="5" t="s">
        <v>1721</v>
      </c>
      <c r="M622" s="22">
        <v>14</v>
      </c>
      <c r="N622" s="23">
        <v>0</v>
      </c>
      <c r="O622" s="22">
        <v>0</v>
      </c>
      <c r="P622" s="21">
        <v>0</v>
      </c>
      <c r="Q622" s="20">
        <v>0</v>
      </c>
      <c r="R622" s="49">
        <v>0</v>
      </c>
      <c r="S622" s="20">
        <v>418885</v>
      </c>
      <c r="T622" s="23">
        <v>0</v>
      </c>
      <c r="U622" s="20">
        <v>0</v>
      </c>
      <c r="V622" s="49">
        <v>0</v>
      </c>
      <c r="W622" s="22">
        <v>57212</v>
      </c>
      <c r="X622" s="23">
        <v>0</v>
      </c>
      <c r="Y622" s="8">
        <v>0</v>
      </c>
      <c r="Z622" s="8">
        <f>Table2[[#This Row],[Apyvarta]]-Table2[[#This Row],[Ne-atlyginimų sąnaudos]]+Table2[[#This Row],[Fiks ir pelno mokestis]]</f>
        <v>418885</v>
      </c>
    </row>
    <row r="623" spans="1:26" hidden="1" x14ac:dyDescent="0.2">
      <c r="A623" s="42" t="s">
        <v>1684</v>
      </c>
      <c r="B623" s="41" t="s">
        <v>1685</v>
      </c>
      <c r="C623">
        <v>2021</v>
      </c>
      <c r="D623" s="5" t="s">
        <v>1721</v>
      </c>
      <c r="E623" s="5" t="s">
        <v>1721</v>
      </c>
      <c r="F623" s="5" t="s">
        <v>1721</v>
      </c>
      <c r="G623" s="5" t="s">
        <v>1721</v>
      </c>
      <c r="H623" s="5" t="s">
        <v>1721</v>
      </c>
      <c r="I623" s="5" t="s">
        <v>280</v>
      </c>
      <c r="J623" s="5" t="s">
        <v>1721</v>
      </c>
      <c r="K623" s="5" t="s">
        <v>1721</v>
      </c>
      <c r="L623" s="5" t="s">
        <v>1721</v>
      </c>
      <c r="M623" s="22">
        <v>14</v>
      </c>
      <c r="N623" s="23">
        <v>0</v>
      </c>
      <c r="O623" s="22">
        <v>0</v>
      </c>
      <c r="P623" s="21">
        <v>0</v>
      </c>
      <c r="Q623" s="20">
        <f>Table2[[#This Row],[Atlyginimo vidurkis]]*Table2[[#This Row],[Darbuotojų skaičius]]*12</f>
        <v>0</v>
      </c>
      <c r="R623" s="49">
        <f>IFERROR(Table2[[#This Row],[DU sąnaudos]]/Q622-1,0)</f>
        <v>0</v>
      </c>
      <c r="S623" s="20">
        <v>399199</v>
      </c>
      <c r="T623" s="23">
        <v>-4.6996192272342086E-2</v>
      </c>
      <c r="U623" s="20">
        <f>IF(Table2[[#This Row],[DU sąnaudos]]=0,0,Table2[[#This Row],[Apyvarta]]-Table2[[#This Row],[DU sąnaudos]]-Table2[[#This Row],[Pelnas]])</f>
        <v>0</v>
      </c>
      <c r="V623" s="49">
        <f>IFERROR(Table2[[#This Row],[Ne-atlyginimų sąnaudos]]/U622-1,0)</f>
        <v>0</v>
      </c>
      <c r="W623" s="22">
        <v>-14547</v>
      </c>
      <c r="X623" s="23">
        <v>-1.2542648395441516</v>
      </c>
      <c r="Y623" s="8">
        <f>Table2[[#This Row],[DU sąnaudos]]*0.43</f>
        <v>0</v>
      </c>
      <c r="Z623" s="8">
        <f>Table2[[#This Row],[Apyvarta]]-Table2[[#This Row],[Ne-atlyginimų sąnaudos]]+Table2[[#This Row],[Fiks ir pelno mokestis]]</f>
        <v>399199</v>
      </c>
    </row>
    <row r="624" spans="1:26" hidden="1" x14ac:dyDescent="0.2">
      <c r="A624" s="42" t="s">
        <v>1684</v>
      </c>
      <c r="B624" s="41" t="s">
        <v>1685</v>
      </c>
      <c r="C624">
        <v>2022</v>
      </c>
      <c r="D624" s="5" t="s">
        <v>1721</v>
      </c>
      <c r="E624" s="5" t="s">
        <v>1721</v>
      </c>
      <c r="F624" s="5" t="s">
        <v>1721</v>
      </c>
      <c r="G624" s="5" t="s">
        <v>1721</v>
      </c>
      <c r="H624" s="5" t="s">
        <v>1721</v>
      </c>
      <c r="I624" s="5" t="s">
        <v>280</v>
      </c>
      <c r="J624" s="5" t="s">
        <v>1721</v>
      </c>
      <c r="K624" s="5" t="s">
        <v>1721</v>
      </c>
      <c r="L624" s="5" t="s">
        <v>1721</v>
      </c>
      <c r="M624" s="22">
        <v>14</v>
      </c>
      <c r="N624" s="23">
        <v>0</v>
      </c>
      <c r="O624" s="22">
        <v>0</v>
      </c>
      <c r="P624" s="21">
        <v>0</v>
      </c>
      <c r="Q624" s="20">
        <f>Table2[[#This Row],[Atlyginimo vidurkis]]*Table2[[#This Row],[Darbuotojų skaičius]]*12</f>
        <v>0</v>
      </c>
      <c r="R624" s="49">
        <f>IFERROR(Table2[[#This Row],[DU sąnaudos]]/Q623-1,0)</f>
        <v>0</v>
      </c>
      <c r="S624" s="20">
        <v>468548</v>
      </c>
      <c r="T624" s="23">
        <v>0.17372037505103965</v>
      </c>
      <c r="U624" s="20">
        <f>IF(Table2[[#This Row],[DU sąnaudos]]=0,0,Table2[[#This Row],[Apyvarta]]-Table2[[#This Row],[DU sąnaudos]]-Table2[[#This Row],[Pelnas]])</f>
        <v>0</v>
      </c>
      <c r="V624" s="49">
        <f>IFERROR(Table2[[#This Row],[Ne-atlyginimų sąnaudos]]/U623-1,0)</f>
        <v>0</v>
      </c>
      <c r="W624" s="22">
        <v>-14679</v>
      </c>
      <c r="X624" s="23">
        <v>9.0740358836873813E-3</v>
      </c>
      <c r="Y624" s="8">
        <f>Table2[[#This Row],[DU sąnaudos]]*0.43</f>
        <v>0</v>
      </c>
      <c r="Z624" s="8">
        <f>Table2[[#This Row],[Apyvarta]]-Table2[[#This Row],[Ne-atlyginimų sąnaudos]]+Table2[[#This Row],[Fiks ir pelno mokestis]]</f>
        <v>468548</v>
      </c>
    </row>
    <row r="625" spans="1:26" hidden="1" x14ac:dyDescent="0.2">
      <c r="A625" s="42" t="s">
        <v>1684</v>
      </c>
      <c r="B625" s="41" t="s">
        <v>1685</v>
      </c>
      <c r="C625">
        <v>2023</v>
      </c>
      <c r="D625" s="5" t="s">
        <v>1721</v>
      </c>
      <c r="E625" s="5" t="s">
        <v>1721</v>
      </c>
      <c r="F625" s="5" t="s">
        <v>1721</v>
      </c>
      <c r="G625" s="5" t="s">
        <v>1721</v>
      </c>
      <c r="H625" s="5" t="s">
        <v>1721</v>
      </c>
      <c r="I625" s="5" t="s">
        <v>280</v>
      </c>
      <c r="J625" s="5" t="s">
        <v>1721</v>
      </c>
      <c r="K625" s="5" t="s">
        <v>1721</v>
      </c>
      <c r="L625" s="5" t="s">
        <v>1721</v>
      </c>
      <c r="M625" s="22">
        <v>11</v>
      </c>
      <c r="N625" s="23">
        <v>-0.2142857142857143</v>
      </c>
      <c r="O625" s="22">
        <v>2450</v>
      </c>
      <c r="P625" s="21">
        <v>0</v>
      </c>
      <c r="Q625" s="20">
        <f>Table2[[#This Row],[Atlyginimo vidurkis]]*Table2[[#This Row],[Darbuotojų skaičius]]*12</f>
        <v>323400</v>
      </c>
      <c r="R625" s="49">
        <f>IFERROR(Table2[[#This Row],[DU sąnaudos]]/Q624-1,0)</f>
        <v>0</v>
      </c>
      <c r="S625" s="20">
        <v>434990</v>
      </c>
      <c r="T625" s="23">
        <v>-7.1621263990028772E-2</v>
      </c>
      <c r="U625" s="20">
        <f>IF(Table2[[#This Row],[DU sąnaudos]]=0,0,Table2[[#This Row],[Apyvarta]]-Table2[[#This Row],[DU sąnaudos]]-Table2[[#This Row],[Pelnas]])</f>
        <v>132784</v>
      </c>
      <c r="V625" s="49">
        <f>IFERROR(Table2[[#This Row],[Ne-atlyginimų sąnaudos]]/U624-1,0)</f>
        <v>0</v>
      </c>
      <c r="W625" s="22">
        <v>-21194</v>
      </c>
      <c r="X625" s="23">
        <v>0.44383132365964983</v>
      </c>
      <c r="Y625" s="8">
        <f>Table2[[#This Row],[DU sąnaudos]]*0.43</f>
        <v>139062</v>
      </c>
      <c r="Z625" s="8">
        <f>Table2[[#This Row],[Apyvarta]]-Table2[[#This Row],[Ne-atlyginimų sąnaudos]]+Table2[[#This Row],[Fiks ir pelno mokestis]]</f>
        <v>441268</v>
      </c>
    </row>
    <row r="626" spans="1:26" hidden="1" x14ac:dyDescent="0.2">
      <c r="A626" s="42" t="s">
        <v>1684</v>
      </c>
      <c r="B626" s="41" t="s">
        <v>1685</v>
      </c>
      <c r="C626">
        <v>2024</v>
      </c>
      <c r="D626" s="5" t="s">
        <v>1721</v>
      </c>
      <c r="E626" s="5" t="s">
        <v>1721</v>
      </c>
      <c r="F626" s="5" t="s">
        <v>1721</v>
      </c>
      <c r="G626" s="5" t="s">
        <v>1721</v>
      </c>
      <c r="H626" s="5" t="s">
        <v>1721</v>
      </c>
      <c r="I626" s="5" t="s">
        <v>280</v>
      </c>
      <c r="J626" s="5" t="s">
        <v>1721</v>
      </c>
      <c r="K626" s="5" t="s">
        <v>1721</v>
      </c>
      <c r="L626" s="5" t="s">
        <v>1721</v>
      </c>
      <c r="M626" s="22">
        <v>10</v>
      </c>
      <c r="N626" s="23">
        <v>-9.0909090909090939E-2</v>
      </c>
      <c r="O626" s="22">
        <v>3200</v>
      </c>
      <c r="P626" s="21">
        <v>0.30612244897959173</v>
      </c>
      <c r="Q626" s="20">
        <f>Table2[[#This Row],[Atlyginimo vidurkis]]*Table2[[#This Row],[Darbuotojų skaičius]]*12</f>
        <v>384000</v>
      </c>
      <c r="R626" s="49">
        <f>IFERROR(Table2[[#This Row],[DU sąnaudos]]/Q625-1,0)</f>
        <v>0.18738404452690172</v>
      </c>
      <c r="S626" s="20">
        <v>415142</v>
      </c>
      <c r="T626" s="23">
        <v>-4.5628635141037766E-2</v>
      </c>
      <c r="U626" s="20">
        <f>IF(Table2[[#This Row],[DU sąnaudos]]=0,0,Table2[[#This Row],[Apyvarta]]-Table2[[#This Row],[DU sąnaudos]]-Table2[[#This Row],[Pelnas]])</f>
        <v>45909</v>
      </c>
      <c r="V626" s="49">
        <f>IFERROR(Table2[[#This Row],[Ne-atlyginimų sąnaudos]]/U625-1,0)</f>
        <v>-0.6542580431377274</v>
      </c>
      <c r="W626" s="22">
        <v>-14767</v>
      </c>
      <c r="X626" s="23">
        <v>-0.30324620175521377</v>
      </c>
      <c r="Y626" s="8">
        <f>Table2[[#This Row],[DU sąnaudos]]*0.43</f>
        <v>165120</v>
      </c>
      <c r="Z626" s="8">
        <f>Table2[[#This Row],[Apyvarta]]-Table2[[#This Row],[Ne-atlyginimų sąnaudos]]+Table2[[#This Row],[Fiks ir pelno mokestis]]</f>
        <v>534353</v>
      </c>
    </row>
    <row r="627" spans="1:26" hidden="1" x14ac:dyDescent="0.2">
      <c r="A627" s="5" t="s">
        <v>1686</v>
      </c>
      <c r="B627" s="41" t="s">
        <v>1687</v>
      </c>
      <c r="C627">
        <v>2020</v>
      </c>
      <c r="D627" s="5" t="s">
        <v>1721</v>
      </c>
      <c r="E627" s="5" t="s">
        <v>1721</v>
      </c>
      <c r="F627" s="5" t="s">
        <v>1721</v>
      </c>
      <c r="G627" s="5" t="s">
        <v>1721</v>
      </c>
      <c r="H627" s="5" t="s">
        <v>1721</v>
      </c>
      <c r="I627" s="5" t="s">
        <v>280</v>
      </c>
      <c r="J627" s="5" t="s">
        <v>1721</v>
      </c>
      <c r="K627" s="5" t="s">
        <v>1721</v>
      </c>
      <c r="L627" s="5" t="s">
        <v>1721</v>
      </c>
      <c r="M627" s="22">
        <v>2</v>
      </c>
      <c r="N627" s="23">
        <v>0</v>
      </c>
      <c r="O627" s="22">
        <v>700</v>
      </c>
      <c r="P627" s="21">
        <v>0</v>
      </c>
      <c r="Q627" s="20">
        <f>Table2[[#This Row],[Atlyginimo vidurkis]]*Table2[[#This Row],[Darbuotojų skaičius]]*12</f>
        <v>16800</v>
      </c>
      <c r="R627" s="49">
        <f>IFERROR(Table2[[#This Row],[DU sąnaudos]]/Q626-1,0)</f>
        <v>-0.95625000000000004</v>
      </c>
      <c r="S627" s="20">
        <v>167284</v>
      </c>
      <c r="T627" s="23">
        <v>0</v>
      </c>
      <c r="U627" s="20">
        <f>IF(Table2[[#This Row],[DU sąnaudos]]=0,0,Table2[[#This Row],[Apyvarta]]-Table2[[#This Row],[DU sąnaudos]]-Table2[[#This Row],[Pelnas]])</f>
        <v>41771</v>
      </c>
      <c r="V627" s="49">
        <f>IFERROR(Table2[[#This Row],[Ne-atlyginimų sąnaudos]]/U626-1,0)</f>
        <v>-9.0134831950162253E-2</v>
      </c>
      <c r="W627" s="22">
        <v>108713</v>
      </c>
      <c r="X627" s="23">
        <v>0</v>
      </c>
      <c r="Y627" s="8">
        <f>Table2[[#This Row],[DU sąnaudos]]*0.43</f>
        <v>7224</v>
      </c>
      <c r="Z627" s="8">
        <f>Table2[[#This Row],[Apyvarta]]-Table2[[#This Row],[Ne-atlyginimų sąnaudos]]+Table2[[#This Row],[Fiks ir pelno mokestis]]</f>
        <v>132737</v>
      </c>
    </row>
    <row r="628" spans="1:26" hidden="1" x14ac:dyDescent="0.2">
      <c r="A628" s="5" t="s">
        <v>1686</v>
      </c>
      <c r="B628" s="41" t="s">
        <v>1687</v>
      </c>
      <c r="C628">
        <v>2021</v>
      </c>
      <c r="D628" s="5" t="s">
        <v>1721</v>
      </c>
      <c r="E628" s="5" t="s">
        <v>1721</v>
      </c>
      <c r="F628" s="5" t="s">
        <v>1721</v>
      </c>
      <c r="G628" s="5" t="s">
        <v>1721</v>
      </c>
      <c r="H628" s="5" t="s">
        <v>1721</v>
      </c>
      <c r="I628" s="5" t="s">
        <v>280</v>
      </c>
      <c r="J628" s="5" t="s">
        <v>1721</v>
      </c>
      <c r="K628" s="5" t="s">
        <v>1721</v>
      </c>
      <c r="L628" s="5" t="s">
        <v>1721</v>
      </c>
      <c r="M628" s="22">
        <v>2</v>
      </c>
      <c r="N628" s="23">
        <v>0</v>
      </c>
      <c r="O628" s="22">
        <v>700</v>
      </c>
      <c r="P628" s="21">
        <v>0</v>
      </c>
      <c r="Q628" s="20">
        <f>Table2[[#This Row],[Atlyginimo vidurkis]]*Table2[[#This Row],[Darbuotojų skaičius]]*12</f>
        <v>16800</v>
      </c>
      <c r="R628" s="49">
        <f>IFERROR(Table2[[#This Row],[DU sąnaudos]]/Q627-1,0)</f>
        <v>0</v>
      </c>
      <c r="S628" s="20">
        <v>188202</v>
      </c>
      <c r="T628" s="23">
        <v>0.12504483393510446</v>
      </c>
      <c r="U628" s="20">
        <f>IF(Table2[[#This Row],[DU sąnaudos]]=0,0,Table2[[#This Row],[Apyvarta]]-Table2[[#This Row],[DU sąnaudos]]-Table2[[#This Row],[Pelnas]])</f>
        <v>44817</v>
      </c>
      <c r="V628" s="49">
        <f>IFERROR(Table2[[#This Row],[Ne-atlyginimų sąnaudos]]/U627-1,0)</f>
        <v>7.2921404802374745E-2</v>
      </c>
      <c r="W628" s="22">
        <v>126585</v>
      </c>
      <c r="X628" s="23">
        <v>0.16439616237248544</v>
      </c>
      <c r="Y628" s="8">
        <f>Table2[[#This Row],[DU sąnaudos]]*0.43</f>
        <v>7224</v>
      </c>
      <c r="Z628" s="8">
        <f>Table2[[#This Row],[Apyvarta]]-Table2[[#This Row],[Ne-atlyginimų sąnaudos]]+Table2[[#This Row],[Fiks ir pelno mokestis]]</f>
        <v>150609</v>
      </c>
    </row>
    <row r="629" spans="1:26" hidden="1" x14ac:dyDescent="0.2">
      <c r="A629" s="5" t="s">
        <v>1686</v>
      </c>
      <c r="B629" s="41" t="s">
        <v>1687</v>
      </c>
      <c r="C629">
        <v>2022</v>
      </c>
      <c r="D629" s="5" t="s">
        <v>1721</v>
      </c>
      <c r="E629" s="5" t="s">
        <v>1721</v>
      </c>
      <c r="F629" s="5" t="s">
        <v>1721</v>
      </c>
      <c r="G629" s="5" t="s">
        <v>1721</v>
      </c>
      <c r="H629" s="5" t="s">
        <v>1721</v>
      </c>
      <c r="I629" s="5" t="s">
        <v>280</v>
      </c>
      <c r="J629" s="5" t="s">
        <v>1721</v>
      </c>
      <c r="K629" s="5" t="s">
        <v>1721</v>
      </c>
      <c r="L629" s="5" t="s">
        <v>1721</v>
      </c>
      <c r="M629" s="22">
        <v>2</v>
      </c>
      <c r="N629" s="23">
        <v>0</v>
      </c>
      <c r="O629" s="22">
        <v>700</v>
      </c>
      <c r="P629" s="21">
        <v>0</v>
      </c>
      <c r="Q629" s="20">
        <f>Table2[[#This Row],[Atlyginimo vidurkis]]*Table2[[#This Row],[Darbuotojų skaičius]]*12</f>
        <v>16800</v>
      </c>
      <c r="R629" s="49">
        <f>IFERROR(Table2[[#This Row],[DU sąnaudos]]/Q628-1,0)</f>
        <v>0</v>
      </c>
      <c r="S629" s="20">
        <v>154432</v>
      </c>
      <c r="T629" s="23">
        <v>-0.17943486254131202</v>
      </c>
      <c r="U629" s="20">
        <f>IF(Table2[[#This Row],[DU sąnaudos]]=0,0,Table2[[#This Row],[Apyvarta]]-Table2[[#This Row],[DU sąnaudos]]-Table2[[#This Row],[Pelnas]])</f>
        <v>53152</v>
      </c>
      <c r="V629" s="49">
        <f>IFERROR(Table2[[#This Row],[Ne-atlyginimų sąnaudos]]/U628-1,0)</f>
        <v>0.1859785349309413</v>
      </c>
      <c r="W629" s="22">
        <v>84480</v>
      </c>
      <c r="X629" s="23">
        <v>-0.33262234861950468</v>
      </c>
      <c r="Y629" s="8">
        <f>Table2[[#This Row],[DU sąnaudos]]*0.43</f>
        <v>7224</v>
      </c>
      <c r="Z629" s="8">
        <f>Table2[[#This Row],[Apyvarta]]-Table2[[#This Row],[Ne-atlyginimų sąnaudos]]+Table2[[#This Row],[Fiks ir pelno mokestis]]</f>
        <v>108504</v>
      </c>
    </row>
    <row r="630" spans="1:26" hidden="1" x14ac:dyDescent="0.2">
      <c r="A630" s="5" t="s">
        <v>1686</v>
      </c>
      <c r="B630" s="41" t="s">
        <v>1687</v>
      </c>
      <c r="C630">
        <v>2023</v>
      </c>
      <c r="D630" s="5" t="s">
        <v>1721</v>
      </c>
      <c r="E630" s="5" t="s">
        <v>1721</v>
      </c>
      <c r="F630" s="5" t="s">
        <v>1721</v>
      </c>
      <c r="G630" s="5" t="s">
        <v>1721</v>
      </c>
      <c r="H630" s="5" t="s">
        <v>1721</v>
      </c>
      <c r="I630" s="5" t="s">
        <v>280</v>
      </c>
      <c r="J630" s="5" t="s">
        <v>1721</v>
      </c>
      <c r="K630" s="5" t="s">
        <v>1721</v>
      </c>
      <c r="L630" s="5" t="s">
        <v>1721</v>
      </c>
      <c r="M630" s="22">
        <v>2</v>
      </c>
      <c r="N630" s="23">
        <v>0</v>
      </c>
      <c r="O630" s="22">
        <v>700</v>
      </c>
      <c r="P630" s="21">
        <v>0</v>
      </c>
      <c r="Q630" s="20">
        <f>Table2[[#This Row],[Atlyginimo vidurkis]]*Table2[[#This Row],[Darbuotojų skaičius]]*12</f>
        <v>16800</v>
      </c>
      <c r="R630" s="49">
        <f>IFERROR(Table2[[#This Row],[DU sąnaudos]]/Q629-1,0)</f>
        <v>0</v>
      </c>
      <c r="S630" s="20">
        <v>204198</v>
      </c>
      <c r="T630" s="23">
        <v>0.32225186489846669</v>
      </c>
      <c r="U630" s="20">
        <f>IF(Table2[[#This Row],[DU sąnaudos]]=0,0,Table2[[#This Row],[Apyvarta]]-Table2[[#This Row],[DU sąnaudos]]-Table2[[#This Row],[Pelnas]])</f>
        <v>66817</v>
      </c>
      <c r="V630" s="49">
        <f>IFERROR(Table2[[#This Row],[Ne-atlyginimų sąnaudos]]/U629-1,0)</f>
        <v>0.25709286574352808</v>
      </c>
      <c r="W630" s="22">
        <v>120581</v>
      </c>
      <c r="X630" s="23">
        <v>0.4273319128787878</v>
      </c>
      <c r="Y630" s="8">
        <f>Table2[[#This Row],[DU sąnaudos]]*0.43</f>
        <v>7224</v>
      </c>
      <c r="Z630" s="8">
        <f>Table2[[#This Row],[Apyvarta]]-Table2[[#This Row],[Ne-atlyginimų sąnaudos]]+Table2[[#This Row],[Fiks ir pelno mokestis]]</f>
        <v>144605</v>
      </c>
    </row>
    <row r="631" spans="1:26" hidden="1" x14ac:dyDescent="0.2">
      <c r="A631" s="5" t="s">
        <v>1686</v>
      </c>
      <c r="B631" s="41" t="s">
        <v>1687</v>
      </c>
      <c r="C631">
        <v>2024</v>
      </c>
      <c r="D631" s="5" t="s">
        <v>1721</v>
      </c>
      <c r="E631" s="5" t="s">
        <v>1721</v>
      </c>
      <c r="F631" s="5" t="s">
        <v>1721</v>
      </c>
      <c r="G631" s="5" t="s">
        <v>1721</v>
      </c>
      <c r="H631" s="5" t="s">
        <v>1721</v>
      </c>
      <c r="I631" s="5" t="s">
        <v>280</v>
      </c>
      <c r="J631" s="5" t="s">
        <v>1721</v>
      </c>
      <c r="K631" s="5" t="s">
        <v>1721</v>
      </c>
      <c r="L631" s="5" t="s">
        <v>1721</v>
      </c>
      <c r="M631" s="22">
        <v>2</v>
      </c>
      <c r="N631" s="23">
        <v>0</v>
      </c>
      <c r="O631" s="22">
        <v>700</v>
      </c>
      <c r="P631" s="21">
        <v>0</v>
      </c>
      <c r="Q631" s="20">
        <f>Table2[[#This Row],[Atlyginimo vidurkis]]*Table2[[#This Row],[Darbuotojų skaičius]]*12</f>
        <v>16800</v>
      </c>
      <c r="R631" s="49">
        <f>IFERROR(Table2[[#This Row],[DU sąnaudos]]/Q630-1,0)</f>
        <v>0</v>
      </c>
      <c r="S631" s="20">
        <v>220696</v>
      </c>
      <c r="T631" s="23">
        <v>8.0794131186397555E-2</v>
      </c>
      <c r="U631" s="20">
        <f>IF(Table2[[#This Row],[DU sąnaudos]]=0,0,Table2[[#This Row],[Apyvarta]]-Table2[[#This Row],[DU sąnaudos]]-Table2[[#This Row],[Pelnas]])</f>
        <v>70415</v>
      </c>
      <c r="V631" s="49">
        <f>IFERROR(Table2[[#This Row],[Ne-atlyginimų sąnaudos]]/U630-1,0)</f>
        <v>5.3848571471332152E-2</v>
      </c>
      <c r="W631" s="22">
        <v>133481</v>
      </c>
      <c r="X631" s="23">
        <v>0.10698202867781825</v>
      </c>
      <c r="Y631" s="8">
        <f>Table2[[#This Row],[DU sąnaudos]]*0.43</f>
        <v>7224</v>
      </c>
      <c r="Z631" s="8">
        <f>Table2[[#This Row],[Apyvarta]]-Table2[[#This Row],[Ne-atlyginimų sąnaudos]]+Table2[[#This Row],[Fiks ir pelno mokestis]]</f>
        <v>157505</v>
      </c>
    </row>
    <row r="632" spans="1:26" hidden="1" x14ac:dyDescent="0.2">
      <c r="A632" s="5" t="s">
        <v>1688</v>
      </c>
      <c r="B632" s="41" t="s">
        <v>1689</v>
      </c>
      <c r="C632">
        <v>2020</v>
      </c>
      <c r="D632" s="5" t="s">
        <v>1721</v>
      </c>
      <c r="E632" s="5" t="s">
        <v>1721</v>
      </c>
      <c r="F632" s="5" t="s">
        <v>1721</v>
      </c>
      <c r="G632" s="5" t="s">
        <v>1721</v>
      </c>
      <c r="H632" s="5" t="s">
        <v>1721</v>
      </c>
      <c r="I632" s="5" t="s">
        <v>280</v>
      </c>
      <c r="J632" s="5" t="s">
        <v>1721</v>
      </c>
      <c r="K632" s="5" t="s">
        <v>1721</v>
      </c>
      <c r="L632" s="5" t="s">
        <v>1721</v>
      </c>
      <c r="M632" s="22">
        <v>0</v>
      </c>
      <c r="N632" s="23">
        <f>IFERROR(Table2[[#This Row],[Darbuotojų skaičius]]/M631-1,0)</f>
        <v>-1</v>
      </c>
      <c r="O632" s="22">
        <v>0</v>
      </c>
      <c r="P632" s="21">
        <v>0</v>
      </c>
      <c r="Q632" s="20">
        <f>Table2[[#This Row],[Atlyginimo vidurkis]]*Table2[[#This Row],[Darbuotojų skaičius]]*12</f>
        <v>0</v>
      </c>
      <c r="R632" s="49">
        <f>IFERROR(Table2[[#This Row],[DU sąnaudos]]/Q631-1,0)</f>
        <v>-1</v>
      </c>
      <c r="S632" s="20">
        <v>68621</v>
      </c>
      <c r="T632" s="23">
        <v>0</v>
      </c>
      <c r="U632" s="20">
        <f>IF(Table2[[#This Row],[DU sąnaudos]]=0,0,Table2[[#This Row],[Apyvarta]]-Table2[[#This Row],[DU sąnaudos]]-Table2[[#This Row],[Pelnas]])</f>
        <v>0</v>
      </c>
      <c r="V632" s="49">
        <f>IFERROR(Table2[[#This Row],[Ne-atlyginimų sąnaudos]]/U631-1,0)</f>
        <v>-1</v>
      </c>
      <c r="W632" s="22">
        <v>20617</v>
      </c>
      <c r="X632" s="23">
        <v>0</v>
      </c>
      <c r="Y632" s="8">
        <f>Table2[[#This Row],[DU sąnaudos]]*0.43</f>
        <v>0</v>
      </c>
      <c r="Z632" s="8">
        <f>Table2[[#This Row],[Apyvarta]]-Table2[[#This Row],[Ne-atlyginimų sąnaudos]]+Table2[[#This Row],[Fiks ir pelno mokestis]]</f>
        <v>68621</v>
      </c>
    </row>
    <row r="633" spans="1:26" hidden="1" x14ac:dyDescent="0.2">
      <c r="A633" s="5" t="s">
        <v>1688</v>
      </c>
      <c r="B633" s="41" t="s">
        <v>1689</v>
      </c>
      <c r="C633">
        <v>2021</v>
      </c>
      <c r="D633" s="5" t="s">
        <v>1721</v>
      </c>
      <c r="E633" s="5" t="s">
        <v>1721</v>
      </c>
      <c r="F633" s="5" t="s">
        <v>1721</v>
      </c>
      <c r="G633" s="5" t="s">
        <v>1721</v>
      </c>
      <c r="H633" s="5" t="s">
        <v>1721</v>
      </c>
      <c r="I633" s="5" t="s">
        <v>280</v>
      </c>
      <c r="J633" s="5" t="s">
        <v>1721</v>
      </c>
      <c r="K633" s="5" t="s">
        <v>1721</v>
      </c>
      <c r="L633" s="5" t="s">
        <v>1721</v>
      </c>
      <c r="M633" s="22">
        <v>0</v>
      </c>
      <c r="N633" s="23">
        <f>IFERROR(Table2[[#This Row],[Darbuotojų skaičius]]/M632-1,0)</f>
        <v>0</v>
      </c>
      <c r="O633" s="22">
        <v>0</v>
      </c>
      <c r="P633" s="21">
        <v>0</v>
      </c>
      <c r="Q633" s="20">
        <f>Table2[[#This Row],[Atlyginimo vidurkis]]*Table2[[#This Row],[Darbuotojų skaičius]]*12</f>
        <v>0</v>
      </c>
      <c r="R633" s="49">
        <f>IFERROR(Table2[[#This Row],[DU sąnaudos]]/Q632-1,0)</f>
        <v>0</v>
      </c>
      <c r="S633" s="20">
        <v>212369</v>
      </c>
      <c r="T633" s="23">
        <v>2.094810626484604</v>
      </c>
      <c r="U633" s="20">
        <f>IF(Table2[[#This Row],[DU sąnaudos]]=0,0,Table2[[#This Row],[Apyvarta]]-Table2[[#This Row],[DU sąnaudos]]-Table2[[#This Row],[Pelnas]])</f>
        <v>0</v>
      </c>
      <c r="V633" s="49">
        <f>IFERROR(Table2[[#This Row],[Ne-atlyginimų sąnaudos]]/U632-1,0)</f>
        <v>0</v>
      </c>
      <c r="W633" s="22">
        <v>27768</v>
      </c>
      <c r="X633" s="23">
        <v>0.34684968715137998</v>
      </c>
      <c r="Y633" s="8">
        <f>Table2[[#This Row],[DU sąnaudos]]*0.43</f>
        <v>0</v>
      </c>
      <c r="Z633" s="8">
        <f>Table2[[#This Row],[Apyvarta]]-Table2[[#This Row],[Ne-atlyginimų sąnaudos]]+Table2[[#This Row],[Fiks ir pelno mokestis]]</f>
        <v>212369</v>
      </c>
    </row>
    <row r="634" spans="1:26" hidden="1" x14ac:dyDescent="0.2">
      <c r="A634" s="5" t="s">
        <v>1688</v>
      </c>
      <c r="B634" s="41" t="s">
        <v>1689</v>
      </c>
      <c r="C634">
        <v>2022</v>
      </c>
      <c r="D634" s="5" t="s">
        <v>1721</v>
      </c>
      <c r="E634" s="5" t="s">
        <v>1721</v>
      </c>
      <c r="F634" s="5" t="s">
        <v>1721</v>
      </c>
      <c r="G634" s="5" t="s">
        <v>1721</v>
      </c>
      <c r="H634" s="5" t="s">
        <v>1721</v>
      </c>
      <c r="I634" s="5" t="s">
        <v>280</v>
      </c>
      <c r="J634" s="5" t="s">
        <v>1721</v>
      </c>
      <c r="K634" s="5" t="s">
        <v>1721</v>
      </c>
      <c r="L634" s="5" t="s">
        <v>1721</v>
      </c>
      <c r="M634" s="22">
        <v>0</v>
      </c>
      <c r="N634" s="23">
        <f>IFERROR(Table2[[#This Row],[Darbuotojų skaičius]]/M633-1,0)</f>
        <v>0</v>
      </c>
      <c r="O634" s="22">
        <v>0</v>
      </c>
      <c r="P634" s="21">
        <v>0</v>
      </c>
      <c r="Q634" s="20">
        <f>Table2[[#This Row],[Atlyginimo vidurkis]]*Table2[[#This Row],[Darbuotojų skaičius]]*12</f>
        <v>0</v>
      </c>
      <c r="R634" s="49">
        <f>IFERROR(Table2[[#This Row],[DU sąnaudos]]/Q633-1,0)</f>
        <v>0</v>
      </c>
      <c r="S634" s="20">
        <v>335052</v>
      </c>
      <c r="T634" s="23">
        <v>0.57768789230066542</v>
      </c>
      <c r="U634" s="20">
        <f>IF(Table2[[#This Row],[DU sąnaudos]]=0,0,Table2[[#This Row],[Apyvarta]]-Table2[[#This Row],[DU sąnaudos]]-Table2[[#This Row],[Pelnas]])</f>
        <v>0</v>
      </c>
      <c r="V634" s="49">
        <f>IFERROR(Table2[[#This Row],[Ne-atlyginimų sąnaudos]]/U633-1,0)</f>
        <v>0</v>
      </c>
      <c r="W634" s="22">
        <v>53306</v>
      </c>
      <c r="X634" s="23">
        <v>0.91969173148948435</v>
      </c>
      <c r="Y634" s="8">
        <f>Table2[[#This Row],[DU sąnaudos]]*0.43</f>
        <v>0</v>
      </c>
      <c r="Z634" s="8">
        <f>Table2[[#This Row],[Apyvarta]]-Table2[[#This Row],[Ne-atlyginimų sąnaudos]]+Table2[[#This Row],[Fiks ir pelno mokestis]]</f>
        <v>335052</v>
      </c>
    </row>
    <row r="635" spans="1:26" hidden="1" x14ac:dyDescent="0.2">
      <c r="A635" s="5" t="s">
        <v>1688</v>
      </c>
      <c r="B635" s="41" t="s">
        <v>1689</v>
      </c>
      <c r="C635">
        <v>2023</v>
      </c>
      <c r="D635" s="5" t="s">
        <v>1721</v>
      </c>
      <c r="E635" s="5" t="s">
        <v>1721</v>
      </c>
      <c r="F635" s="5" t="s">
        <v>1721</v>
      </c>
      <c r="G635" s="5" t="s">
        <v>1721</v>
      </c>
      <c r="H635" s="5" t="s">
        <v>1721</v>
      </c>
      <c r="I635" s="5" t="s">
        <v>280</v>
      </c>
      <c r="J635" s="5" t="s">
        <v>1721</v>
      </c>
      <c r="K635" s="5" t="s">
        <v>1721</v>
      </c>
      <c r="L635" s="5" t="s">
        <v>1721</v>
      </c>
      <c r="M635" s="22">
        <v>0</v>
      </c>
      <c r="N635" s="23">
        <f>IFERROR(Table2[[#This Row],[Darbuotojų skaičius]]/M634-1,0)</f>
        <v>0</v>
      </c>
      <c r="O635" s="22">
        <v>0</v>
      </c>
      <c r="P635" s="21">
        <v>0</v>
      </c>
      <c r="Q635" s="20">
        <f>Table2[[#This Row],[Atlyginimo vidurkis]]*Table2[[#This Row],[Darbuotojų skaičius]]*12</f>
        <v>0</v>
      </c>
      <c r="R635" s="49">
        <f>IFERROR(Table2[[#This Row],[DU sąnaudos]]/Q634-1,0)</f>
        <v>0</v>
      </c>
      <c r="S635" s="20">
        <v>373656</v>
      </c>
      <c r="T635" s="23">
        <v>0.11521793632033228</v>
      </c>
      <c r="U635" s="20">
        <f>IF(Table2[[#This Row],[DU sąnaudos]]=0,0,Table2[[#This Row],[Apyvarta]]-Table2[[#This Row],[DU sąnaudos]]-Table2[[#This Row],[Pelnas]])</f>
        <v>0</v>
      </c>
      <c r="V635" s="49">
        <f>IFERROR(Table2[[#This Row],[Ne-atlyginimų sąnaudos]]/U634-1,0)</f>
        <v>0</v>
      </c>
      <c r="W635" s="22">
        <v>50120</v>
      </c>
      <c r="X635" s="23">
        <v>-5.9768131167223237E-2</v>
      </c>
      <c r="Y635" s="8">
        <f>Table2[[#This Row],[DU sąnaudos]]*0.43</f>
        <v>0</v>
      </c>
      <c r="Z635" s="8">
        <f>Table2[[#This Row],[Apyvarta]]-Table2[[#This Row],[Ne-atlyginimų sąnaudos]]+Table2[[#This Row],[Fiks ir pelno mokestis]]</f>
        <v>373656</v>
      </c>
    </row>
    <row r="636" spans="1:26" hidden="1" x14ac:dyDescent="0.2">
      <c r="A636" s="5" t="s">
        <v>1688</v>
      </c>
      <c r="B636" s="41" t="s">
        <v>1689</v>
      </c>
      <c r="C636">
        <v>2024</v>
      </c>
      <c r="D636" s="5" t="s">
        <v>1721</v>
      </c>
      <c r="E636" s="5" t="s">
        <v>1721</v>
      </c>
      <c r="F636" s="5" t="s">
        <v>1721</v>
      </c>
      <c r="G636" s="5" t="s">
        <v>1721</v>
      </c>
      <c r="H636" s="5" t="s">
        <v>1721</v>
      </c>
      <c r="I636" s="5" t="s">
        <v>280</v>
      </c>
      <c r="J636" s="5" t="s">
        <v>1721</v>
      </c>
      <c r="K636" s="5" t="s">
        <v>1721</v>
      </c>
      <c r="L636" s="5" t="s">
        <v>1721</v>
      </c>
      <c r="M636" s="22">
        <v>0</v>
      </c>
      <c r="N636" s="23">
        <f>IFERROR(Table2[[#This Row],[Darbuotojų skaičius]]/M635-1,0)</f>
        <v>0</v>
      </c>
      <c r="O636" s="22">
        <v>0</v>
      </c>
      <c r="P636" s="21">
        <v>0</v>
      </c>
      <c r="Q636" s="20">
        <f>Table2[[#This Row],[Atlyginimo vidurkis]]*Table2[[#This Row],[Darbuotojų skaičius]]*12</f>
        <v>0</v>
      </c>
      <c r="R636" s="49">
        <f>IFERROR(Table2[[#This Row],[DU sąnaudos]]/Q635-1,0)</f>
        <v>0</v>
      </c>
      <c r="S636" s="20">
        <v>390217</v>
      </c>
      <c r="T636" s="23">
        <v>4.4321514976341847E-2</v>
      </c>
      <c r="U636" s="20">
        <f>IF(Table2[[#This Row],[DU sąnaudos]]=0,0,Table2[[#This Row],[Apyvarta]]-Table2[[#This Row],[DU sąnaudos]]-Table2[[#This Row],[Pelnas]])</f>
        <v>0</v>
      </c>
      <c r="V636" s="49">
        <f>IFERROR(Table2[[#This Row],[Ne-atlyginimų sąnaudos]]/U635-1,0)</f>
        <v>0</v>
      </c>
      <c r="W636" s="22">
        <v>92018</v>
      </c>
      <c r="X636" s="23">
        <v>0.83595371109337591</v>
      </c>
      <c r="Y636" s="8">
        <f>Table2[[#This Row],[DU sąnaudos]]*0.43</f>
        <v>0</v>
      </c>
      <c r="Z636" s="8">
        <f>Table2[[#This Row],[Apyvarta]]-Table2[[#This Row],[Ne-atlyginimų sąnaudos]]+Table2[[#This Row],[Fiks ir pelno mokestis]]</f>
        <v>390217</v>
      </c>
    </row>
    <row r="637" spans="1:26" hidden="1" x14ac:dyDescent="0.2">
      <c r="A637" s="42" t="s">
        <v>1690</v>
      </c>
      <c r="B637" s="41" t="s">
        <v>1691</v>
      </c>
      <c r="C637">
        <v>2020</v>
      </c>
      <c r="D637" s="5" t="s">
        <v>1721</v>
      </c>
      <c r="E637" s="5" t="s">
        <v>1721</v>
      </c>
      <c r="F637" s="5" t="s">
        <v>1721</v>
      </c>
      <c r="G637" s="5" t="s">
        <v>1721</v>
      </c>
      <c r="H637" s="5" t="s">
        <v>1721</v>
      </c>
      <c r="I637" s="5" t="s">
        <v>280</v>
      </c>
      <c r="J637" s="5" t="s">
        <v>1721</v>
      </c>
      <c r="K637" s="5" t="s">
        <v>1721</v>
      </c>
      <c r="L637" s="5" t="s">
        <v>1721</v>
      </c>
      <c r="M637" s="22">
        <v>3</v>
      </c>
      <c r="N637" s="23">
        <v>0</v>
      </c>
      <c r="O637" s="22">
        <v>800</v>
      </c>
      <c r="P637" s="21">
        <v>0</v>
      </c>
      <c r="Q637" s="20">
        <f>Table2[[#This Row],[Atlyginimo vidurkis]]*Table2[[#This Row],[Darbuotojų skaičius]]*12</f>
        <v>28800</v>
      </c>
      <c r="R637" s="49">
        <f>IFERROR(Table2[[#This Row],[DU sąnaudos]]/Q636-1,0)</f>
        <v>0</v>
      </c>
      <c r="S637" s="20">
        <v>121041</v>
      </c>
      <c r="T637" s="23">
        <v>0</v>
      </c>
      <c r="U637" s="20">
        <f>IF(Table2[[#This Row],[DU sąnaudos]]=0,0,Table2[[#This Row],[Apyvarta]]-Table2[[#This Row],[DU sąnaudos]]-Table2[[#This Row],[Pelnas]])</f>
        <v>80041</v>
      </c>
      <c r="V637" s="49">
        <f>IFERROR(Table2[[#This Row],[Ne-atlyginimų sąnaudos]]/U636-1,0)</f>
        <v>0</v>
      </c>
      <c r="W637" s="22">
        <v>12200</v>
      </c>
      <c r="X637" s="23">
        <v>0</v>
      </c>
      <c r="Y637" s="8">
        <f>Table2[[#This Row],[DU sąnaudos]]*0.43</f>
        <v>12384</v>
      </c>
      <c r="Z637" s="8">
        <f>Table2[[#This Row],[Apyvarta]]-Table2[[#This Row],[Ne-atlyginimų sąnaudos]]+Table2[[#This Row],[Fiks ir pelno mokestis]]</f>
        <v>53384</v>
      </c>
    </row>
    <row r="638" spans="1:26" hidden="1" x14ac:dyDescent="0.2">
      <c r="A638" s="5" t="s">
        <v>1690</v>
      </c>
      <c r="B638" s="41" t="s">
        <v>1691</v>
      </c>
      <c r="C638">
        <v>2021</v>
      </c>
      <c r="D638" s="5" t="s">
        <v>1721</v>
      </c>
      <c r="E638" s="5" t="s">
        <v>1721</v>
      </c>
      <c r="F638" s="5" t="s">
        <v>1721</v>
      </c>
      <c r="G638" s="5" t="s">
        <v>1721</v>
      </c>
      <c r="H638" s="5" t="s">
        <v>1721</v>
      </c>
      <c r="I638" s="5" t="s">
        <v>280</v>
      </c>
      <c r="J638" s="5" t="s">
        <v>1721</v>
      </c>
      <c r="K638" s="5" t="s">
        <v>1721</v>
      </c>
      <c r="L638" s="5" t="s">
        <v>1721</v>
      </c>
      <c r="M638" s="22">
        <v>2</v>
      </c>
      <c r="N638" s="23">
        <v>-0.33333333333333337</v>
      </c>
      <c r="O638" s="22">
        <v>1400</v>
      </c>
      <c r="P638" s="21">
        <v>0.75</v>
      </c>
      <c r="Q638" s="20">
        <f>Table2[[#This Row],[Atlyginimo vidurkis]]*Table2[[#This Row],[Darbuotojų skaičius]]*12</f>
        <v>33600</v>
      </c>
      <c r="R638" s="49">
        <f>IFERROR(Table2[[#This Row],[DU sąnaudos]]/Q637-1,0)</f>
        <v>0.16666666666666674</v>
      </c>
      <c r="S638" s="20">
        <v>133934</v>
      </c>
      <c r="T638" s="23">
        <v>0.10651762625887096</v>
      </c>
      <c r="U638" s="20">
        <f>IF(Table2[[#This Row],[DU sąnaudos]]=0,0,Table2[[#This Row],[Apyvarta]]-Table2[[#This Row],[DU sąnaudos]]-Table2[[#This Row],[Pelnas]])</f>
        <v>76977</v>
      </c>
      <c r="V638" s="49">
        <f>IFERROR(Table2[[#This Row],[Ne-atlyginimų sąnaudos]]/U637-1,0)</f>
        <v>-3.8280381304581446E-2</v>
      </c>
      <c r="W638" s="22">
        <v>23357</v>
      </c>
      <c r="X638" s="23">
        <v>0.91450819672131156</v>
      </c>
      <c r="Y638" s="8">
        <f>Table2[[#This Row],[DU sąnaudos]]*0.43</f>
        <v>14448</v>
      </c>
      <c r="Z638" s="8">
        <f>Table2[[#This Row],[Apyvarta]]-Table2[[#This Row],[Ne-atlyginimų sąnaudos]]+Table2[[#This Row],[Fiks ir pelno mokestis]]</f>
        <v>71405</v>
      </c>
    </row>
    <row r="639" spans="1:26" hidden="1" x14ac:dyDescent="0.2">
      <c r="A639" s="5" t="s">
        <v>1690</v>
      </c>
      <c r="B639" s="41" t="s">
        <v>1691</v>
      </c>
      <c r="C639">
        <v>2022</v>
      </c>
      <c r="D639" s="5" t="s">
        <v>1721</v>
      </c>
      <c r="E639" s="5" t="s">
        <v>1721</v>
      </c>
      <c r="F639" s="5" t="s">
        <v>1721</v>
      </c>
      <c r="G639" s="5" t="s">
        <v>1721</v>
      </c>
      <c r="H639" s="5" t="s">
        <v>1721</v>
      </c>
      <c r="I639" s="5" t="s">
        <v>280</v>
      </c>
      <c r="J639" s="5" t="s">
        <v>1721</v>
      </c>
      <c r="K639" s="5" t="s">
        <v>1721</v>
      </c>
      <c r="L639" s="5" t="s">
        <v>1721</v>
      </c>
      <c r="M639" s="22">
        <v>0</v>
      </c>
      <c r="N639" s="23">
        <v>-1</v>
      </c>
      <c r="O639" s="22">
        <v>0</v>
      </c>
      <c r="P639" s="21">
        <v>0</v>
      </c>
      <c r="Q639" s="20">
        <f>Table2[[#This Row],[Atlyginimo vidurkis]]*Table2[[#This Row],[Darbuotojų skaičius]]*12</f>
        <v>0</v>
      </c>
      <c r="R639" s="49">
        <f>IFERROR(Table2[[#This Row],[DU sąnaudos]]/Q638-1,0)</f>
        <v>-1</v>
      </c>
      <c r="S639" s="20">
        <v>328212</v>
      </c>
      <c r="T639" s="23">
        <v>1.4505502710290141</v>
      </c>
      <c r="U639" s="20">
        <f>IF(Table2[[#This Row],[DU sąnaudos]]=0,0,Table2[[#This Row],[Apyvarta]]-Table2[[#This Row],[DU sąnaudos]]-Table2[[#This Row],[Pelnas]])</f>
        <v>0</v>
      </c>
      <c r="V639" s="49">
        <f>IFERROR(Table2[[#This Row],[Ne-atlyginimų sąnaudos]]/U638-1,0)</f>
        <v>-1</v>
      </c>
      <c r="W639" s="22">
        <v>80738</v>
      </c>
      <c r="X639" s="23">
        <v>2.4566939247334845</v>
      </c>
      <c r="Y639" s="8">
        <f>Table2[[#This Row],[DU sąnaudos]]*0.43</f>
        <v>0</v>
      </c>
      <c r="Z639" s="8">
        <f>Table2[[#This Row],[Apyvarta]]-Table2[[#This Row],[Ne-atlyginimų sąnaudos]]+Table2[[#This Row],[Fiks ir pelno mokestis]]</f>
        <v>328212</v>
      </c>
    </row>
    <row r="640" spans="1:26" hidden="1" x14ac:dyDescent="0.2">
      <c r="A640" s="5" t="s">
        <v>1690</v>
      </c>
      <c r="B640" s="41" t="s">
        <v>1691</v>
      </c>
      <c r="C640">
        <v>2023</v>
      </c>
      <c r="D640" s="5" t="s">
        <v>1721</v>
      </c>
      <c r="E640" s="5" t="s">
        <v>1721</v>
      </c>
      <c r="F640" s="5" t="s">
        <v>1721</v>
      </c>
      <c r="G640" s="5" t="s">
        <v>1721</v>
      </c>
      <c r="H640" s="5" t="s">
        <v>1721</v>
      </c>
      <c r="I640" s="5" t="s">
        <v>280</v>
      </c>
      <c r="J640" s="5" t="s">
        <v>1721</v>
      </c>
      <c r="K640" s="5" t="s">
        <v>1721</v>
      </c>
      <c r="L640" s="5" t="s">
        <v>1721</v>
      </c>
      <c r="M640" s="22">
        <v>0</v>
      </c>
      <c r="N640" s="23">
        <v>0</v>
      </c>
      <c r="O640" s="22">
        <v>0</v>
      </c>
      <c r="P640" s="21">
        <v>0</v>
      </c>
      <c r="Q640" s="20">
        <f>Table2[[#This Row],[Atlyginimo vidurkis]]*Table2[[#This Row],[Darbuotojų skaičius]]*12</f>
        <v>0</v>
      </c>
      <c r="R640" s="49">
        <f>IFERROR(Table2[[#This Row],[DU sąnaudos]]/Q639-1,0)</f>
        <v>0</v>
      </c>
      <c r="S640" s="20">
        <v>249885</v>
      </c>
      <c r="T640" s="23">
        <v>-0.23864758144126352</v>
      </c>
      <c r="U640" s="20">
        <f>IF(Table2[[#This Row],[DU sąnaudos]]=0,0,Table2[[#This Row],[Apyvarta]]-Table2[[#This Row],[DU sąnaudos]]-Table2[[#This Row],[Pelnas]])</f>
        <v>0</v>
      </c>
      <c r="V640" s="49">
        <f>IFERROR(Table2[[#This Row],[Ne-atlyginimų sąnaudos]]/U639-1,0)</f>
        <v>0</v>
      </c>
      <c r="W640" s="22">
        <v>272</v>
      </c>
      <c r="X640" s="23">
        <v>-0.99663107830265796</v>
      </c>
      <c r="Y640" s="8">
        <f>Table2[[#This Row],[DU sąnaudos]]*0.43</f>
        <v>0</v>
      </c>
      <c r="Z640" s="8">
        <f>Table2[[#This Row],[Apyvarta]]-Table2[[#This Row],[Ne-atlyginimų sąnaudos]]+Table2[[#This Row],[Fiks ir pelno mokestis]]</f>
        <v>249885</v>
      </c>
    </row>
    <row r="641" spans="1:26" hidden="1" x14ac:dyDescent="0.2">
      <c r="A641" s="5" t="s">
        <v>1690</v>
      </c>
      <c r="B641" s="41" t="s">
        <v>1691</v>
      </c>
      <c r="C641">
        <v>2024</v>
      </c>
      <c r="D641" s="5" t="s">
        <v>1721</v>
      </c>
      <c r="E641" s="5" t="s">
        <v>1721</v>
      </c>
      <c r="F641" s="5" t="s">
        <v>1721</v>
      </c>
      <c r="G641" s="5" t="s">
        <v>1721</v>
      </c>
      <c r="H641" s="5" t="s">
        <v>1721</v>
      </c>
      <c r="I641" s="5" t="s">
        <v>280</v>
      </c>
      <c r="J641" s="5" t="s">
        <v>1721</v>
      </c>
      <c r="K641" s="5" t="s">
        <v>1721</v>
      </c>
      <c r="L641" s="5" t="s">
        <v>1721</v>
      </c>
      <c r="M641" s="22">
        <v>0</v>
      </c>
      <c r="N641" s="23">
        <v>0</v>
      </c>
      <c r="O641" s="22">
        <v>0</v>
      </c>
      <c r="P641" s="21">
        <v>0</v>
      </c>
      <c r="Q641" s="20">
        <f>Table2[[#This Row],[Atlyginimo vidurkis]]*Table2[[#This Row],[Darbuotojų skaičius]]*12</f>
        <v>0</v>
      </c>
      <c r="R641" s="49">
        <f>IFERROR(Table2[[#This Row],[DU sąnaudos]]/Q640-1,0)</f>
        <v>0</v>
      </c>
      <c r="S641" s="20">
        <v>212585</v>
      </c>
      <c r="T641" s="23">
        <v>-0.14926866358524926</v>
      </c>
      <c r="U641" s="20">
        <f>IF(Table2[[#This Row],[DU sąnaudos]]=0,0,Table2[[#This Row],[Apyvarta]]-Table2[[#This Row],[DU sąnaudos]]-Table2[[#This Row],[Pelnas]])</f>
        <v>0</v>
      </c>
      <c r="V641" s="49">
        <f>IFERROR(Table2[[#This Row],[Ne-atlyginimų sąnaudos]]/U640-1,0)</f>
        <v>0</v>
      </c>
      <c r="W641" s="22">
        <v>27478</v>
      </c>
      <c r="X641" s="23">
        <v>100.02205882352941</v>
      </c>
      <c r="Y641" s="8">
        <f>Table2[[#This Row],[DU sąnaudos]]*0.43</f>
        <v>0</v>
      </c>
      <c r="Z641" s="8">
        <f>Table2[[#This Row],[Apyvarta]]-Table2[[#This Row],[Ne-atlyginimų sąnaudos]]+Table2[[#This Row],[Fiks ir pelno mokestis]]</f>
        <v>212585</v>
      </c>
    </row>
    <row r="642" spans="1:26" hidden="1" x14ac:dyDescent="0.2">
      <c r="A642" s="5" t="s">
        <v>1692</v>
      </c>
      <c r="B642" s="41" t="s">
        <v>1693</v>
      </c>
      <c r="C642">
        <v>2020</v>
      </c>
      <c r="D642" s="5" t="s">
        <v>1721</v>
      </c>
      <c r="E642" s="5" t="s">
        <v>1721</v>
      </c>
      <c r="F642" s="5" t="s">
        <v>1721</v>
      </c>
      <c r="G642" s="5" t="s">
        <v>1721</v>
      </c>
      <c r="H642" s="5" t="s">
        <v>1721</v>
      </c>
      <c r="I642" s="5" t="s">
        <v>280</v>
      </c>
      <c r="J642" s="5" t="s">
        <v>1721</v>
      </c>
      <c r="K642" s="5" t="s">
        <v>1721</v>
      </c>
      <c r="L642" s="5" t="s">
        <v>1721</v>
      </c>
      <c r="M642" s="22">
        <v>0</v>
      </c>
      <c r="N642" s="23">
        <f>IFERROR(Table2[[#This Row],[Darbuotojų skaičius]]/M641-1,0)</f>
        <v>0</v>
      </c>
      <c r="O642" s="22">
        <v>0</v>
      </c>
      <c r="P642" s="21">
        <v>0</v>
      </c>
      <c r="Q642" s="20">
        <f>Table2[[#This Row],[Atlyginimo vidurkis]]*Table2[[#This Row],[Darbuotojų skaičius]]*12</f>
        <v>0</v>
      </c>
      <c r="R642" s="49">
        <f>IFERROR(Table2[[#This Row],[DU sąnaudos]]/Q641-1,0)</f>
        <v>0</v>
      </c>
      <c r="S642" s="20">
        <v>115045</v>
      </c>
      <c r="T642" s="23">
        <v>0</v>
      </c>
      <c r="U642" s="20">
        <f>IF(Table2[[#This Row],[DU sąnaudos]]=0,0,Table2[[#This Row],[Apyvarta]]-Table2[[#This Row],[DU sąnaudos]]-Table2[[#This Row],[Pelnas]])</f>
        <v>0</v>
      </c>
      <c r="V642" s="49">
        <f>IFERROR(Table2[[#This Row],[Ne-atlyginimų sąnaudos]]/U641-1,0)</f>
        <v>0</v>
      </c>
      <c r="W642" s="22">
        <v>8039</v>
      </c>
      <c r="X642" s="23">
        <v>0</v>
      </c>
      <c r="Y642" s="8">
        <f>Table2[[#This Row],[DU sąnaudos]]*0.43</f>
        <v>0</v>
      </c>
      <c r="Z642" s="8">
        <f>Table2[[#This Row],[Apyvarta]]-Table2[[#This Row],[Ne-atlyginimų sąnaudos]]+Table2[[#This Row],[Fiks ir pelno mokestis]]</f>
        <v>115045</v>
      </c>
    </row>
    <row r="643" spans="1:26" hidden="1" x14ac:dyDescent="0.2">
      <c r="A643" s="5" t="s">
        <v>1692</v>
      </c>
      <c r="B643" s="41" t="s">
        <v>1693</v>
      </c>
      <c r="C643">
        <v>2021</v>
      </c>
      <c r="D643" s="5" t="s">
        <v>1721</v>
      </c>
      <c r="E643" s="5" t="s">
        <v>1721</v>
      </c>
      <c r="F643" s="5" t="s">
        <v>1721</v>
      </c>
      <c r="G643" s="5" t="s">
        <v>1721</v>
      </c>
      <c r="H643" s="5" t="s">
        <v>1721</v>
      </c>
      <c r="I643" s="5" t="s">
        <v>280</v>
      </c>
      <c r="J643" s="5" t="s">
        <v>1721</v>
      </c>
      <c r="K643" s="5" t="s">
        <v>1721</v>
      </c>
      <c r="L643" s="5" t="s">
        <v>1721</v>
      </c>
      <c r="M643" s="22">
        <v>0</v>
      </c>
      <c r="N643" s="23">
        <f>IFERROR(Table2[[#This Row],[Darbuotojų skaičius]]/M642-1,0)</f>
        <v>0</v>
      </c>
      <c r="O643" s="22">
        <v>0</v>
      </c>
      <c r="P643" s="21">
        <v>0</v>
      </c>
      <c r="Q643" s="20">
        <f>Table2[[#This Row],[Atlyginimo vidurkis]]*Table2[[#This Row],[Darbuotojų skaičius]]*12</f>
        <v>0</v>
      </c>
      <c r="R643" s="49">
        <f>IFERROR(Table2[[#This Row],[DU sąnaudos]]/Q642-1,0)</f>
        <v>0</v>
      </c>
      <c r="S643" s="20">
        <v>186316</v>
      </c>
      <c r="T643" s="23">
        <v>0.61950541092615929</v>
      </c>
      <c r="U643" s="20">
        <f>IF(Table2[[#This Row],[DU sąnaudos]]=0,0,Table2[[#This Row],[Apyvarta]]-Table2[[#This Row],[DU sąnaudos]]-Table2[[#This Row],[Pelnas]])</f>
        <v>0</v>
      </c>
      <c r="V643" s="49">
        <f>IFERROR(Table2[[#This Row],[Ne-atlyginimų sąnaudos]]/U642-1,0)</f>
        <v>0</v>
      </c>
      <c r="W643" s="22">
        <v>3076</v>
      </c>
      <c r="X643" s="23">
        <v>-0.61736534394825227</v>
      </c>
      <c r="Y643" s="8">
        <f>Table2[[#This Row],[DU sąnaudos]]*0.43</f>
        <v>0</v>
      </c>
      <c r="Z643" s="8">
        <f>Table2[[#This Row],[Apyvarta]]-Table2[[#This Row],[Ne-atlyginimų sąnaudos]]+Table2[[#This Row],[Fiks ir pelno mokestis]]</f>
        <v>186316</v>
      </c>
    </row>
    <row r="644" spans="1:26" hidden="1" x14ac:dyDescent="0.2">
      <c r="A644" s="5" t="s">
        <v>1692</v>
      </c>
      <c r="B644" s="41" t="s">
        <v>1693</v>
      </c>
      <c r="C644">
        <v>2022</v>
      </c>
      <c r="D644" s="5" t="s">
        <v>1721</v>
      </c>
      <c r="E644" s="5" t="s">
        <v>1721</v>
      </c>
      <c r="F644" s="5" t="s">
        <v>1721</v>
      </c>
      <c r="G644" s="5" t="s">
        <v>1721</v>
      </c>
      <c r="H644" s="5" t="s">
        <v>1721</v>
      </c>
      <c r="I644" s="5" t="s">
        <v>280</v>
      </c>
      <c r="J644" s="5" t="s">
        <v>1721</v>
      </c>
      <c r="K644" s="5" t="s">
        <v>1721</v>
      </c>
      <c r="L644" s="5" t="s">
        <v>1721</v>
      </c>
      <c r="M644" s="22">
        <v>0</v>
      </c>
      <c r="N644" s="23">
        <f>IFERROR(Table2[[#This Row],[Darbuotojų skaičius]]/M643-1,0)</f>
        <v>0</v>
      </c>
      <c r="O644" s="22">
        <v>0</v>
      </c>
      <c r="P644" s="21">
        <v>0</v>
      </c>
      <c r="Q644" s="20">
        <f>Table2[[#This Row],[Atlyginimo vidurkis]]*Table2[[#This Row],[Darbuotojų skaičius]]*12</f>
        <v>0</v>
      </c>
      <c r="R644" s="49">
        <f>IFERROR(Table2[[#This Row],[DU sąnaudos]]/Q643-1,0)</f>
        <v>0</v>
      </c>
      <c r="S644" s="20">
        <v>224635</v>
      </c>
      <c r="T644" s="23">
        <v>0.20566671676077197</v>
      </c>
      <c r="U644" s="20">
        <f>IF(Table2[[#This Row],[DU sąnaudos]]=0,0,Table2[[#This Row],[Apyvarta]]-Table2[[#This Row],[DU sąnaudos]]-Table2[[#This Row],[Pelnas]])</f>
        <v>0</v>
      </c>
      <c r="V644" s="49">
        <f>IFERROR(Table2[[#This Row],[Ne-atlyginimų sąnaudos]]/U643-1,0)</f>
        <v>0</v>
      </c>
      <c r="W644" s="22">
        <v>12731</v>
      </c>
      <c r="X644" s="23">
        <v>3.138816644993498</v>
      </c>
      <c r="Y644" s="8">
        <f>Table2[[#This Row],[DU sąnaudos]]*0.43</f>
        <v>0</v>
      </c>
      <c r="Z644" s="8">
        <f>Table2[[#This Row],[Apyvarta]]-Table2[[#This Row],[Ne-atlyginimų sąnaudos]]+Table2[[#This Row],[Fiks ir pelno mokestis]]</f>
        <v>224635</v>
      </c>
    </row>
    <row r="645" spans="1:26" hidden="1" x14ac:dyDescent="0.2">
      <c r="A645" s="5" t="s">
        <v>1692</v>
      </c>
      <c r="B645" s="41" t="s">
        <v>1693</v>
      </c>
      <c r="C645">
        <v>2023</v>
      </c>
      <c r="D645" s="5" t="s">
        <v>1721</v>
      </c>
      <c r="E645" s="5" t="s">
        <v>1721</v>
      </c>
      <c r="F645" s="5" t="s">
        <v>1721</v>
      </c>
      <c r="G645" s="5" t="s">
        <v>1721</v>
      </c>
      <c r="H645" s="5" t="s">
        <v>1721</v>
      </c>
      <c r="I645" s="5" t="s">
        <v>280</v>
      </c>
      <c r="J645" s="5" t="s">
        <v>1721</v>
      </c>
      <c r="K645" s="5" t="s">
        <v>1721</v>
      </c>
      <c r="L645" s="5" t="s">
        <v>1721</v>
      </c>
      <c r="M645" s="22">
        <v>0</v>
      </c>
      <c r="N645" s="23">
        <f>IFERROR(Table2[[#This Row],[Darbuotojų skaičius]]/M644-1,0)</f>
        <v>0</v>
      </c>
      <c r="O645" s="22">
        <v>0</v>
      </c>
      <c r="P645" s="21">
        <v>0</v>
      </c>
      <c r="Q645" s="20">
        <f>Table2[[#This Row],[Atlyginimo vidurkis]]*Table2[[#This Row],[Darbuotojų skaičius]]*12</f>
        <v>0</v>
      </c>
      <c r="R645" s="49">
        <f>IFERROR(Table2[[#This Row],[DU sąnaudos]]/Q644-1,0)</f>
        <v>0</v>
      </c>
      <c r="S645" s="20">
        <v>511114</v>
      </c>
      <c r="T645" s="23">
        <v>1.2753088343312484</v>
      </c>
      <c r="U645" s="20">
        <f>IF(Table2[[#This Row],[DU sąnaudos]]=0,0,Table2[[#This Row],[Apyvarta]]-Table2[[#This Row],[DU sąnaudos]]-Table2[[#This Row],[Pelnas]])</f>
        <v>0</v>
      </c>
      <c r="V645" s="49">
        <f>IFERROR(Table2[[#This Row],[Ne-atlyginimų sąnaudos]]/U644-1,0)</f>
        <v>0</v>
      </c>
      <c r="W645" s="22">
        <v>6299</v>
      </c>
      <c r="X645" s="23">
        <v>-0.50522347026942116</v>
      </c>
      <c r="Y645" s="8">
        <f>Table2[[#This Row],[DU sąnaudos]]*0.43</f>
        <v>0</v>
      </c>
      <c r="Z645" s="8">
        <f>Table2[[#This Row],[Apyvarta]]-Table2[[#This Row],[Ne-atlyginimų sąnaudos]]+Table2[[#This Row],[Fiks ir pelno mokestis]]</f>
        <v>511114</v>
      </c>
    </row>
    <row r="646" spans="1:26" hidden="1" x14ac:dyDescent="0.2">
      <c r="A646" s="5" t="s">
        <v>1692</v>
      </c>
      <c r="B646" s="41" t="s">
        <v>1693</v>
      </c>
      <c r="C646">
        <v>2024</v>
      </c>
      <c r="D646" s="5" t="s">
        <v>1721</v>
      </c>
      <c r="E646" s="5" t="s">
        <v>1721</v>
      </c>
      <c r="F646" s="5" t="s">
        <v>1721</v>
      </c>
      <c r="G646" s="5" t="s">
        <v>1721</v>
      </c>
      <c r="H646" s="5" t="s">
        <v>1721</v>
      </c>
      <c r="I646" s="5" t="s">
        <v>280</v>
      </c>
      <c r="J646" s="5" t="s">
        <v>1721</v>
      </c>
      <c r="K646" s="5" t="s">
        <v>1721</v>
      </c>
      <c r="L646" s="5" t="s">
        <v>1721</v>
      </c>
      <c r="M646" s="22">
        <v>0</v>
      </c>
      <c r="N646" s="23">
        <f>IFERROR(Table2[[#This Row],[Darbuotojų skaičius]]/M645-1,0)</f>
        <v>0</v>
      </c>
      <c r="O646" s="22">
        <v>0</v>
      </c>
      <c r="P646" s="21">
        <v>0</v>
      </c>
      <c r="Q646" s="20">
        <f>Table2[[#This Row],[Atlyginimo vidurkis]]*Table2[[#This Row],[Darbuotojų skaičius]]*12</f>
        <v>0</v>
      </c>
      <c r="R646" s="49">
        <f>IFERROR(Table2[[#This Row],[DU sąnaudos]]/Q645-1,0)</f>
        <v>0</v>
      </c>
      <c r="S646" s="20">
        <v>165035</v>
      </c>
      <c r="T646" s="23">
        <v>-0.67710725982853148</v>
      </c>
      <c r="U646" s="20">
        <f>IF(Table2[[#This Row],[DU sąnaudos]]=0,0,Table2[[#This Row],[Apyvarta]]-Table2[[#This Row],[DU sąnaudos]]-Table2[[#This Row],[Pelnas]])</f>
        <v>0</v>
      </c>
      <c r="V646" s="49">
        <f>IFERROR(Table2[[#This Row],[Ne-atlyginimų sąnaudos]]/U645-1,0)</f>
        <v>0</v>
      </c>
      <c r="W646" s="22">
        <v>2248</v>
      </c>
      <c r="X646" s="23">
        <v>-0.64311795523098902</v>
      </c>
      <c r="Y646" s="8">
        <f>Table2[[#This Row],[DU sąnaudos]]*0.43</f>
        <v>0</v>
      </c>
      <c r="Z646" s="8">
        <f>Table2[[#This Row],[Apyvarta]]-Table2[[#This Row],[Ne-atlyginimų sąnaudos]]+Table2[[#This Row],[Fiks ir pelno mokestis]]</f>
        <v>165035</v>
      </c>
    </row>
    <row r="647" spans="1:26" hidden="1" x14ac:dyDescent="0.2">
      <c r="A647" s="5" t="s">
        <v>1694</v>
      </c>
      <c r="B647" s="41" t="s">
        <v>1695</v>
      </c>
      <c r="C647">
        <v>2020</v>
      </c>
      <c r="D647" s="5" t="s">
        <v>1721</v>
      </c>
      <c r="E647" s="5" t="s">
        <v>1721</v>
      </c>
      <c r="F647" s="5" t="s">
        <v>1721</v>
      </c>
      <c r="G647" s="5" t="s">
        <v>1721</v>
      </c>
      <c r="H647" s="5" t="s">
        <v>1721</v>
      </c>
      <c r="I647" s="5" t="s">
        <v>280</v>
      </c>
      <c r="J647" s="5" t="s">
        <v>1721</v>
      </c>
      <c r="K647" s="5" t="s">
        <v>1721</v>
      </c>
      <c r="L647" s="5" t="s">
        <v>1721</v>
      </c>
      <c r="M647" s="22">
        <v>1</v>
      </c>
      <c r="N647" s="23">
        <f>IFERROR(Table2[[#This Row],[Darbuotojų skaičius]]/M646-1,0)</f>
        <v>0</v>
      </c>
      <c r="O647" s="22">
        <v>0</v>
      </c>
      <c r="P647" s="21">
        <v>0</v>
      </c>
      <c r="Q647" s="20">
        <f>Table2[[#This Row],[Atlyginimo vidurkis]]*Table2[[#This Row],[Darbuotojų skaičius]]*12</f>
        <v>0</v>
      </c>
      <c r="R647" s="49">
        <f>IFERROR(Table2[[#This Row],[DU sąnaudos]]/Q646-1,0)</f>
        <v>0</v>
      </c>
      <c r="S647" s="20">
        <v>6163</v>
      </c>
      <c r="T647" s="23">
        <v>0</v>
      </c>
      <c r="U647" s="20">
        <f>IF(Table2[[#This Row],[DU sąnaudos]]=0,0,Table2[[#This Row],[Apyvarta]]-Table2[[#This Row],[DU sąnaudos]]-Table2[[#This Row],[Pelnas]])</f>
        <v>0</v>
      </c>
      <c r="V647" s="49">
        <f>IFERROR(Table2[[#This Row],[Ne-atlyginimų sąnaudos]]/U646-1,0)</f>
        <v>0</v>
      </c>
      <c r="W647" s="22">
        <v>-7439</v>
      </c>
      <c r="X647" s="23">
        <v>0</v>
      </c>
      <c r="Y647" s="8">
        <f>Table2[[#This Row],[DU sąnaudos]]*0.43</f>
        <v>0</v>
      </c>
      <c r="Z647" s="8">
        <f>Table2[[#This Row],[Apyvarta]]-Table2[[#This Row],[Ne-atlyginimų sąnaudos]]+Table2[[#This Row],[Fiks ir pelno mokestis]]</f>
        <v>6163</v>
      </c>
    </row>
    <row r="648" spans="1:26" hidden="1" x14ac:dyDescent="0.2">
      <c r="A648" s="5" t="s">
        <v>1694</v>
      </c>
      <c r="B648" s="41" t="s">
        <v>1695</v>
      </c>
      <c r="C648">
        <v>2021</v>
      </c>
      <c r="D648" s="5" t="s">
        <v>1721</v>
      </c>
      <c r="E648" s="5" t="s">
        <v>1721</v>
      </c>
      <c r="F648" s="5" t="s">
        <v>1721</v>
      </c>
      <c r="G648" s="5" t="s">
        <v>1721</v>
      </c>
      <c r="H648" s="5" t="s">
        <v>1721</v>
      </c>
      <c r="I648" s="5" t="s">
        <v>280</v>
      </c>
      <c r="J648" s="5" t="s">
        <v>1721</v>
      </c>
      <c r="K648" s="5" t="s">
        <v>1721</v>
      </c>
      <c r="L648" s="5" t="s">
        <v>1721</v>
      </c>
      <c r="M648" s="22">
        <v>1</v>
      </c>
      <c r="N648" s="23">
        <f>IFERROR(Table2[[#This Row],[Darbuotojų skaičius]]/M647-1,0)</f>
        <v>0</v>
      </c>
      <c r="O648" s="22">
        <v>0</v>
      </c>
      <c r="P648" s="21">
        <v>0</v>
      </c>
      <c r="Q648" s="20">
        <f>Table2[[#This Row],[Atlyginimo vidurkis]]*Table2[[#This Row],[Darbuotojų skaičius]]*12</f>
        <v>0</v>
      </c>
      <c r="R648" s="49">
        <f>IFERROR(Table2[[#This Row],[DU sąnaudos]]/Q647-1,0)</f>
        <v>0</v>
      </c>
      <c r="S648" s="20">
        <v>0</v>
      </c>
      <c r="T648" s="23">
        <v>0</v>
      </c>
      <c r="U648" s="20">
        <f>IF(Table2[[#This Row],[DU sąnaudos]]=0,0,Table2[[#This Row],[Apyvarta]]-Table2[[#This Row],[DU sąnaudos]]-Table2[[#This Row],[Pelnas]])</f>
        <v>0</v>
      </c>
      <c r="V648" s="49">
        <f>IFERROR(Table2[[#This Row],[Ne-atlyginimų sąnaudos]]/U647-1,0)</f>
        <v>0</v>
      </c>
      <c r="W648" s="22">
        <v>778367</v>
      </c>
      <c r="X648" s="23">
        <v>105.633284043554</v>
      </c>
      <c r="Y648" s="8">
        <f>Table2[[#This Row],[DU sąnaudos]]*0.43</f>
        <v>0</v>
      </c>
      <c r="Z648" s="8">
        <f>Table2[[#This Row],[Apyvarta]]-Table2[[#This Row],[Ne-atlyginimų sąnaudos]]+Table2[[#This Row],[Fiks ir pelno mokestis]]</f>
        <v>0</v>
      </c>
    </row>
    <row r="649" spans="1:26" hidden="1" x14ac:dyDescent="0.2">
      <c r="A649" s="5" t="s">
        <v>1694</v>
      </c>
      <c r="B649" s="41" t="s">
        <v>1695</v>
      </c>
      <c r="C649">
        <v>2022</v>
      </c>
      <c r="D649" s="5" t="s">
        <v>1721</v>
      </c>
      <c r="E649" s="5" t="s">
        <v>1721</v>
      </c>
      <c r="F649" s="5" t="s">
        <v>1721</v>
      </c>
      <c r="G649" s="5" t="s">
        <v>1721</v>
      </c>
      <c r="H649" s="5" t="s">
        <v>1721</v>
      </c>
      <c r="I649" s="5" t="s">
        <v>280</v>
      </c>
      <c r="J649" s="5" t="s">
        <v>1721</v>
      </c>
      <c r="K649" s="5" t="s">
        <v>1721</v>
      </c>
      <c r="L649" s="5" t="s">
        <v>1721</v>
      </c>
      <c r="M649" s="22">
        <v>1</v>
      </c>
      <c r="N649" s="23">
        <f>IFERROR(Table2[[#This Row],[Darbuotojų skaičius]]/M648-1,0)</f>
        <v>0</v>
      </c>
      <c r="O649" s="22">
        <v>0</v>
      </c>
      <c r="P649" s="21">
        <v>0</v>
      </c>
      <c r="Q649" s="20">
        <f>Table2[[#This Row],[Atlyginimo vidurkis]]*Table2[[#This Row],[Darbuotojų skaičius]]*12</f>
        <v>0</v>
      </c>
      <c r="R649" s="49">
        <f>IFERROR(Table2[[#This Row],[DU sąnaudos]]/Q648-1,0)</f>
        <v>0</v>
      </c>
      <c r="S649" s="20">
        <v>0</v>
      </c>
      <c r="T649" s="23">
        <v>0</v>
      </c>
      <c r="U649" s="20">
        <f>IF(Table2[[#This Row],[DU sąnaudos]]=0,0,Table2[[#This Row],[Apyvarta]]-Table2[[#This Row],[DU sąnaudos]]-Table2[[#This Row],[Pelnas]])</f>
        <v>0</v>
      </c>
      <c r="V649" s="49">
        <f>IFERROR(Table2[[#This Row],[Ne-atlyginimų sąnaudos]]/U648-1,0)</f>
        <v>0</v>
      </c>
      <c r="W649" s="22">
        <v>970</v>
      </c>
      <c r="X649" s="23">
        <v>-0.99875380122744151</v>
      </c>
      <c r="Y649" s="8">
        <f>Table2[[#This Row],[DU sąnaudos]]*0.43</f>
        <v>0</v>
      </c>
      <c r="Z649" s="8">
        <f>Table2[[#This Row],[Apyvarta]]-Table2[[#This Row],[Ne-atlyginimų sąnaudos]]+Table2[[#This Row],[Fiks ir pelno mokestis]]</f>
        <v>0</v>
      </c>
    </row>
    <row r="650" spans="1:26" hidden="1" x14ac:dyDescent="0.2">
      <c r="A650" s="5" t="s">
        <v>1694</v>
      </c>
      <c r="B650" s="41" t="s">
        <v>1695</v>
      </c>
      <c r="C650">
        <v>2023</v>
      </c>
      <c r="D650" s="5" t="s">
        <v>1721</v>
      </c>
      <c r="E650" s="5" t="s">
        <v>1721</v>
      </c>
      <c r="F650" s="5" t="s">
        <v>1721</v>
      </c>
      <c r="G650" s="5" t="s">
        <v>1721</v>
      </c>
      <c r="H650" s="5" t="s">
        <v>1721</v>
      </c>
      <c r="I650" s="5" t="s">
        <v>280</v>
      </c>
      <c r="J650" s="5" t="s">
        <v>1721</v>
      </c>
      <c r="K650" s="5" t="s">
        <v>1721</v>
      </c>
      <c r="L650" s="5" t="s">
        <v>1721</v>
      </c>
      <c r="M650" s="22">
        <v>1</v>
      </c>
      <c r="N650" s="23">
        <f>IFERROR(Table2[[#This Row],[Darbuotojų skaičius]]/M649-1,0)</f>
        <v>0</v>
      </c>
      <c r="O650" s="22">
        <v>0</v>
      </c>
      <c r="P650" s="21">
        <v>0</v>
      </c>
      <c r="Q650" s="20">
        <f>Table2[[#This Row],[Atlyginimo vidurkis]]*Table2[[#This Row],[Darbuotojų skaičius]]*12</f>
        <v>0</v>
      </c>
      <c r="R650" s="49">
        <f>IFERROR(Table2[[#This Row],[DU sąnaudos]]/Q649-1,0)</f>
        <v>0</v>
      </c>
      <c r="S650" s="20">
        <v>0</v>
      </c>
      <c r="T650" s="23">
        <v>0</v>
      </c>
      <c r="U650" s="20">
        <f>IF(Table2[[#This Row],[DU sąnaudos]]=0,0,Table2[[#This Row],[Apyvarta]]-Table2[[#This Row],[DU sąnaudos]]-Table2[[#This Row],[Pelnas]])</f>
        <v>0</v>
      </c>
      <c r="V650" s="49">
        <f>IFERROR(Table2[[#This Row],[Ne-atlyginimų sąnaudos]]/U649-1,0)</f>
        <v>0</v>
      </c>
      <c r="W650" s="22">
        <v>8291</v>
      </c>
      <c r="X650" s="23">
        <v>7.547422680412371</v>
      </c>
      <c r="Y650" s="8">
        <f>Table2[[#This Row],[DU sąnaudos]]*0.43</f>
        <v>0</v>
      </c>
      <c r="Z650" s="8">
        <f>Table2[[#This Row],[Apyvarta]]-Table2[[#This Row],[Ne-atlyginimų sąnaudos]]+Table2[[#This Row],[Fiks ir pelno mokestis]]</f>
        <v>0</v>
      </c>
    </row>
    <row r="651" spans="1:26" hidden="1" x14ac:dyDescent="0.2">
      <c r="A651" s="5" t="s">
        <v>1694</v>
      </c>
      <c r="B651" s="41" t="s">
        <v>1695</v>
      </c>
      <c r="C651">
        <v>2024</v>
      </c>
      <c r="D651" s="5" t="s">
        <v>1721</v>
      </c>
      <c r="E651" s="5" t="s">
        <v>1721</v>
      </c>
      <c r="F651" s="5" t="s">
        <v>1721</v>
      </c>
      <c r="G651" s="5" t="s">
        <v>1721</v>
      </c>
      <c r="H651" s="5" t="s">
        <v>1721</v>
      </c>
      <c r="I651" s="5" t="s">
        <v>280</v>
      </c>
      <c r="J651" s="5" t="s">
        <v>1721</v>
      </c>
      <c r="K651" s="5" t="s">
        <v>1721</v>
      </c>
      <c r="L651" s="5" t="s">
        <v>1721</v>
      </c>
      <c r="M651" s="22">
        <v>1</v>
      </c>
      <c r="N651" s="23">
        <f>IFERROR(Table2[[#This Row],[Darbuotojų skaičius]]/M650-1,0)</f>
        <v>0</v>
      </c>
      <c r="O651" s="22">
        <v>0</v>
      </c>
      <c r="P651" s="21">
        <v>0</v>
      </c>
      <c r="Q651" s="20">
        <f>Table2[[#This Row],[Atlyginimo vidurkis]]*Table2[[#This Row],[Darbuotojų skaičius]]*12</f>
        <v>0</v>
      </c>
      <c r="R651" s="49">
        <f>IFERROR(Table2[[#This Row],[DU sąnaudos]]/Q650-1,0)</f>
        <v>0</v>
      </c>
      <c r="S651" s="20">
        <v>0</v>
      </c>
      <c r="T651" s="23">
        <v>0</v>
      </c>
      <c r="U651" s="20">
        <f>IF(Table2[[#This Row],[DU sąnaudos]]=0,0,Table2[[#This Row],[Apyvarta]]-Table2[[#This Row],[DU sąnaudos]]-Table2[[#This Row],[Pelnas]])</f>
        <v>0</v>
      </c>
      <c r="V651" s="49">
        <f>IFERROR(Table2[[#This Row],[Ne-atlyginimų sąnaudos]]/U650-1,0)</f>
        <v>0</v>
      </c>
      <c r="W651" s="22">
        <v>-1940</v>
      </c>
      <c r="X651" s="23">
        <v>-1.2339886624050176</v>
      </c>
      <c r="Y651" s="8">
        <f>Table2[[#This Row],[DU sąnaudos]]*0.43</f>
        <v>0</v>
      </c>
      <c r="Z651" s="8">
        <f>Table2[[#This Row],[Apyvarta]]-Table2[[#This Row],[Ne-atlyginimų sąnaudos]]+Table2[[#This Row],[Fiks ir pelno mokestis]]</f>
        <v>0</v>
      </c>
    </row>
    <row r="652" spans="1:26" hidden="1" x14ac:dyDescent="0.2">
      <c r="A652" s="42" t="s">
        <v>1696</v>
      </c>
      <c r="B652" s="41" t="s">
        <v>1697</v>
      </c>
      <c r="C652">
        <v>2020</v>
      </c>
      <c r="D652" s="5" t="s">
        <v>1721</v>
      </c>
      <c r="E652" s="5" t="s">
        <v>1721</v>
      </c>
      <c r="F652" s="5" t="s">
        <v>1721</v>
      </c>
      <c r="G652" s="5" t="s">
        <v>1721</v>
      </c>
      <c r="H652" s="5" t="s">
        <v>1721</v>
      </c>
      <c r="I652" s="5" t="s">
        <v>280</v>
      </c>
      <c r="J652" s="5" t="s">
        <v>1721</v>
      </c>
      <c r="K652" s="5" t="s">
        <v>1721</v>
      </c>
      <c r="L652" s="5" t="s">
        <v>1721</v>
      </c>
      <c r="M652" s="22">
        <v>12</v>
      </c>
      <c r="N652" s="23">
        <f>IFERROR(Table2[[#This Row],[Darbuotojų skaičius]]/M651-1,0)</f>
        <v>11</v>
      </c>
      <c r="O652" s="22">
        <v>0</v>
      </c>
      <c r="P652" s="21">
        <v>0</v>
      </c>
      <c r="Q652" s="20">
        <f>Table2[[#This Row],[Atlyginimo vidurkis]]*Table2[[#This Row],[Darbuotojų skaičius]]*12</f>
        <v>0</v>
      </c>
      <c r="R652" s="49">
        <v>0</v>
      </c>
      <c r="S652" s="20">
        <v>1101114</v>
      </c>
      <c r="T652" s="23">
        <v>0</v>
      </c>
      <c r="U652" s="20">
        <f>IF(Table2[[#This Row],[DU sąnaudos]]=0,0,Table2[[#This Row],[Apyvarta]]-Table2[[#This Row],[DU sąnaudos]]-Table2[[#This Row],[Pelnas]])</f>
        <v>0</v>
      </c>
      <c r="V652" s="49">
        <f>IFERROR(Table2[[#This Row],[Ne-atlyginimų sąnaudos]]/U651-1,0)</f>
        <v>0</v>
      </c>
      <c r="W652" s="22">
        <v>147777</v>
      </c>
      <c r="X652" s="23">
        <v>0</v>
      </c>
      <c r="Y652" s="8">
        <f>Table2[[#This Row],[DU sąnaudos]]*0.43</f>
        <v>0</v>
      </c>
      <c r="Z652" s="8">
        <f>Table2[[#This Row],[Apyvarta]]-Table2[[#This Row],[Ne-atlyginimų sąnaudos]]+Table2[[#This Row],[Fiks ir pelno mokestis]]</f>
        <v>1101114</v>
      </c>
    </row>
    <row r="653" spans="1:26" hidden="1" x14ac:dyDescent="0.2">
      <c r="A653" s="5" t="s">
        <v>1696</v>
      </c>
      <c r="B653" s="41" t="s">
        <v>1697</v>
      </c>
      <c r="C653">
        <v>2021</v>
      </c>
      <c r="D653" s="5" t="s">
        <v>1721</v>
      </c>
      <c r="E653" s="5" t="s">
        <v>1721</v>
      </c>
      <c r="F653" s="5" t="s">
        <v>1721</v>
      </c>
      <c r="G653" s="5" t="s">
        <v>1721</v>
      </c>
      <c r="H653" s="5" t="s">
        <v>1721</v>
      </c>
      <c r="I653" s="5" t="s">
        <v>280</v>
      </c>
      <c r="J653" s="5" t="s">
        <v>1721</v>
      </c>
      <c r="K653" s="5" t="s">
        <v>1721</v>
      </c>
      <c r="L653" s="5" t="s">
        <v>1721</v>
      </c>
      <c r="M653" s="22">
        <v>13</v>
      </c>
      <c r="N653" s="23">
        <f>IFERROR(Table2[[#This Row],[Darbuotojų skaičius]]/M652-1,0)</f>
        <v>8.3333333333333259E-2</v>
      </c>
      <c r="O653" s="22">
        <v>0</v>
      </c>
      <c r="P653" s="21">
        <v>0</v>
      </c>
      <c r="Q653" s="20">
        <f>Table2[[#This Row],[Atlyginimo vidurkis]]*Table2[[#This Row],[Darbuotojų skaičius]]*12</f>
        <v>0</v>
      </c>
      <c r="R653" s="49">
        <f>IFERROR(Table2[[#This Row],[DU sąnaudos]]/Q652-1,0)</f>
        <v>0</v>
      </c>
      <c r="S653" s="20">
        <v>1676343</v>
      </c>
      <c r="T653" s="23">
        <v>0.52240639933739841</v>
      </c>
      <c r="U653" s="20">
        <f>IF(Table2[[#This Row],[DU sąnaudos]]=0,0,Table2[[#This Row],[Apyvarta]]-Table2[[#This Row],[DU sąnaudos]]-Table2[[#This Row],[Pelnas]])</f>
        <v>0</v>
      </c>
      <c r="V653" s="49">
        <f>IFERROR(Table2[[#This Row],[Ne-atlyginimų sąnaudos]]/U652-1,0)</f>
        <v>0</v>
      </c>
      <c r="W653" s="22">
        <v>112474</v>
      </c>
      <c r="X653" s="23">
        <v>-0.23889373853847351</v>
      </c>
      <c r="Y653" s="8">
        <f>Table2[[#This Row],[DU sąnaudos]]*0.43</f>
        <v>0</v>
      </c>
      <c r="Z653" s="8">
        <f>Table2[[#This Row],[Apyvarta]]-Table2[[#This Row],[Ne-atlyginimų sąnaudos]]+Table2[[#This Row],[Fiks ir pelno mokestis]]</f>
        <v>1676343</v>
      </c>
    </row>
    <row r="654" spans="1:26" hidden="1" x14ac:dyDescent="0.2">
      <c r="A654" s="5" t="s">
        <v>1696</v>
      </c>
      <c r="B654" s="41" t="s">
        <v>1697</v>
      </c>
      <c r="C654">
        <v>2022</v>
      </c>
      <c r="D654" s="5" t="s">
        <v>1721</v>
      </c>
      <c r="E654" s="5" t="s">
        <v>1721</v>
      </c>
      <c r="F654" s="5" t="s">
        <v>1721</v>
      </c>
      <c r="G654" s="5" t="s">
        <v>1721</v>
      </c>
      <c r="H654" s="5" t="s">
        <v>1721</v>
      </c>
      <c r="I654" s="5" t="s">
        <v>280</v>
      </c>
      <c r="J654" s="5" t="s">
        <v>1721</v>
      </c>
      <c r="K654" s="5" t="s">
        <v>1721</v>
      </c>
      <c r="L654" s="5" t="s">
        <v>1721</v>
      </c>
      <c r="M654" s="22">
        <v>11</v>
      </c>
      <c r="N654" s="23">
        <f>IFERROR(Table2[[#This Row],[Darbuotojų skaičius]]/M653-1,0)</f>
        <v>-0.15384615384615385</v>
      </c>
      <c r="O654" s="22">
        <v>0</v>
      </c>
      <c r="P654" s="21">
        <v>0</v>
      </c>
      <c r="Q654" s="20">
        <f>Table2[[#This Row],[Atlyginimo vidurkis]]*Table2[[#This Row],[Darbuotojų skaičius]]*12</f>
        <v>0</v>
      </c>
      <c r="R654" s="49">
        <f>IFERROR(Table2[[#This Row],[DU sąnaudos]]/Q653-1,0)</f>
        <v>0</v>
      </c>
      <c r="S654" s="20">
        <v>2096869</v>
      </c>
      <c r="T654" s="23">
        <v>0.25085916187796897</v>
      </c>
      <c r="U654" s="20">
        <f>IF(Table2[[#This Row],[DU sąnaudos]]=0,0,Table2[[#This Row],[Apyvarta]]-Table2[[#This Row],[DU sąnaudos]]-Table2[[#This Row],[Pelnas]])</f>
        <v>0</v>
      </c>
      <c r="V654" s="49">
        <f>IFERROR(Table2[[#This Row],[Ne-atlyginimų sąnaudos]]/U653-1,0)</f>
        <v>0</v>
      </c>
      <c r="W654" s="22">
        <v>142133</v>
      </c>
      <c r="X654" s="23">
        <v>0.26369649874637702</v>
      </c>
      <c r="Y654" s="8">
        <f>Table2[[#This Row],[DU sąnaudos]]*0.43</f>
        <v>0</v>
      </c>
      <c r="Z654" s="8">
        <f>Table2[[#This Row],[Apyvarta]]-Table2[[#This Row],[Ne-atlyginimų sąnaudos]]+Table2[[#This Row],[Fiks ir pelno mokestis]]</f>
        <v>2096869</v>
      </c>
    </row>
    <row r="655" spans="1:26" hidden="1" x14ac:dyDescent="0.2">
      <c r="A655" s="5" t="s">
        <v>1696</v>
      </c>
      <c r="B655" s="41" t="s">
        <v>1697</v>
      </c>
      <c r="C655">
        <v>2023</v>
      </c>
      <c r="D655" s="5" t="s">
        <v>1721</v>
      </c>
      <c r="E655" s="5" t="s">
        <v>1721</v>
      </c>
      <c r="F655" s="5" t="s">
        <v>1721</v>
      </c>
      <c r="G655" s="5" t="s">
        <v>1721</v>
      </c>
      <c r="H655" s="5" t="s">
        <v>1721</v>
      </c>
      <c r="I655" s="5" t="s">
        <v>280</v>
      </c>
      <c r="J655" s="5" t="s">
        <v>1721</v>
      </c>
      <c r="K655" s="5" t="s">
        <v>1721</v>
      </c>
      <c r="L655" s="5" t="s">
        <v>1721</v>
      </c>
      <c r="M655" s="22">
        <v>9</v>
      </c>
      <c r="N655" s="23">
        <f>IFERROR(Table2[[#This Row],[Darbuotojų skaičius]]/M654-1,0)</f>
        <v>-0.18181818181818177</v>
      </c>
      <c r="O655" s="22">
        <v>3450</v>
      </c>
      <c r="P655" s="21">
        <v>0</v>
      </c>
      <c r="Q655" s="20">
        <f>Table2[[#This Row],[Atlyginimo vidurkis]]*Table2[[#This Row],[Darbuotojų skaičius]]*12</f>
        <v>372600</v>
      </c>
      <c r="R655" s="49">
        <f>IFERROR(Table2[[#This Row],[DU sąnaudos]]/Q654-1,0)</f>
        <v>0</v>
      </c>
      <c r="S655" s="20">
        <v>2316830</v>
      </c>
      <c r="T655" s="23">
        <v>0.10489973384126516</v>
      </c>
      <c r="U655" s="20">
        <f>IF(Table2[[#This Row],[DU sąnaudos]]=0,0,Table2[[#This Row],[Apyvarta]]-Table2[[#This Row],[DU sąnaudos]]-Table2[[#This Row],[Pelnas]])</f>
        <v>1824343</v>
      </c>
      <c r="V655" s="49">
        <f>IFERROR(Table2[[#This Row],[Ne-atlyginimų sąnaudos]]/U654-1,0)</f>
        <v>0</v>
      </c>
      <c r="W655" s="22">
        <v>119887</v>
      </c>
      <c r="X655" s="23">
        <v>-0.15651537644319058</v>
      </c>
      <c r="Y655" s="8">
        <f>Table2[[#This Row],[DU sąnaudos]]*0.43</f>
        <v>160218</v>
      </c>
      <c r="Z655" s="8">
        <f>Table2[[#This Row],[Apyvarta]]-Table2[[#This Row],[Ne-atlyginimų sąnaudos]]+Table2[[#This Row],[Fiks ir pelno mokestis]]</f>
        <v>652705</v>
      </c>
    </row>
    <row r="656" spans="1:26" hidden="1" x14ac:dyDescent="0.2">
      <c r="A656" s="5" t="s">
        <v>1696</v>
      </c>
      <c r="B656" s="41" t="s">
        <v>1697</v>
      </c>
      <c r="C656">
        <v>2024</v>
      </c>
      <c r="D656" s="5" t="s">
        <v>1721</v>
      </c>
      <c r="E656" s="5" t="s">
        <v>1721</v>
      </c>
      <c r="F656" s="5" t="s">
        <v>1721</v>
      </c>
      <c r="G656" s="5" t="s">
        <v>1721</v>
      </c>
      <c r="H656" s="5" t="s">
        <v>1721</v>
      </c>
      <c r="I656" s="5" t="s">
        <v>280</v>
      </c>
      <c r="J656" s="5" t="s">
        <v>1721</v>
      </c>
      <c r="K656" s="5" t="s">
        <v>1721</v>
      </c>
      <c r="L656" s="5" t="s">
        <v>1721</v>
      </c>
      <c r="M656" s="22">
        <v>7</v>
      </c>
      <c r="N656" s="23">
        <f>IFERROR(Table2[[#This Row],[Darbuotojų skaičius]]/M655-1,0)</f>
        <v>-0.22222222222222221</v>
      </c>
      <c r="O656" s="22">
        <v>3000</v>
      </c>
      <c r="P656" s="21">
        <v>-0.13043478260869568</v>
      </c>
      <c r="Q656" s="20">
        <f>Table2[[#This Row],[Atlyginimo vidurkis]]*Table2[[#This Row],[Darbuotojų skaičius]]*12</f>
        <v>252000</v>
      </c>
      <c r="R656" s="49">
        <f>IFERROR(Table2[[#This Row],[DU sąnaudos]]/Q655-1,0)</f>
        <v>-0.32367149758454106</v>
      </c>
      <c r="S656" s="20">
        <v>1247369</v>
      </c>
      <c r="T656" s="23">
        <v>-0.4616052968927371</v>
      </c>
      <c r="U656" s="20">
        <f>IF(Table2[[#This Row],[DU sąnaudos]]=0,0,Table2[[#This Row],[Apyvarta]]-Table2[[#This Row],[DU sąnaudos]]-Table2[[#This Row],[Pelnas]])</f>
        <v>982845</v>
      </c>
      <c r="V656" s="49">
        <f>IFERROR(Table2[[#This Row],[Ne-atlyginimų sąnaudos]]/U655-1,0)</f>
        <v>-0.46126084842598125</v>
      </c>
      <c r="W656" s="22">
        <v>12524</v>
      </c>
      <c r="X656" s="23">
        <v>-0.89553496208930072</v>
      </c>
      <c r="Y656" s="8">
        <f>Table2[[#This Row],[DU sąnaudos]]*0.43</f>
        <v>108360</v>
      </c>
      <c r="Z656" s="8">
        <f>Table2[[#This Row],[Apyvarta]]-Table2[[#This Row],[Ne-atlyginimų sąnaudos]]+Table2[[#This Row],[Fiks ir pelno mokestis]]</f>
        <v>372884</v>
      </c>
    </row>
    <row r="657" spans="1:26" hidden="1" x14ac:dyDescent="0.2">
      <c r="A657" s="5" t="s">
        <v>1698</v>
      </c>
      <c r="B657" s="41" t="s">
        <v>1699</v>
      </c>
      <c r="C657">
        <v>2020</v>
      </c>
      <c r="D657" s="5" t="s">
        <v>1721</v>
      </c>
      <c r="E657" s="5" t="s">
        <v>1721</v>
      </c>
      <c r="F657" s="5" t="s">
        <v>1721</v>
      </c>
      <c r="G657" s="5" t="s">
        <v>1721</v>
      </c>
      <c r="H657" s="5" t="s">
        <v>1721</v>
      </c>
      <c r="I657" s="5" t="s">
        <v>280</v>
      </c>
      <c r="J657" s="5" t="s">
        <v>1721</v>
      </c>
      <c r="K657" s="5" t="s">
        <v>1721</v>
      </c>
      <c r="L657" s="5" t="s">
        <v>1721</v>
      </c>
      <c r="M657" s="22">
        <v>10</v>
      </c>
      <c r="N657" s="23">
        <v>0</v>
      </c>
      <c r="O657" s="22">
        <v>0</v>
      </c>
      <c r="P657" s="21">
        <v>0</v>
      </c>
      <c r="Q657" s="20">
        <f>Table2[[#This Row],[Atlyginimo vidurkis]]*Table2[[#This Row],[Darbuotojų skaičius]]*12</f>
        <v>0</v>
      </c>
      <c r="R657" s="49">
        <f>IFERROR(Table2[[#This Row],[DU sąnaudos]]/Q656-1,0)</f>
        <v>-1</v>
      </c>
      <c r="S657" s="20">
        <v>440087</v>
      </c>
      <c r="T657" s="23">
        <v>0</v>
      </c>
      <c r="U657" s="20">
        <f>IF(Table2[[#This Row],[DU sąnaudos]]=0,0,Table2[[#This Row],[Apyvarta]]-Table2[[#This Row],[DU sąnaudos]]-Table2[[#This Row],[Pelnas]])</f>
        <v>0</v>
      </c>
      <c r="V657" s="49">
        <f>IFERROR(Table2[[#This Row],[Ne-atlyginimų sąnaudos]]/U656-1,0)</f>
        <v>-1</v>
      </c>
      <c r="W657" s="22">
        <v>24362</v>
      </c>
      <c r="X657" s="23">
        <v>0</v>
      </c>
      <c r="Y657" s="8">
        <f>Table2[[#This Row],[DU sąnaudos]]*0.43</f>
        <v>0</v>
      </c>
      <c r="Z657" s="8">
        <f>Table2[[#This Row],[Apyvarta]]-Table2[[#This Row],[Ne-atlyginimų sąnaudos]]+Table2[[#This Row],[Fiks ir pelno mokestis]]</f>
        <v>440087</v>
      </c>
    </row>
    <row r="658" spans="1:26" hidden="1" x14ac:dyDescent="0.2">
      <c r="A658" s="5" t="s">
        <v>1698</v>
      </c>
      <c r="B658" s="41" t="s">
        <v>1699</v>
      </c>
      <c r="C658">
        <v>2021</v>
      </c>
      <c r="D658" s="5" t="s">
        <v>1721</v>
      </c>
      <c r="E658" s="5" t="s">
        <v>1721</v>
      </c>
      <c r="F658" s="5" t="s">
        <v>1721</v>
      </c>
      <c r="G658" s="5" t="s">
        <v>1721</v>
      </c>
      <c r="H658" s="5" t="s">
        <v>1721</v>
      </c>
      <c r="I658" s="5" t="s">
        <v>280</v>
      </c>
      <c r="J658" s="5" t="s">
        <v>1721</v>
      </c>
      <c r="K658" s="5" t="s">
        <v>1721</v>
      </c>
      <c r="L658" s="5" t="s">
        <v>1721</v>
      </c>
      <c r="M658" s="22">
        <v>10</v>
      </c>
      <c r="N658" s="23">
        <f>IFERROR(Table2[[#This Row],[Darbuotojų skaičius]]/M657-1,0)</f>
        <v>0</v>
      </c>
      <c r="O658" s="22">
        <v>0</v>
      </c>
      <c r="P658" s="21">
        <v>0</v>
      </c>
      <c r="Q658" s="20">
        <f>Table2[[#This Row],[Atlyginimo vidurkis]]*Table2[[#This Row],[Darbuotojų skaičius]]*12</f>
        <v>0</v>
      </c>
      <c r="R658" s="49">
        <f>IFERROR(Table2[[#This Row],[DU sąnaudos]]/Q657-1,0)</f>
        <v>0</v>
      </c>
      <c r="S658" s="20">
        <v>434920</v>
      </c>
      <c r="T658" s="23">
        <v>-1.1740860329889302E-2</v>
      </c>
      <c r="U658" s="20">
        <f>IF(Table2[[#This Row],[DU sąnaudos]]=0,0,Table2[[#This Row],[Apyvarta]]-Table2[[#This Row],[DU sąnaudos]]-Table2[[#This Row],[Pelnas]])</f>
        <v>0</v>
      </c>
      <c r="V658" s="49">
        <f>IFERROR(Table2[[#This Row],[Ne-atlyginimų sąnaudos]]/U657-1,0)</f>
        <v>0</v>
      </c>
      <c r="W658" s="22">
        <v>73525</v>
      </c>
      <c r="X658" s="23">
        <v>2.018019867005993</v>
      </c>
      <c r="Y658" s="8">
        <f>Table2[[#This Row],[DU sąnaudos]]*0.43</f>
        <v>0</v>
      </c>
      <c r="Z658" s="8">
        <f>Table2[[#This Row],[Apyvarta]]-Table2[[#This Row],[Ne-atlyginimų sąnaudos]]+Table2[[#This Row],[Fiks ir pelno mokestis]]</f>
        <v>434920</v>
      </c>
    </row>
    <row r="659" spans="1:26" hidden="1" x14ac:dyDescent="0.2">
      <c r="A659" s="5" t="s">
        <v>1698</v>
      </c>
      <c r="B659" s="41" t="s">
        <v>1699</v>
      </c>
      <c r="C659">
        <v>2022</v>
      </c>
      <c r="D659" s="5" t="s">
        <v>1721</v>
      </c>
      <c r="E659" s="5" t="s">
        <v>1721</v>
      </c>
      <c r="F659" s="5" t="s">
        <v>1721</v>
      </c>
      <c r="G659" s="5" t="s">
        <v>1721</v>
      </c>
      <c r="H659" s="5" t="s">
        <v>1721</v>
      </c>
      <c r="I659" s="5" t="s">
        <v>280</v>
      </c>
      <c r="J659" s="5" t="s">
        <v>1721</v>
      </c>
      <c r="K659" s="5" t="s">
        <v>1721</v>
      </c>
      <c r="L659" s="5" t="s">
        <v>1721</v>
      </c>
      <c r="M659" s="22">
        <v>9</v>
      </c>
      <c r="N659" s="23">
        <f>IFERROR(Table2[[#This Row],[Darbuotojų skaičius]]/M658-1,0)</f>
        <v>-9.9999999999999978E-2</v>
      </c>
      <c r="O659" s="22">
        <v>0</v>
      </c>
      <c r="P659" s="21">
        <v>0</v>
      </c>
      <c r="Q659" s="20">
        <f>Table2[[#This Row],[Atlyginimo vidurkis]]*Table2[[#This Row],[Darbuotojų skaičius]]*12</f>
        <v>0</v>
      </c>
      <c r="R659" s="49">
        <f>IFERROR(Table2[[#This Row],[DU sąnaudos]]/Q658-1,0)</f>
        <v>0</v>
      </c>
      <c r="S659" s="20">
        <v>680849</v>
      </c>
      <c r="T659" s="23">
        <v>0.56545801526717554</v>
      </c>
      <c r="U659" s="20">
        <f>IF(Table2[[#This Row],[DU sąnaudos]]=0,0,Table2[[#This Row],[Apyvarta]]-Table2[[#This Row],[DU sąnaudos]]-Table2[[#This Row],[Pelnas]])</f>
        <v>0</v>
      </c>
      <c r="V659" s="49">
        <f>IFERROR(Table2[[#This Row],[Ne-atlyginimų sąnaudos]]/U658-1,0)</f>
        <v>0</v>
      </c>
      <c r="W659" s="22">
        <v>59054</v>
      </c>
      <c r="X659" s="23">
        <v>-0.1968174090445427</v>
      </c>
      <c r="Y659" s="8">
        <f>Table2[[#This Row],[DU sąnaudos]]*0.43</f>
        <v>0</v>
      </c>
      <c r="Z659" s="8">
        <f>Table2[[#This Row],[Apyvarta]]-Table2[[#This Row],[Ne-atlyginimų sąnaudos]]+Table2[[#This Row],[Fiks ir pelno mokestis]]</f>
        <v>680849</v>
      </c>
    </row>
    <row r="660" spans="1:26" hidden="1" x14ac:dyDescent="0.2">
      <c r="A660" s="5" t="s">
        <v>1698</v>
      </c>
      <c r="B660" s="41" t="s">
        <v>1699</v>
      </c>
      <c r="C660">
        <v>2023</v>
      </c>
      <c r="D660" s="5" t="s">
        <v>1721</v>
      </c>
      <c r="E660" s="5" t="s">
        <v>1721</v>
      </c>
      <c r="F660" s="5" t="s">
        <v>1721</v>
      </c>
      <c r="G660" s="5" t="s">
        <v>1721</v>
      </c>
      <c r="H660" s="5" t="s">
        <v>1721</v>
      </c>
      <c r="I660" s="5" t="s">
        <v>280</v>
      </c>
      <c r="J660" s="5" t="s">
        <v>1721</v>
      </c>
      <c r="K660" s="5" t="s">
        <v>1721</v>
      </c>
      <c r="L660" s="5" t="s">
        <v>1721</v>
      </c>
      <c r="M660" s="22">
        <v>8</v>
      </c>
      <c r="N660" s="23">
        <f>IFERROR(Table2[[#This Row],[Darbuotojų skaičius]]/M659-1,0)</f>
        <v>-0.11111111111111116</v>
      </c>
      <c r="O660" s="22">
        <v>2100</v>
      </c>
      <c r="P660" s="21">
        <v>0</v>
      </c>
      <c r="Q660" s="20">
        <f>Table2[[#This Row],[Atlyginimo vidurkis]]*Table2[[#This Row],[Darbuotojų skaičius]]*12</f>
        <v>201600</v>
      </c>
      <c r="R660" s="49">
        <f>IFERROR(Table2[[#This Row],[DU sąnaudos]]/Q659-1,0)</f>
        <v>0</v>
      </c>
      <c r="S660" s="20">
        <v>596611</v>
      </c>
      <c r="T660" s="23">
        <v>-0.12372493754121694</v>
      </c>
      <c r="U660" s="20">
        <f>IF(Table2[[#This Row],[DU sąnaudos]]=0,0,Table2[[#This Row],[Apyvarta]]-Table2[[#This Row],[DU sąnaudos]]-Table2[[#This Row],[Pelnas]])</f>
        <v>388658</v>
      </c>
      <c r="V660" s="49">
        <f>IFERROR(Table2[[#This Row],[Ne-atlyginimų sąnaudos]]/U659-1,0)</f>
        <v>0</v>
      </c>
      <c r="W660" s="22">
        <v>6353</v>
      </c>
      <c r="X660" s="23">
        <v>-0.89242049649473365</v>
      </c>
      <c r="Y660" s="8">
        <f>Table2[[#This Row],[DU sąnaudos]]*0.43</f>
        <v>86688</v>
      </c>
      <c r="Z660" s="8">
        <f>Table2[[#This Row],[Apyvarta]]-Table2[[#This Row],[Ne-atlyginimų sąnaudos]]+Table2[[#This Row],[Fiks ir pelno mokestis]]</f>
        <v>294641</v>
      </c>
    </row>
    <row r="661" spans="1:26" hidden="1" x14ac:dyDescent="0.2">
      <c r="A661" s="5" t="s">
        <v>1698</v>
      </c>
      <c r="B661" s="41" t="s">
        <v>1699</v>
      </c>
      <c r="C661">
        <v>2024</v>
      </c>
      <c r="D661" s="5" t="s">
        <v>1721</v>
      </c>
      <c r="E661" s="5" t="s">
        <v>1721</v>
      </c>
      <c r="F661" s="5" t="s">
        <v>1721</v>
      </c>
      <c r="G661" s="5" t="s">
        <v>1721</v>
      </c>
      <c r="H661" s="5" t="s">
        <v>1721</v>
      </c>
      <c r="I661" s="5" t="s">
        <v>280</v>
      </c>
      <c r="J661" s="5" t="s">
        <v>1721</v>
      </c>
      <c r="K661" s="5" t="s">
        <v>1721</v>
      </c>
      <c r="L661" s="5" t="s">
        <v>1721</v>
      </c>
      <c r="M661" s="22">
        <v>8</v>
      </c>
      <c r="N661" s="23">
        <f>IFERROR(Table2[[#This Row],[Darbuotojų skaičius]]/M660-1,0)</f>
        <v>0</v>
      </c>
      <c r="O661" s="22">
        <v>2900</v>
      </c>
      <c r="P661" s="21">
        <v>0.38095238095238093</v>
      </c>
      <c r="Q661" s="20">
        <f>Table2[[#This Row],[Atlyginimo vidurkis]]*Table2[[#This Row],[Darbuotojų skaičius]]*12</f>
        <v>278400</v>
      </c>
      <c r="R661" s="49">
        <f>IFERROR(Table2[[#This Row],[DU sąnaudos]]/Q660-1,0)</f>
        <v>0.38095238095238093</v>
      </c>
      <c r="S661" s="20">
        <v>645958</v>
      </c>
      <c r="T661" s="23">
        <v>8.2712185997241061E-2</v>
      </c>
      <c r="U661" s="20">
        <f>IF(Table2[[#This Row],[DU sąnaudos]]=0,0,Table2[[#This Row],[Apyvarta]]-Table2[[#This Row],[DU sąnaudos]]-Table2[[#This Row],[Pelnas]])</f>
        <v>365564</v>
      </c>
      <c r="V661" s="49">
        <f>IFERROR(Table2[[#This Row],[Ne-atlyginimų sąnaudos]]/U660-1,0)</f>
        <v>-5.9419849842277772E-2</v>
      </c>
      <c r="W661" s="22">
        <v>1994</v>
      </c>
      <c r="X661" s="23">
        <v>-0.68613253580985356</v>
      </c>
      <c r="Y661" s="8">
        <f>Table2[[#This Row],[DU sąnaudos]]*0.43</f>
        <v>119712</v>
      </c>
      <c r="Z661" s="8">
        <f>Table2[[#This Row],[Apyvarta]]-Table2[[#This Row],[Ne-atlyginimų sąnaudos]]+Table2[[#This Row],[Fiks ir pelno mokestis]]</f>
        <v>400106</v>
      </c>
    </row>
    <row r="662" spans="1:26" x14ac:dyDescent="0.2">
      <c r="A662" s="5"/>
      <c r="M662"/>
    </row>
    <row r="663" spans="1:26" x14ac:dyDescent="0.2">
      <c r="A663" s="5"/>
      <c r="M663" s="89"/>
      <c r="N663" s="89"/>
      <c r="O663" s="89"/>
      <c r="P663" s="89"/>
      <c r="Q663" s="89"/>
      <c r="R663" s="89"/>
      <c r="S663" s="89"/>
      <c r="U663" s="89"/>
      <c r="V663" s="89"/>
      <c r="W663" s="89"/>
      <c r="X663" s="89"/>
      <c r="Y663" s="89"/>
      <c r="Z663" s="89"/>
    </row>
    <row r="664" spans="1:26" x14ac:dyDescent="0.2">
      <c r="A664" s="5"/>
      <c r="M664"/>
    </row>
    <row r="665" spans="1:26" x14ac:dyDescent="0.2">
      <c r="A665" s="5"/>
      <c r="M665"/>
    </row>
    <row r="666" spans="1:26" x14ac:dyDescent="0.2">
      <c r="A666" s="5"/>
      <c r="M666"/>
    </row>
    <row r="667" spans="1:26" x14ac:dyDescent="0.2">
      <c r="A667" s="5"/>
      <c r="M667" s="9"/>
      <c r="N667" s="9"/>
      <c r="O667" s="9"/>
      <c r="P667" s="9"/>
      <c r="Q667" s="9"/>
    </row>
    <row r="668" spans="1:26" x14ac:dyDescent="0.2">
      <c r="A668" s="5"/>
      <c r="M668"/>
    </row>
    <row r="669" spans="1:26" x14ac:dyDescent="0.2">
      <c r="A669" s="5"/>
      <c r="M669"/>
    </row>
    <row r="670" spans="1:26" x14ac:dyDescent="0.2">
      <c r="A670" s="5"/>
      <c r="M670"/>
      <c r="N670"/>
    </row>
    <row r="671" spans="1:26" x14ac:dyDescent="0.2">
      <c r="M671"/>
      <c r="N671"/>
    </row>
    <row r="672" spans="1:26" x14ac:dyDescent="0.2">
      <c r="M672"/>
      <c r="N672"/>
    </row>
    <row r="673" spans="13:17" x14ac:dyDescent="0.2">
      <c r="M673"/>
      <c r="N673"/>
    </row>
    <row r="674" spans="13:17" x14ac:dyDescent="0.2">
      <c r="M674"/>
      <c r="N674"/>
      <c r="O674"/>
      <c r="P674"/>
      <c r="Q674"/>
    </row>
    <row r="675" spans="13:17" x14ac:dyDescent="0.2">
      <c r="M675"/>
      <c r="N675"/>
    </row>
    <row r="676" spans="13:17" x14ac:dyDescent="0.2">
      <c r="M676"/>
      <c r="N676"/>
    </row>
    <row r="677" spans="13:17" x14ac:dyDescent="0.2">
      <c r="M677"/>
      <c r="N677"/>
    </row>
    <row r="678" spans="13:17" x14ac:dyDescent="0.2">
      <c r="M678"/>
      <c r="N678"/>
    </row>
    <row r="679" spans="13:17" x14ac:dyDescent="0.2">
      <c r="M679"/>
      <c r="N679"/>
    </row>
    <row r="680" spans="13:17" x14ac:dyDescent="0.2">
      <c r="M680"/>
      <c r="N680"/>
    </row>
    <row r="681" spans="13:17" x14ac:dyDescent="0.2">
      <c r="M681"/>
      <c r="N681"/>
    </row>
    <row r="682" spans="13:17" x14ac:dyDescent="0.2">
      <c r="M682"/>
      <c r="N682"/>
    </row>
    <row r="683" spans="13:17" x14ac:dyDescent="0.2">
      <c r="M683"/>
      <c r="N683"/>
    </row>
    <row r="684" spans="13:17" x14ac:dyDescent="0.2">
      <c r="M684"/>
    </row>
    <row r="685" spans="13:17" x14ac:dyDescent="0.2">
      <c r="M685"/>
    </row>
    <row r="686" spans="13:17" x14ac:dyDescent="0.2">
      <c r="M686"/>
    </row>
    <row r="687" spans="13:17" x14ac:dyDescent="0.2">
      <c r="M687"/>
    </row>
    <row r="688" spans="13:17" x14ac:dyDescent="0.2">
      <c r="M688"/>
    </row>
    <row r="689" spans="13:13" x14ac:dyDescent="0.2">
      <c r="M689"/>
    </row>
    <row r="690" spans="13:13" x14ac:dyDescent="0.2">
      <c r="M690"/>
    </row>
    <row r="691" spans="13:13" x14ac:dyDescent="0.2">
      <c r="M691"/>
    </row>
    <row r="692" spans="13:13" x14ac:dyDescent="0.2">
      <c r="M692"/>
    </row>
    <row r="693" spans="13:13" x14ac:dyDescent="0.2">
      <c r="M693"/>
    </row>
    <row r="694" spans="13:13" x14ac:dyDescent="0.2">
      <c r="M694"/>
    </row>
    <row r="695" spans="13:13" x14ac:dyDescent="0.2">
      <c r="M695"/>
    </row>
    <row r="696" spans="13:13" x14ac:dyDescent="0.2">
      <c r="M696"/>
    </row>
    <row r="697" spans="13:13" x14ac:dyDescent="0.2">
      <c r="M697"/>
    </row>
    <row r="698" spans="13:13" x14ac:dyDescent="0.2">
      <c r="M698"/>
    </row>
    <row r="699" spans="13:13" x14ac:dyDescent="0.2">
      <c r="M699"/>
    </row>
    <row r="700" spans="13:13" x14ac:dyDescent="0.2">
      <c r="M700"/>
    </row>
    <row r="701" spans="13:13" x14ac:dyDescent="0.2">
      <c r="M701"/>
    </row>
    <row r="702" spans="13:13" x14ac:dyDescent="0.2">
      <c r="M702"/>
    </row>
    <row r="703" spans="13:13" x14ac:dyDescent="0.2">
      <c r="M703"/>
    </row>
    <row r="704" spans="13:13" x14ac:dyDescent="0.2">
      <c r="M704"/>
    </row>
    <row r="705" spans="13:13" x14ac:dyDescent="0.2">
      <c r="M705"/>
    </row>
    <row r="706" spans="13:13" x14ac:dyDescent="0.2">
      <c r="M706"/>
    </row>
    <row r="707" spans="13:13" x14ac:dyDescent="0.2">
      <c r="M707"/>
    </row>
    <row r="708" spans="13:13" x14ac:dyDescent="0.2">
      <c r="M708"/>
    </row>
    <row r="709" spans="13:13" x14ac:dyDescent="0.2">
      <c r="M709"/>
    </row>
    <row r="710" spans="13:13" x14ac:dyDescent="0.2">
      <c r="M710"/>
    </row>
    <row r="711" spans="13:13" x14ac:dyDescent="0.2">
      <c r="M711"/>
    </row>
    <row r="712" spans="13:13" x14ac:dyDescent="0.2">
      <c r="M712"/>
    </row>
    <row r="713" spans="13:13" x14ac:dyDescent="0.2">
      <c r="M713"/>
    </row>
    <row r="714" spans="13:13" x14ac:dyDescent="0.2">
      <c r="M714"/>
    </row>
    <row r="715" spans="13:13" x14ac:dyDescent="0.2">
      <c r="M715"/>
    </row>
    <row r="716" spans="13:13" x14ac:dyDescent="0.2">
      <c r="M716"/>
    </row>
    <row r="717" spans="13:13" x14ac:dyDescent="0.2">
      <c r="M717"/>
    </row>
    <row r="718" spans="13:13" x14ac:dyDescent="0.2">
      <c r="M718"/>
    </row>
    <row r="719" spans="13:13" x14ac:dyDescent="0.2">
      <c r="M719"/>
    </row>
    <row r="720" spans="13:13" x14ac:dyDescent="0.2">
      <c r="M720"/>
    </row>
    <row r="721" spans="13:13" x14ac:dyDescent="0.2">
      <c r="M721"/>
    </row>
    <row r="722" spans="13:13" x14ac:dyDescent="0.2">
      <c r="M722"/>
    </row>
    <row r="723" spans="13:13" x14ac:dyDescent="0.2">
      <c r="M723"/>
    </row>
    <row r="724" spans="13:13" x14ac:dyDescent="0.2">
      <c r="M724"/>
    </row>
    <row r="725" spans="13:13" x14ac:dyDescent="0.2">
      <c r="M725"/>
    </row>
    <row r="726" spans="13:13" x14ac:dyDescent="0.2">
      <c r="M726"/>
    </row>
    <row r="727" spans="13:13" x14ac:dyDescent="0.2">
      <c r="M727"/>
    </row>
    <row r="728" spans="13:13" x14ac:dyDescent="0.2">
      <c r="M728"/>
    </row>
    <row r="729" spans="13:13" x14ac:dyDescent="0.2">
      <c r="M729"/>
    </row>
    <row r="730" spans="13:13" x14ac:dyDescent="0.2">
      <c r="M730"/>
    </row>
    <row r="731" spans="13:13" x14ac:dyDescent="0.2">
      <c r="M731"/>
    </row>
    <row r="732" spans="13:13" x14ac:dyDescent="0.2">
      <c r="M732"/>
    </row>
    <row r="733" spans="13:13" x14ac:dyDescent="0.2">
      <c r="M733"/>
    </row>
    <row r="734" spans="13:13" x14ac:dyDescent="0.2">
      <c r="M734"/>
    </row>
    <row r="735" spans="13:13" x14ac:dyDescent="0.2">
      <c r="M735"/>
    </row>
    <row r="736" spans="13:13" x14ac:dyDescent="0.2">
      <c r="M736"/>
    </row>
    <row r="737" spans="13:13" x14ac:dyDescent="0.2">
      <c r="M737"/>
    </row>
    <row r="738" spans="13:13" x14ac:dyDescent="0.2">
      <c r="M738"/>
    </row>
    <row r="739" spans="13:13" x14ac:dyDescent="0.2">
      <c r="M739"/>
    </row>
    <row r="740" spans="13:13" x14ac:dyDescent="0.2">
      <c r="M740"/>
    </row>
    <row r="741" spans="13:13" x14ac:dyDescent="0.2">
      <c r="M741"/>
    </row>
    <row r="742" spans="13:13" x14ac:dyDescent="0.2">
      <c r="M742"/>
    </row>
    <row r="743" spans="13:13" x14ac:dyDescent="0.2">
      <c r="M743"/>
    </row>
    <row r="744" spans="13:13" x14ac:dyDescent="0.2">
      <c r="M744"/>
    </row>
    <row r="745" spans="13:13" x14ac:dyDescent="0.2">
      <c r="M745"/>
    </row>
    <row r="746" spans="13:13" x14ac:dyDescent="0.2">
      <c r="M746"/>
    </row>
    <row r="747" spans="13:13" x14ac:dyDescent="0.2">
      <c r="M747"/>
    </row>
    <row r="748" spans="13:13" x14ac:dyDescent="0.2">
      <c r="M748"/>
    </row>
    <row r="749" spans="13:13" x14ac:dyDescent="0.2">
      <c r="M749"/>
    </row>
    <row r="750" spans="13:13" x14ac:dyDescent="0.2">
      <c r="M750"/>
    </row>
    <row r="751" spans="13:13" x14ac:dyDescent="0.2">
      <c r="M751"/>
    </row>
    <row r="752" spans="13:13" x14ac:dyDescent="0.2">
      <c r="M752"/>
    </row>
    <row r="753" spans="13:13" x14ac:dyDescent="0.2">
      <c r="M753"/>
    </row>
    <row r="754" spans="13:13" x14ac:dyDescent="0.2">
      <c r="M754"/>
    </row>
    <row r="755" spans="13:13" x14ac:dyDescent="0.2">
      <c r="M755"/>
    </row>
    <row r="756" spans="13:13" x14ac:dyDescent="0.2">
      <c r="M756"/>
    </row>
    <row r="757" spans="13:13" x14ac:dyDescent="0.2">
      <c r="M757"/>
    </row>
    <row r="758" spans="13:13" x14ac:dyDescent="0.2">
      <c r="M758"/>
    </row>
    <row r="759" spans="13:13" x14ac:dyDescent="0.2">
      <c r="M759"/>
    </row>
    <row r="760" spans="13:13" x14ac:dyDescent="0.2">
      <c r="M760"/>
    </row>
    <row r="761" spans="13:13" x14ac:dyDescent="0.2">
      <c r="M761"/>
    </row>
    <row r="762" spans="13:13" x14ac:dyDescent="0.2">
      <c r="M762"/>
    </row>
    <row r="763" spans="13:13" x14ac:dyDescent="0.2">
      <c r="M763"/>
    </row>
    <row r="764" spans="13:13" x14ac:dyDescent="0.2">
      <c r="M764"/>
    </row>
    <row r="765" spans="13:13" x14ac:dyDescent="0.2">
      <c r="M765"/>
    </row>
    <row r="766" spans="13:13" x14ac:dyDescent="0.2">
      <c r="M766"/>
    </row>
    <row r="767" spans="13:13" x14ac:dyDescent="0.2">
      <c r="M767"/>
    </row>
    <row r="768" spans="13:13" x14ac:dyDescent="0.2">
      <c r="M768"/>
    </row>
    <row r="769" spans="13:13" x14ac:dyDescent="0.2">
      <c r="M769"/>
    </row>
    <row r="770" spans="13:13" x14ac:dyDescent="0.2">
      <c r="M770"/>
    </row>
    <row r="771" spans="13:13" x14ac:dyDescent="0.2">
      <c r="M771"/>
    </row>
    <row r="772" spans="13:13" x14ac:dyDescent="0.2">
      <c r="M772"/>
    </row>
    <row r="773" spans="13:13" x14ac:dyDescent="0.2">
      <c r="M773"/>
    </row>
    <row r="774" spans="13:13" x14ac:dyDescent="0.2">
      <c r="M774"/>
    </row>
    <row r="775" spans="13:13" x14ac:dyDescent="0.2">
      <c r="M775"/>
    </row>
    <row r="776" spans="13:13" x14ac:dyDescent="0.2">
      <c r="M776"/>
    </row>
    <row r="777" spans="13:13" x14ac:dyDescent="0.2">
      <c r="M777"/>
    </row>
    <row r="778" spans="13:13" x14ac:dyDescent="0.2">
      <c r="M778"/>
    </row>
    <row r="779" spans="13:13" x14ac:dyDescent="0.2">
      <c r="M779"/>
    </row>
    <row r="780" spans="13:13" x14ac:dyDescent="0.2">
      <c r="M780"/>
    </row>
    <row r="781" spans="13:13" x14ac:dyDescent="0.2">
      <c r="M781"/>
    </row>
    <row r="782" spans="13:13" x14ac:dyDescent="0.2">
      <c r="M782"/>
    </row>
    <row r="783" spans="13:13" x14ac:dyDescent="0.2">
      <c r="M783"/>
    </row>
    <row r="784" spans="13:13" x14ac:dyDescent="0.2">
      <c r="M784"/>
    </row>
    <row r="785" spans="13:13" x14ac:dyDescent="0.2">
      <c r="M785"/>
    </row>
    <row r="786" spans="13:13" x14ac:dyDescent="0.2">
      <c r="M786"/>
    </row>
    <row r="787" spans="13:13" x14ac:dyDescent="0.2">
      <c r="M787"/>
    </row>
    <row r="788" spans="13:13" x14ac:dyDescent="0.2">
      <c r="M788"/>
    </row>
    <row r="789" spans="13:13" x14ac:dyDescent="0.2">
      <c r="M789"/>
    </row>
    <row r="790" spans="13:13" x14ac:dyDescent="0.2">
      <c r="M790"/>
    </row>
    <row r="791" spans="13:13" x14ac:dyDescent="0.2">
      <c r="M791"/>
    </row>
    <row r="792" spans="13:13" x14ac:dyDescent="0.2">
      <c r="M792"/>
    </row>
    <row r="793" spans="13:13" x14ac:dyDescent="0.2">
      <c r="M793"/>
    </row>
    <row r="794" spans="13:13" x14ac:dyDescent="0.2">
      <c r="M794"/>
    </row>
    <row r="795" spans="13:13" x14ac:dyDescent="0.2">
      <c r="M795"/>
    </row>
    <row r="796" spans="13:13" x14ac:dyDescent="0.2">
      <c r="M796"/>
    </row>
    <row r="797" spans="13:13" x14ac:dyDescent="0.2">
      <c r="M797"/>
    </row>
    <row r="798" spans="13:13" x14ac:dyDescent="0.2">
      <c r="M798"/>
    </row>
    <row r="799" spans="13:13" x14ac:dyDescent="0.2">
      <c r="M799"/>
    </row>
    <row r="800" spans="13:13" x14ac:dyDescent="0.2">
      <c r="M800"/>
    </row>
    <row r="801" spans="13:13" x14ac:dyDescent="0.2">
      <c r="M801"/>
    </row>
    <row r="802" spans="13:13" x14ac:dyDescent="0.2">
      <c r="M802"/>
    </row>
    <row r="803" spans="13:13" x14ac:dyDescent="0.2">
      <c r="M803"/>
    </row>
    <row r="804" spans="13:13" x14ac:dyDescent="0.2">
      <c r="M804"/>
    </row>
    <row r="805" spans="13:13" x14ac:dyDescent="0.2">
      <c r="M805"/>
    </row>
    <row r="806" spans="13:13" x14ac:dyDescent="0.2">
      <c r="M806"/>
    </row>
    <row r="807" spans="13:13" x14ac:dyDescent="0.2">
      <c r="M807"/>
    </row>
    <row r="808" spans="13:13" x14ac:dyDescent="0.2">
      <c r="M808"/>
    </row>
    <row r="809" spans="13:13" x14ac:dyDescent="0.2">
      <c r="M809"/>
    </row>
    <row r="810" spans="13:13" x14ac:dyDescent="0.2">
      <c r="M810"/>
    </row>
    <row r="811" spans="13:13" x14ac:dyDescent="0.2">
      <c r="M811"/>
    </row>
    <row r="812" spans="13:13" x14ac:dyDescent="0.2">
      <c r="M812"/>
    </row>
    <row r="813" spans="13:13" x14ac:dyDescent="0.2">
      <c r="M813"/>
    </row>
    <row r="814" spans="13:13" x14ac:dyDescent="0.2">
      <c r="M814"/>
    </row>
    <row r="815" spans="13:13" x14ac:dyDescent="0.2">
      <c r="M815"/>
    </row>
    <row r="816" spans="13:13" x14ac:dyDescent="0.2">
      <c r="M816"/>
    </row>
    <row r="817" spans="13:13" x14ac:dyDescent="0.2">
      <c r="M817"/>
    </row>
    <row r="818" spans="13:13" x14ac:dyDescent="0.2">
      <c r="M818"/>
    </row>
    <row r="819" spans="13:13" x14ac:dyDescent="0.2">
      <c r="M819"/>
    </row>
    <row r="820" spans="13:13" x14ac:dyDescent="0.2">
      <c r="M820"/>
    </row>
    <row r="821" spans="13:13" x14ac:dyDescent="0.2">
      <c r="M821"/>
    </row>
    <row r="822" spans="13:13" x14ac:dyDescent="0.2">
      <c r="M822"/>
    </row>
    <row r="823" spans="13:13" x14ac:dyDescent="0.2">
      <c r="M823"/>
    </row>
    <row r="824" spans="13:13" x14ac:dyDescent="0.2">
      <c r="M824"/>
    </row>
    <row r="825" spans="13:13" x14ac:dyDescent="0.2">
      <c r="M825"/>
    </row>
    <row r="826" spans="13:13" x14ac:dyDescent="0.2">
      <c r="M826"/>
    </row>
    <row r="827" spans="13:13" x14ac:dyDescent="0.2">
      <c r="M827"/>
    </row>
    <row r="828" spans="13:13" x14ac:dyDescent="0.2">
      <c r="M828"/>
    </row>
    <row r="829" spans="13:13" x14ac:dyDescent="0.2">
      <c r="M829"/>
    </row>
    <row r="830" spans="13:13" x14ac:dyDescent="0.2">
      <c r="M830"/>
    </row>
    <row r="831" spans="13:13" x14ac:dyDescent="0.2">
      <c r="M831"/>
    </row>
    <row r="832" spans="13:13" x14ac:dyDescent="0.2">
      <c r="M832"/>
    </row>
    <row r="833" spans="13:13" x14ac:dyDescent="0.2">
      <c r="M833"/>
    </row>
    <row r="834" spans="13:13" x14ac:dyDescent="0.2">
      <c r="M834"/>
    </row>
    <row r="835" spans="13:13" x14ac:dyDescent="0.2">
      <c r="M835"/>
    </row>
    <row r="836" spans="13:13" x14ac:dyDescent="0.2">
      <c r="M836"/>
    </row>
    <row r="837" spans="13:13" x14ac:dyDescent="0.2">
      <c r="M837"/>
    </row>
    <row r="838" spans="13:13" x14ac:dyDescent="0.2">
      <c r="M838"/>
    </row>
    <row r="839" spans="13:13" x14ac:dyDescent="0.2">
      <c r="M839"/>
    </row>
    <row r="840" spans="13:13" x14ac:dyDescent="0.2">
      <c r="M840"/>
    </row>
    <row r="841" spans="13:13" x14ac:dyDescent="0.2">
      <c r="M841"/>
    </row>
  </sheetData>
  <sortState xmlns:xlrd2="http://schemas.microsoft.com/office/spreadsheetml/2017/richdata2" ref="A464:B670">
    <sortCondition ref="A464:A670"/>
  </sortState>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F8F9-1703-472C-A6B5-73FA157B072A}">
  <dimension ref="B2:Z172"/>
  <sheetViews>
    <sheetView topLeftCell="I1" workbookViewId="0">
      <selection activeCell="M2" sqref="M2:T10"/>
    </sheetView>
  </sheetViews>
  <sheetFormatPr baseColWidth="10" defaultColWidth="8.83203125" defaultRowHeight="15" x14ac:dyDescent="0.2"/>
  <cols>
    <col min="2" max="2" width="25.33203125" customWidth="1"/>
    <col min="3" max="3" width="23.83203125" customWidth="1"/>
    <col min="4" max="4" width="5.83203125" bestFit="1" customWidth="1"/>
    <col min="5" max="5" width="18.5" bestFit="1" customWidth="1"/>
    <col min="6" max="6" width="17.6640625" bestFit="1" customWidth="1"/>
    <col min="7" max="7" width="12.5" bestFit="1" customWidth="1"/>
    <col min="8" max="8" width="11.1640625" bestFit="1" customWidth="1"/>
    <col min="9" max="9" width="22.33203125" bestFit="1" customWidth="1"/>
    <col min="10" max="10" width="10" bestFit="1" customWidth="1"/>
    <col min="11" max="11" width="17.6640625" bestFit="1" customWidth="1"/>
    <col min="14" max="14" width="16" bestFit="1" customWidth="1"/>
    <col min="15" max="15" width="17.6640625" bestFit="1" customWidth="1"/>
    <col min="16" max="16" width="12.5" bestFit="1" customWidth="1"/>
    <col min="17" max="17" width="22.33203125" bestFit="1" customWidth="1"/>
    <col min="18" max="18" width="17.5" customWidth="1"/>
    <col min="19" max="19" width="18.5" bestFit="1" customWidth="1"/>
    <col min="20" max="20" width="17.6640625" bestFit="1" customWidth="1"/>
  </cols>
  <sheetData>
    <row r="2" spans="2:26" x14ac:dyDescent="0.2">
      <c r="B2" s="90" t="s">
        <v>1700</v>
      </c>
      <c r="C2" s="90" t="s">
        <v>1384</v>
      </c>
      <c r="D2" s="90" t="s">
        <v>1701</v>
      </c>
      <c r="E2" s="91" t="s">
        <v>1707</v>
      </c>
      <c r="F2" s="91" t="s">
        <v>1709</v>
      </c>
      <c r="G2" s="91" t="s">
        <v>1711</v>
      </c>
      <c r="H2" s="92" t="s">
        <v>1713</v>
      </c>
      <c r="I2" s="90" t="s">
        <v>1715</v>
      </c>
      <c r="J2" s="90" t="s">
        <v>1717</v>
      </c>
      <c r="K2" s="90" t="s">
        <v>1720</v>
      </c>
      <c r="N2" s="92" t="s">
        <v>1713</v>
      </c>
      <c r="O2" s="90" t="s">
        <v>1720</v>
      </c>
      <c r="P2" s="91" t="s">
        <v>1711</v>
      </c>
      <c r="Q2" s="90" t="s">
        <v>1715</v>
      </c>
      <c r="R2" s="90" t="s">
        <v>1717</v>
      </c>
      <c r="S2" s="91" t="s">
        <v>1707</v>
      </c>
      <c r="T2" s="91" t="s">
        <v>1709</v>
      </c>
    </row>
    <row r="3" spans="2:26" x14ac:dyDescent="0.2">
      <c r="B3" s="5" t="s">
        <v>279</v>
      </c>
      <c r="C3" s="5" t="s">
        <v>1404</v>
      </c>
      <c r="D3" s="5">
        <v>2019</v>
      </c>
      <c r="E3" s="9">
        <v>45</v>
      </c>
      <c r="F3" s="9">
        <v>2709</v>
      </c>
      <c r="G3" s="9">
        <v>1462860</v>
      </c>
      <c r="H3" s="9">
        <v>7290500</v>
      </c>
      <c r="I3" s="9">
        <v>5189171</v>
      </c>
      <c r="J3" s="9">
        <v>638469</v>
      </c>
      <c r="K3" s="8">
        <v>2730358.8</v>
      </c>
      <c r="M3">
        <v>2019</v>
      </c>
      <c r="N3" s="8">
        <f>SUMIFS(H:H,D:D,M3)</f>
        <v>30477011</v>
      </c>
      <c r="O3" s="8">
        <f>SUMIFS(K:K,D:D,M3)</f>
        <v>13768071.639999999</v>
      </c>
      <c r="P3" s="8">
        <f>SUMIFS(G:G,D:D,M3)</f>
        <v>8364948</v>
      </c>
      <c r="Q3" s="8">
        <f>SUMIFS(I:I,D:D,M3)</f>
        <v>20305867</v>
      </c>
      <c r="R3" s="8">
        <f>SUMIFS(J:J,D:D,M3)</f>
        <v>1784609</v>
      </c>
      <c r="S3" s="8">
        <f>AVERAGEIFS(E:E,D:D,M3)</f>
        <v>17.5</v>
      </c>
      <c r="T3" s="8">
        <f>AVERAGEIFS(F:F,D:D,M3)</f>
        <v>1805.8421052631579</v>
      </c>
      <c r="V3" s="93">
        <f>N3/1000000</f>
        <v>30.477011000000001</v>
      </c>
      <c r="W3" s="93">
        <f t="shared" ref="W3:Z8" si="0">O3/1000000</f>
        <v>13.768071639999999</v>
      </c>
      <c r="X3" s="93">
        <f t="shared" si="0"/>
        <v>8.3649480000000001</v>
      </c>
      <c r="Y3" s="93">
        <f t="shared" si="0"/>
        <v>20.305866999999999</v>
      </c>
      <c r="Z3" s="93">
        <f t="shared" si="0"/>
        <v>1.7846089999999999</v>
      </c>
    </row>
    <row r="4" spans="2:26" x14ac:dyDescent="0.2">
      <c r="B4" s="5" t="s">
        <v>279</v>
      </c>
      <c r="C4" s="5" t="s">
        <v>1404</v>
      </c>
      <c r="D4" s="5">
        <v>2020</v>
      </c>
      <c r="E4" s="9">
        <v>46</v>
      </c>
      <c r="F4" s="9">
        <v>2940</v>
      </c>
      <c r="G4" s="9">
        <v>1622880</v>
      </c>
      <c r="H4" s="9">
        <v>6554110</v>
      </c>
      <c r="I4" s="9">
        <v>4294186</v>
      </c>
      <c r="J4" s="9">
        <v>637044</v>
      </c>
      <c r="K4" s="8">
        <v>2957762.4</v>
      </c>
      <c r="M4">
        <v>2020</v>
      </c>
      <c r="N4" s="8">
        <f t="shared" ref="N4:N8" si="1">SUMIFS(H:H,D:D,M4)</f>
        <v>33059312</v>
      </c>
      <c r="O4" s="8">
        <f t="shared" ref="O4:O8" si="2">SUMIFS(K:K,D:D,M4)</f>
        <v>17239575.439999994</v>
      </c>
      <c r="P4" s="8">
        <f t="shared" ref="P4:P8" si="3">SUMIFS(G:G,D:D,M4)</f>
        <v>8023308</v>
      </c>
      <c r="Q4" s="8">
        <f t="shared" ref="Q4:Q8" si="4">SUMIFS(I:I,D:D,M4)</f>
        <v>19269759</v>
      </c>
      <c r="R4" s="8">
        <f t="shared" ref="R4:R8" si="5">SUMIFS(J:J,D:D,M4)</f>
        <v>2417596</v>
      </c>
      <c r="S4" s="8">
        <f t="shared" ref="S4:S8" si="6">AVERAGEIFS(E:E,D:D,M4)</f>
        <v>14.107142857142858</v>
      </c>
      <c r="T4" s="8">
        <f t="shared" ref="T4:T8" si="7">AVERAGEIFS(F:F,D:D,M4)</f>
        <v>1630.4761904761904</v>
      </c>
      <c r="V4" s="93">
        <f t="shared" ref="V4:V8" si="8">N4/1000000</f>
        <v>33.059311999999998</v>
      </c>
      <c r="W4" s="93">
        <f t="shared" si="0"/>
        <v>17.239575439999992</v>
      </c>
      <c r="X4" s="93">
        <f t="shared" si="0"/>
        <v>8.0233080000000001</v>
      </c>
      <c r="Y4" s="93">
        <f t="shared" si="0"/>
        <v>19.269759000000001</v>
      </c>
      <c r="Z4" s="93">
        <f t="shared" si="0"/>
        <v>2.4175960000000001</v>
      </c>
    </row>
    <row r="5" spans="2:26" x14ac:dyDescent="0.2">
      <c r="B5" s="5" t="s">
        <v>279</v>
      </c>
      <c r="C5" s="5" t="s">
        <v>1404</v>
      </c>
      <c r="D5" s="5">
        <v>2021</v>
      </c>
      <c r="E5" s="9">
        <v>50</v>
      </c>
      <c r="F5" s="9">
        <v>3106</v>
      </c>
      <c r="G5" s="9">
        <v>1863600</v>
      </c>
      <c r="H5" s="9">
        <v>7010847</v>
      </c>
      <c r="I5" s="9">
        <v>4457547</v>
      </c>
      <c r="J5" s="9">
        <v>689700</v>
      </c>
      <c r="K5" s="8">
        <v>3354648</v>
      </c>
      <c r="M5">
        <v>2021</v>
      </c>
      <c r="N5" s="8">
        <f t="shared" si="1"/>
        <v>44804728</v>
      </c>
      <c r="O5" s="8">
        <f t="shared" si="2"/>
        <v>21374973.240000002</v>
      </c>
      <c r="P5" s="8">
        <f t="shared" si="3"/>
        <v>10413768</v>
      </c>
      <c r="Q5" s="8">
        <f t="shared" si="4"/>
        <v>27907675</v>
      </c>
      <c r="R5" s="8">
        <f t="shared" si="5"/>
        <v>3311693</v>
      </c>
      <c r="S5" s="8">
        <f t="shared" si="6"/>
        <v>15.75</v>
      </c>
      <c r="T5" s="8">
        <f t="shared" si="7"/>
        <v>2012.4761904761904</v>
      </c>
      <c r="V5" s="93">
        <f t="shared" si="8"/>
        <v>44.804727999999997</v>
      </c>
      <c r="W5" s="93">
        <f t="shared" si="0"/>
        <v>21.374973240000003</v>
      </c>
      <c r="X5" s="93">
        <f t="shared" si="0"/>
        <v>10.413767999999999</v>
      </c>
      <c r="Y5" s="93">
        <f t="shared" si="0"/>
        <v>27.907675000000001</v>
      </c>
      <c r="Z5" s="93">
        <f t="shared" si="0"/>
        <v>3.311693</v>
      </c>
    </row>
    <row r="6" spans="2:26" x14ac:dyDescent="0.2">
      <c r="B6" s="5" t="s">
        <v>279</v>
      </c>
      <c r="C6" s="5" t="s">
        <v>1404</v>
      </c>
      <c r="D6" s="5">
        <v>2022</v>
      </c>
      <c r="E6" s="9">
        <v>49</v>
      </c>
      <c r="F6" s="9">
        <v>3263</v>
      </c>
      <c r="G6" s="9">
        <v>1918644</v>
      </c>
      <c r="H6" s="9">
        <v>8435901</v>
      </c>
      <c r="I6" s="9">
        <v>5368386</v>
      </c>
      <c r="J6" s="9">
        <v>1148871</v>
      </c>
      <c r="K6" s="8">
        <v>3892531.92</v>
      </c>
      <c r="M6">
        <v>2022</v>
      </c>
      <c r="N6" s="8">
        <f t="shared" si="1"/>
        <v>53333707</v>
      </c>
      <c r="O6" s="8">
        <f t="shared" si="2"/>
        <v>26179263.719999999</v>
      </c>
      <c r="P6" s="8">
        <f t="shared" si="3"/>
        <v>12949404</v>
      </c>
      <c r="Q6" s="8">
        <f t="shared" si="4"/>
        <v>32722687</v>
      </c>
      <c r="R6" s="8">
        <f t="shared" si="5"/>
        <v>2549553</v>
      </c>
      <c r="S6" s="8">
        <f t="shared" si="6"/>
        <v>18.037037037037038</v>
      </c>
      <c r="T6" s="8">
        <f t="shared" si="7"/>
        <v>2240.4</v>
      </c>
      <c r="V6" s="93">
        <f t="shared" si="8"/>
        <v>53.333706999999997</v>
      </c>
      <c r="W6" s="93">
        <f t="shared" si="0"/>
        <v>26.179263719999998</v>
      </c>
      <c r="X6" s="93">
        <f t="shared" si="0"/>
        <v>12.949403999999999</v>
      </c>
      <c r="Y6" s="93">
        <f t="shared" si="0"/>
        <v>32.722687000000001</v>
      </c>
      <c r="Z6" s="93">
        <f t="shared" si="0"/>
        <v>2.549553</v>
      </c>
    </row>
    <row r="7" spans="2:26" x14ac:dyDescent="0.2">
      <c r="B7" s="5" t="s">
        <v>279</v>
      </c>
      <c r="C7" s="5" t="s">
        <v>1404</v>
      </c>
      <c r="D7" s="5">
        <v>2023</v>
      </c>
      <c r="E7" s="9">
        <v>49</v>
      </c>
      <c r="F7" s="9">
        <v>4041</v>
      </c>
      <c r="G7" s="9">
        <v>2376108</v>
      </c>
      <c r="H7" s="9">
        <v>7661419</v>
      </c>
      <c r="I7" s="9">
        <v>4659384</v>
      </c>
      <c r="J7" s="9">
        <v>625927</v>
      </c>
      <c r="K7" s="8">
        <v>4023761.44</v>
      </c>
      <c r="M7">
        <v>2023</v>
      </c>
      <c r="N7" s="8">
        <f t="shared" si="1"/>
        <v>58179294</v>
      </c>
      <c r="O7" s="8">
        <f t="shared" si="2"/>
        <v>26415156.84</v>
      </c>
      <c r="P7" s="8">
        <f t="shared" si="3"/>
        <v>16398888</v>
      </c>
      <c r="Q7" s="8">
        <f t="shared" si="4"/>
        <v>38815659</v>
      </c>
      <c r="R7" s="8">
        <f t="shared" si="5"/>
        <v>1846947</v>
      </c>
      <c r="S7" s="8">
        <f t="shared" si="6"/>
        <v>18</v>
      </c>
      <c r="T7" s="8">
        <f t="shared" si="7"/>
        <v>2514.2399999999998</v>
      </c>
      <c r="V7" s="93">
        <f t="shared" si="8"/>
        <v>58.179293999999999</v>
      </c>
      <c r="W7" s="93">
        <f t="shared" si="0"/>
        <v>26.415156839999998</v>
      </c>
      <c r="X7" s="93">
        <f t="shared" si="0"/>
        <v>16.398887999999999</v>
      </c>
      <c r="Y7" s="93">
        <f t="shared" si="0"/>
        <v>38.815658999999997</v>
      </c>
      <c r="Z7" s="93">
        <f t="shared" si="0"/>
        <v>1.8469469999999999</v>
      </c>
    </row>
    <row r="8" spans="2:26" x14ac:dyDescent="0.2">
      <c r="B8" s="5" t="s">
        <v>279</v>
      </c>
      <c r="C8" s="5" t="s">
        <v>1404</v>
      </c>
      <c r="D8" s="5">
        <v>2024</v>
      </c>
      <c r="E8" s="9">
        <v>45</v>
      </c>
      <c r="F8" s="9">
        <v>3618</v>
      </c>
      <c r="G8" s="9">
        <v>1953720</v>
      </c>
      <c r="H8" s="9">
        <v>7456879</v>
      </c>
      <c r="I8" s="9">
        <v>5009770</v>
      </c>
      <c r="J8" s="9">
        <v>493389</v>
      </c>
      <c r="K8" s="8">
        <v>3287208.6</v>
      </c>
      <c r="M8">
        <v>2024</v>
      </c>
      <c r="N8" s="8">
        <f t="shared" si="1"/>
        <v>58748731</v>
      </c>
      <c r="O8" s="8">
        <f t="shared" si="2"/>
        <v>25061553.960000001</v>
      </c>
      <c r="P8" s="8">
        <f t="shared" si="3"/>
        <v>16463772</v>
      </c>
      <c r="Q8" s="8">
        <f t="shared" si="4"/>
        <v>40766599</v>
      </c>
      <c r="R8" s="8">
        <f t="shared" si="5"/>
        <v>829277</v>
      </c>
      <c r="S8" s="8">
        <f t="shared" si="6"/>
        <v>17.37037037037037</v>
      </c>
      <c r="T8" s="8">
        <f t="shared" si="7"/>
        <v>2670.8</v>
      </c>
      <c r="V8" s="93">
        <f t="shared" si="8"/>
        <v>58.748730999999999</v>
      </c>
      <c r="W8" s="93">
        <f t="shared" si="0"/>
        <v>25.061553960000001</v>
      </c>
      <c r="X8" s="93">
        <f t="shared" si="0"/>
        <v>16.463771999999999</v>
      </c>
      <c r="Y8" s="93">
        <f t="shared" si="0"/>
        <v>40.766598999999999</v>
      </c>
      <c r="Z8" s="93">
        <f t="shared" si="0"/>
        <v>0.82927700000000004</v>
      </c>
    </row>
    <row r="9" spans="2:26" x14ac:dyDescent="0.2">
      <c r="B9" s="5" t="s">
        <v>795</v>
      </c>
      <c r="C9" s="5" t="s">
        <v>1410</v>
      </c>
      <c r="D9" s="5">
        <v>2019</v>
      </c>
      <c r="E9" s="9">
        <v>4</v>
      </c>
      <c r="F9" s="9">
        <v>1065</v>
      </c>
      <c r="G9" s="9">
        <v>51120</v>
      </c>
      <c r="H9" s="9">
        <v>103616</v>
      </c>
      <c r="I9" s="9">
        <v>51357</v>
      </c>
      <c r="J9" s="9">
        <v>1139</v>
      </c>
      <c r="K9" s="8">
        <v>74240.600000000006</v>
      </c>
    </row>
    <row r="10" spans="2:26" x14ac:dyDescent="0.2">
      <c r="B10" s="5" t="s">
        <v>795</v>
      </c>
      <c r="C10" s="5" t="s">
        <v>1410</v>
      </c>
      <c r="D10" s="5">
        <v>2020</v>
      </c>
      <c r="E10" s="9">
        <v>4</v>
      </c>
      <c r="F10" s="9">
        <v>1170</v>
      </c>
      <c r="G10" s="9">
        <v>56160</v>
      </c>
      <c r="H10" s="9">
        <v>110839</v>
      </c>
      <c r="I10" s="9">
        <v>45761</v>
      </c>
      <c r="J10" s="9">
        <v>8918</v>
      </c>
      <c r="K10" s="8">
        <v>89226.8</v>
      </c>
      <c r="N10" s="89">
        <f>(N8/N3)^(1/5)-1</f>
        <v>0.14026350247284158</v>
      </c>
      <c r="O10" s="89">
        <f t="shared" ref="O10:Q10" si="9">(O8/O3)^(1/5)-1</f>
        <v>0.12726747324568444</v>
      </c>
      <c r="P10" s="89">
        <f t="shared" si="9"/>
        <v>0.14502038748509261</v>
      </c>
      <c r="Q10" s="89">
        <f t="shared" si="9"/>
        <v>0.14957308960173576</v>
      </c>
      <c r="R10" s="89">
        <f>(R8/R3)^(1/5)-1</f>
        <v>-0.14211058706329305</v>
      </c>
      <c r="S10" s="89">
        <f>(S8/S3)^(1/5)-1</f>
        <v>-1.4858906671944005E-3</v>
      </c>
      <c r="T10" s="89">
        <f>(T8/T3)^(1/5)-1</f>
        <v>8.1414823905116673E-2</v>
      </c>
    </row>
    <row r="11" spans="2:26" x14ac:dyDescent="0.2">
      <c r="B11" s="5" t="s">
        <v>795</v>
      </c>
      <c r="C11" s="5" t="s">
        <v>1410</v>
      </c>
      <c r="D11" s="5">
        <v>2021</v>
      </c>
      <c r="E11" s="9">
        <v>5</v>
      </c>
      <c r="F11" s="9">
        <v>1308</v>
      </c>
      <c r="G11" s="9">
        <v>78480</v>
      </c>
      <c r="H11" s="9">
        <v>162654</v>
      </c>
      <c r="I11" s="9">
        <v>46204</v>
      </c>
      <c r="J11" s="9">
        <v>37970</v>
      </c>
      <c r="K11" s="8">
        <v>150196.4</v>
      </c>
      <c r="N11" s="8"/>
    </row>
    <row r="12" spans="2:26" x14ac:dyDescent="0.2">
      <c r="B12" s="5" t="s">
        <v>795</v>
      </c>
      <c r="C12" s="5" t="s">
        <v>1410</v>
      </c>
      <c r="D12" s="5">
        <v>2022</v>
      </c>
      <c r="E12" s="9">
        <v>6</v>
      </c>
      <c r="F12" s="9">
        <v>1500</v>
      </c>
      <c r="G12" s="9">
        <v>108000</v>
      </c>
      <c r="H12" s="9">
        <v>175245</v>
      </c>
      <c r="I12" s="9">
        <v>32462</v>
      </c>
      <c r="J12" s="9">
        <v>34783</v>
      </c>
      <c r="K12" s="8">
        <v>189223</v>
      </c>
      <c r="N12" t="s">
        <v>279</v>
      </c>
      <c r="O12" t="s">
        <v>1404</v>
      </c>
    </row>
    <row r="13" spans="2:26" x14ac:dyDescent="0.2">
      <c r="B13" s="5" t="s">
        <v>795</v>
      </c>
      <c r="C13" s="5" t="s">
        <v>1410</v>
      </c>
      <c r="D13" s="5">
        <v>2023</v>
      </c>
      <c r="E13" s="9">
        <v>9</v>
      </c>
      <c r="F13" s="9">
        <v>1529</v>
      </c>
      <c r="G13" s="9">
        <v>165132</v>
      </c>
      <c r="H13" s="9">
        <v>233594</v>
      </c>
      <c r="I13" s="9">
        <v>48592</v>
      </c>
      <c r="J13" s="9">
        <v>19870</v>
      </c>
      <c r="K13" s="8">
        <v>256008.76</v>
      </c>
      <c r="N13" t="s">
        <v>795</v>
      </c>
      <c r="O13" t="s">
        <v>1410</v>
      </c>
    </row>
    <row r="14" spans="2:26" x14ac:dyDescent="0.2">
      <c r="B14" s="5" t="s">
        <v>795</v>
      </c>
      <c r="C14" s="5" t="s">
        <v>1410</v>
      </c>
      <c r="D14" s="5">
        <v>2024</v>
      </c>
      <c r="E14" s="9">
        <v>9</v>
      </c>
      <c r="F14" s="9">
        <v>1848</v>
      </c>
      <c r="G14" s="9">
        <v>199584</v>
      </c>
      <c r="H14" s="9">
        <v>212639</v>
      </c>
      <c r="I14" s="9">
        <v>8368</v>
      </c>
      <c r="J14" s="9">
        <v>4687</v>
      </c>
      <c r="K14" s="8">
        <v>290092.12</v>
      </c>
      <c r="N14" t="s">
        <v>982</v>
      </c>
      <c r="O14" t="s">
        <v>1413</v>
      </c>
    </row>
    <row r="15" spans="2:26" x14ac:dyDescent="0.2">
      <c r="B15" s="5" t="s">
        <v>982</v>
      </c>
      <c r="C15" s="5" t="s">
        <v>1413</v>
      </c>
      <c r="D15" s="5">
        <v>2019</v>
      </c>
      <c r="E15" s="9">
        <v>33</v>
      </c>
      <c r="F15" s="9">
        <v>1521</v>
      </c>
      <c r="G15" s="9">
        <v>602316</v>
      </c>
      <c r="H15" s="9">
        <v>1402789</v>
      </c>
      <c r="I15" s="9">
        <v>626603</v>
      </c>
      <c r="J15" s="9">
        <v>173870</v>
      </c>
      <c r="K15" s="8">
        <v>1035181.88</v>
      </c>
      <c r="N15" t="s">
        <v>471</v>
      </c>
      <c r="O15" t="s">
        <v>1423</v>
      </c>
    </row>
    <row r="16" spans="2:26" x14ac:dyDescent="0.2">
      <c r="B16" s="5" t="s">
        <v>982</v>
      </c>
      <c r="C16" s="5" t="s">
        <v>1413</v>
      </c>
      <c r="D16" s="5">
        <v>2020</v>
      </c>
      <c r="E16" s="9">
        <v>32</v>
      </c>
      <c r="F16" s="9">
        <v>1588</v>
      </c>
      <c r="G16" s="9">
        <v>609792</v>
      </c>
      <c r="H16" s="9">
        <v>1237158</v>
      </c>
      <c r="I16" s="9">
        <v>474989</v>
      </c>
      <c r="J16" s="9">
        <v>152377</v>
      </c>
      <c r="K16" s="8">
        <v>1024379.56</v>
      </c>
      <c r="N16" t="s">
        <v>1233</v>
      </c>
      <c r="O16" t="s">
        <v>1454</v>
      </c>
    </row>
    <row r="17" spans="2:15" x14ac:dyDescent="0.2">
      <c r="B17" s="5" t="s">
        <v>982</v>
      </c>
      <c r="C17" s="5" t="s">
        <v>1413</v>
      </c>
      <c r="D17" s="5">
        <v>2021</v>
      </c>
      <c r="E17" s="9">
        <v>33</v>
      </c>
      <c r="F17" s="9">
        <v>1897</v>
      </c>
      <c r="G17" s="9">
        <v>751212</v>
      </c>
      <c r="H17" s="9">
        <v>1603371</v>
      </c>
      <c r="I17" s="9">
        <v>848444</v>
      </c>
      <c r="J17" s="9">
        <v>3715</v>
      </c>
      <c r="K17" s="8">
        <v>1077948.1599999999</v>
      </c>
      <c r="N17" t="s">
        <v>614</v>
      </c>
      <c r="O17" t="s">
        <v>1463</v>
      </c>
    </row>
    <row r="18" spans="2:15" x14ac:dyDescent="0.2">
      <c r="B18" s="5" t="s">
        <v>982</v>
      </c>
      <c r="C18" s="5" t="s">
        <v>1413</v>
      </c>
      <c r="D18" s="5">
        <v>2022</v>
      </c>
      <c r="E18" s="9">
        <v>35</v>
      </c>
      <c r="F18" s="9">
        <v>2185</v>
      </c>
      <c r="G18" s="9">
        <v>917700</v>
      </c>
      <c r="H18" s="9">
        <v>1860439</v>
      </c>
      <c r="I18" s="9">
        <v>841932</v>
      </c>
      <c r="J18" s="9">
        <v>100807</v>
      </c>
      <c r="K18" s="8">
        <v>1413118</v>
      </c>
      <c r="N18" t="s">
        <v>298</v>
      </c>
      <c r="O18" t="s">
        <v>1481</v>
      </c>
    </row>
    <row r="19" spans="2:15" x14ac:dyDescent="0.2">
      <c r="B19" s="5" t="s">
        <v>982</v>
      </c>
      <c r="C19" s="5" t="s">
        <v>1413</v>
      </c>
      <c r="D19" s="5">
        <v>2023</v>
      </c>
      <c r="E19" s="9">
        <v>35</v>
      </c>
      <c r="F19" s="9">
        <v>2334</v>
      </c>
      <c r="G19" s="9">
        <v>980280</v>
      </c>
      <c r="H19" s="9">
        <v>1869162</v>
      </c>
      <c r="I19" s="9">
        <v>766009</v>
      </c>
      <c r="J19" s="9">
        <v>122873</v>
      </c>
      <c r="K19" s="8">
        <v>1524673.4</v>
      </c>
      <c r="N19" t="s">
        <v>924</v>
      </c>
      <c r="O19" t="s">
        <v>1501</v>
      </c>
    </row>
    <row r="20" spans="2:15" x14ac:dyDescent="0.2">
      <c r="B20" s="5" t="s">
        <v>982</v>
      </c>
      <c r="C20" s="5" t="s">
        <v>1413</v>
      </c>
      <c r="D20" s="5">
        <v>2024</v>
      </c>
      <c r="E20" s="9">
        <v>34</v>
      </c>
      <c r="F20" s="9">
        <v>2526</v>
      </c>
      <c r="G20" s="9">
        <v>1030608</v>
      </c>
      <c r="H20" s="20">
        <v>1908884</v>
      </c>
      <c r="I20" s="9">
        <v>847272</v>
      </c>
      <c r="J20" s="9">
        <v>31004</v>
      </c>
      <c r="K20" s="9">
        <v>1504773.44</v>
      </c>
      <c r="N20" t="s">
        <v>762</v>
      </c>
      <c r="O20" t="s">
        <v>1510</v>
      </c>
    </row>
    <row r="21" spans="2:15" x14ac:dyDescent="0.2">
      <c r="B21" s="5" t="s">
        <v>471</v>
      </c>
      <c r="C21" s="5" t="s">
        <v>1423</v>
      </c>
      <c r="D21" s="5">
        <v>2019</v>
      </c>
      <c r="E21" s="9">
        <v>31</v>
      </c>
      <c r="F21" s="9">
        <v>2507</v>
      </c>
      <c r="G21" s="9">
        <v>932604</v>
      </c>
      <c r="H21" s="9">
        <v>3492270</v>
      </c>
      <c r="I21" s="9">
        <v>2377766</v>
      </c>
      <c r="J21" s="9">
        <v>181900</v>
      </c>
      <c r="K21" s="8">
        <v>1515523.72</v>
      </c>
      <c r="N21" t="s">
        <v>1535</v>
      </c>
      <c r="O21" t="s">
        <v>1536</v>
      </c>
    </row>
    <row r="22" spans="2:15" x14ac:dyDescent="0.2">
      <c r="B22" s="5" t="s">
        <v>471</v>
      </c>
      <c r="C22" s="5" t="s">
        <v>1423</v>
      </c>
      <c r="D22" s="5">
        <v>2020</v>
      </c>
      <c r="E22" s="9">
        <v>27</v>
      </c>
      <c r="F22" s="9">
        <v>2557</v>
      </c>
      <c r="G22" s="9">
        <v>828468</v>
      </c>
      <c r="H22" s="9">
        <v>2865990</v>
      </c>
      <c r="I22" s="9">
        <v>1822260</v>
      </c>
      <c r="J22" s="9">
        <v>215262</v>
      </c>
      <c r="K22" s="8">
        <v>1399971.24</v>
      </c>
      <c r="N22" t="s">
        <v>1045</v>
      </c>
      <c r="O22" t="s">
        <v>1572</v>
      </c>
    </row>
    <row r="23" spans="2:15" x14ac:dyDescent="0.2">
      <c r="B23" s="5" t="s">
        <v>471</v>
      </c>
      <c r="C23" s="5" t="s">
        <v>1423</v>
      </c>
      <c r="D23" s="5">
        <v>2021</v>
      </c>
      <c r="E23" s="9">
        <v>27</v>
      </c>
      <c r="F23" s="9">
        <v>2648</v>
      </c>
      <c r="G23" s="9">
        <v>857952</v>
      </c>
      <c r="H23" s="9">
        <v>2310000</v>
      </c>
      <c r="I23" s="9">
        <v>1407477</v>
      </c>
      <c r="J23" s="9">
        <v>44571</v>
      </c>
      <c r="K23" s="8">
        <v>1271442.3599999999</v>
      </c>
      <c r="N23" t="s">
        <v>1576</v>
      </c>
      <c r="O23" t="s">
        <v>1577</v>
      </c>
    </row>
    <row r="24" spans="2:15" x14ac:dyDescent="0.2">
      <c r="B24" s="5" t="s">
        <v>471</v>
      </c>
      <c r="C24" s="5" t="s">
        <v>1423</v>
      </c>
      <c r="D24" s="5">
        <v>2022</v>
      </c>
      <c r="E24" s="9">
        <v>26</v>
      </c>
      <c r="F24" s="9">
        <v>2759</v>
      </c>
      <c r="G24" s="9">
        <v>860808</v>
      </c>
      <c r="H24" s="9">
        <v>2365263</v>
      </c>
      <c r="I24" s="9">
        <v>1512636</v>
      </c>
      <c r="J24" s="9">
        <v>-8181</v>
      </c>
      <c r="K24" s="8">
        <v>1222774.44</v>
      </c>
      <c r="N24" t="s">
        <v>420</v>
      </c>
      <c r="O24" t="s">
        <v>1581</v>
      </c>
    </row>
    <row r="25" spans="2:15" x14ac:dyDescent="0.2">
      <c r="B25" s="5" t="s">
        <v>471</v>
      </c>
      <c r="C25" s="5" t="s">
        <v>1423</v>
      </c>
      <c r="D25" s="5">
        <v>2023</v>
      </c>
      <c r="E25" s="9">
        <v>25</v>
      </c>
      <c r="F25" s="9">
        <v>3002</v>
      </c>
      <c r="G25" s="9">
        <v>900600</v>
      </c>
      <c r="H25" s="9">
        <v>3544704</v>
      </c>
      <c r="I25" s="9">
        <v>2382018</v>
      </c>
      <c r="J25" s="9">
        <v>262086</v>
      </c>
      <c r="K25" s="8">
        <v>1549944</v>
      </c>
      <c r="N25" t="s">
        <v>1603</v>
      </c>
      <c r="O25" t="s">
        <v>1728</v>
      </c>
    </row>
    <row r="26" spans="2:15" x14ac:dyDescent="0.2">
      <c r="B26" s="5" t="s">
        <v>471</v>
      </c>
      <c r="C26" s="5" t="s">
        <v>1423</v>
      </c>
      <c r="D26" s="5">
        <v>2024</v>
      </c>
      <c r="E26" s="9">
        <v>27</v>
      </c>
      <c r="F26" s="9">
        <v>3258</v>
      </c>
      <c r="G26" s="9">
        <v>1055592</v>
      </c>
      <c r="H26" s="9">
        <v>2697617</v>
      </c>
      <c r="I26" s="9">
        <v>1635706</v>
      </c>
      <c r="J26" s="9">
        <v>6319</v>
      </c>
      <c r="K26" s="8">
        <v>1515815.56</v>
      </c>
      <c r="N26" t="s">
        <v>318</v>
      </c>
      <c r="O26" t="s">
        <v>1620</v>
      </c>
    </row>
    <row r="27" spans="2:15" x14ac:dyDescent="0.2">
      <c r="B27" s="5" t="s">
        <v>1233</v>
      </c>
      <c r="C27" t="s">
        <v>1454</v>
      </c>
      <c r="D27">
        <v>2019</v>
      </c>
      <c r="E27" s="9">
        <v>8</v>
      </c>
      <c r="F27" s="9">
        <v>1232</v>
      </c>
      <c r="G27" s="9">
        <v>118272</v>
      </c>
      <c r="H27" s="9">
        <v>289074</v>
      </c>
      <c r="I27" s="9">
        <v>121930</v>
      </c>
      <c r="J27" s="9">
        <v>48872</v>
      </c>
      <c r="K27" s="8">
        <v>218000.96</v>
      </c>
      <c r="N27" t="s">
        <v>549</v>
      </c>
      <c r="O27" t="s">
        <v>1626</v>
      </c>
    </row>
    <row r="28" spans="2:15" x14ac:dyDescent="0.2">
      <c r="B28" s="5" t="s">
        <v>1233</v>
      </c>
      <c r="C28" t="s">
        <v>1454</v>
      </c>
      <c r="D28">
        <v>2020</v>
      </c>
      <c r="E28" s="9">
        <v>10</v>
      </c>
      <c r="F28" s="9">
        <v>1483</v>
      </c>
      <c r="G28" s="9">
        <v>177960</v>
      </c>
      <c r="H28" s="9">
        <v>326922</v>
      </c>
      <c r="I28" s="9">
        <v>98706</v>
      </c>
      <c r="J28" s="9">
        <v>50256</v>
      </c>
      <c r="K28" s="8">
        <v>304738.8</v>
      </c>
      <c r="N28" t="s">
        <v>777</v>
      </c>
      <c r="O28" t="s">
        <v>1640</v>
      </c>
    </row>
    <row r="29" spans="2:15" x14ac:dyDescent="0.2">
      <c r="B29" s="5" t="s">
        <v>1233</v>
      </c>
      <c r="C29" t="s">
        <v>1454</v>
      </c>
      <c r="D29">
        <v>2021</v>
      </c>
      <c r="E29" s="9">
        <v>10</v>
      </c>
      <c r="F29" s="9">
        <v>1725</v>
      </c>
      <c r="G29" s="9">
        <v>207000</v>
      </c>
      <c r="H29" s="9">
        <v>422449</v>
      </c>
      <c r="I29" s="9">
        <v>149331</v>
      </c>
      <c r="J29" s="9">
        <v>66118</v>
      </c>
      <c r="K29" s="8">
        <v>362128</v>
      </c>
      <c r="N29" t="s">
        <v>1327</v>
      </c>
      <c r="O29" t="s">
        <v>1644</v>
      </c>
    </row>
    <row r="30" spans="2:15" x14ac:dyDescent="0.2">
      <c r="B30" s="5" t="s">
        <v>1233</v>
      </c>
      <c r="C30" t="s">
        <v>1454</v>
      </c>
      <c r="D30">
        <v>2022</v>
      </c>
      <c r="E30" s="9">
        <v>10</v>
      </c>
      <c r="F30" s="9">
        <v>1968</v>
      </c>
      <c r="G30" s="9">
        <v>236160</v>
      </c>
      <c r="H30" s="9">
        <v>569288</v>
      </c>
      <c r="I30" s="9">
        <v>329047</v>
      </c>
      <c r="J30" s="9">
        <v>4081</v>
      </c>
      <c r="K30" s="8">
        <v>341789.8</v>
      </c>
      <c r="N30" t="s">
        <v>1649</v>
      </c>
      <c r="O30" t="s">
        <v>1650</v>
      </c>
    </row>
    <row r="31" spans="2:15" x14ac:dyDescent="0.2">
      <c r="B31" s="5" t="s">
        <v>1233</v>
      </c>
      <c r="C31" t="s">
        <v>1454</v>
      </c>
      <c r="D31">
        <v>2023</v>
      </c>
      <c r="E31" s="9">
        <v>9</v>
      </c>
      <c r="F31" s="9">
        <v>2187</v>
      </c>
      <c r="G31" s="9">
        <v>236196</v>
      </c>
      <c r="H31" s="9">
        <v>546169</v>
      </c>
      <c r="I31" s="9">
        <v>279491</v>
      </c>
      <c r="J31" s="9">
        <v>30482</v>
      </c>
      <c r="K31" s="8">
        <v>368242.28</v>
      </c>
      <c r="N31" t="s">
        <v>165</v>
      </c>
      <c r="O31" t="s">
        <v>1677</v>
      </c>
    </row>
    <row r="32" spans="2:15" x14ac:dyDescent="0.2">
      <c r="B32" s="5" t="s">
        <v>1233</v>
      </c>
      <c r="C32" t="s">
        <v>1454</v>
      </c>
      <c r="D32">
        <v>2024</v>
      </c>
      <c r="E32" s="9">
        <v>9</v>
      </c>
      <c r="F32" s="9">
        <v>2149</v>
      </c>
      <c r="G32" s="9">
        <v>232092</v>
      </c>
      <c r="H32" s="9">
        <v>532524</v>
      </c>
      <c r="I32" s="9">
        <v>280580</v>
      </c>
      <c r="J32" s="9">
        <v>19852</v>
      </c>
      <c r="K32" s="8">
        <v>351743.56</v>
      </c>
      <c r="N32" t="s">
        <v>1680</v>
      </c>
      <c r="O32" t="s">
        <v>1681</v>
      </c>
    </row>
    <row r="33" spans="2:15" x14ac:dyDescent="0.2">
      <c r="B33" s="5" t="s">
        <v>614</v>
      </c>
      <c r="C33" s="5" t="s">
        <v>1463</v>
      </c>
      <c r="D33" s="5">
        <v>2019</v>
      </c>
      <c r="E33" s="9">
        <v>20</v>
      </c>
      <c r="F33" s="9">
        <v>2654</v>
      </c>
      <c r="G33" s="9">
        <v>636960</v>
      </c>
      <c r="H33" s="9">
        <v>1758089</v>
      </c>
      <c r="I33" s="9">
        <v>1118561</v>
      </c>
      <c r="J33" s="9">
        <v>2568</v>
      </c>
      <c r="K33" s="8">
        <v>913420.80000000005</v>
      </c>
      <c r="N33" t="s">
        <v>1682</v>
      </c>
      <c r="O33" t="s">
        <v>1683</v>
      </c>
    </row>
    <row r="34" spans="2:15" x14ac:dyDescent="0.2">
      <c r="B34" s="5" t="s">
        <v>614</v>
      </c>
      <c r="C34" s="5" t="s">
        <v>1463</v>
      </c>
      <c r="D34" s="5">
        <v>2020</v>
      </c>
      <c r="E34" s="9">
        <v>18</v>
      </c>
      <c r="F34" s="9">
        <v>2194</v>
      </c>
      <c r="G34" s="9">
        <v>473904</v>
      </c>
      <c r="H34" s="9">
        <v>981515</v>
      </c>
      <c r="I34" s="9">
        <v>568325</v>
      </c>
      <c r="J34" s="9">
        <v>-60714</v>
      </c>
      <c r="K34" s="8">
        <v>616968.72</v>
      </c>
      <c r="N34" t="s">
        <v>1684</v>
      </c>
      <c r="O34" t="s">
        <v>1685</v>
      </c>
    </row>
    <row r="35" spans="2:15" x14ac:dyDescent="0.2">
      <c r="B35" s="5" t="s">
        <v>614</v>
      </c>
      <c r="C35" s="5" t="s">
        <v>1463</v>
      </c>
      <c r="D35" s="5">
        <v>2021</v>
      </c>
      <c r="E35" s="9">
        <v>19</v>
      </c>
      <c r="F35" s="9">
        <v>2888</v>
      </c>
      <c r="G35" s="9">
        <v>658464</v>
      </c>
      <c r="H35" s="9">
        <v>1573797</v>
      </c>
      <c r="I35" s="9">
        <v>826265</v>
      </c>
      <c r="J35" s="9">
        <v>89068</v>
      </c>
      <c r="K35" s="8">
        <v>1030671.52</v>
      </c>
      <c r="N35" t="s">
        <v>1686</v>
      </c>
      <c r="O35" t="s">
        <v>1687</v>
      </c>
    </row>
    <row r="36" spans="2:15" x14ac:dyDescent="0.2">
      <c r="B36" s="5" t="s">
        <v>614</v>
      </c>
      <c r="C36" s="5" t="s">
        <v>1463</v>
      </c>
      <c r="D36" s="5">
        <v>2022</v>
      </c>
      <c r="E36" s="9">
        <v>22</v>
      </c>
      <c r="F36" s="9">
        <v>2866</v>
      </c>
      <c r="G36" s="9">
        <v>756624</v>
      </c>
      <c r="H36" s="9">
        <v>1401240</v>
      </c>
      <c r="I36" s="9">
        <v>599781</v>
      </c>
      <c r="J36" s="9">
        <v>44835</v>
      </c>
      <c r="K36" s="8">
        <v>1126807.32</v>
      </c>
      <c r="N36" t="s">
        <v>1688</v>
      </c>
      <c r="O36" t="s">
        <v>1689</v>
      </c>
    </row>
    <row r="37" spans="2:15" x14ac:dyDescent="0.2">
      <c r="B37" s="5" t="s">
        <v>614</v>
      </c>
      <c r="C37" s="5" t="s">
        <v>1463</v>
      </c>
      <c r="D37" s="5">
        <v>2023</v>
      </c>
      <c r="E37" s="9">
        <v>15</v>
      </c>
      <c r="F37" s="9">
        <v>3251</v>
      </c>
      <c r="G37" s="9">
        <v>585180</v>
      </c>
      <c r="H37" s="9">
        <v>1023984</v>
      </c>
      <c r="I37" s="9">
        <v>676255</v>
      </c>
      <c r="J37" s="9">
        <v>-237451</v>
      </c>
      <c r="K37" s="8">
        <v>599356.4</v>
      </c>
      <c r="N37" t="s">
        <v>1690</v>
      </c>
      <c r="O37" t="s">
        <v>1691</v>
      </c>
    </row>
    <row r="38" spans="2:15" x14ac:dyDescent="0.2">
      <c r="B38" s="5" t="s">
        <v>614</v>
      </c>
      <c r="C38" s="5" t="s">
        <v>1463</v>
      </c>
      <c r="D38" s="5">
        <v>2024</v>
      </c>
      <c r="E38" s="9">
        <v>10</v>
      </c>
      <c r="F38" s="9">
        <v>3475</v>
      </c>
      <c r="G38" s="9">
        <v>417000</v>
      </c>
      <c r="H38" s="9">
        <v>970809</v>
      </c>
      <c r="I38" s="9">
        <v>508399</v>
      </c>
      <c r="J38" s="9">
        <v>45410</v>
      </c>
      <c r="K38" s="8">
        <v>641720</v>
      </c>
      <c r="N38" t="s">
        <v>1692</v>
      </c>
      <c r="O38" t="s">
        <v>1693</v>
      </c>
    </row>
    <row r="39" spans="2:15" x14ac:dyDescent="0.2">
      <c r="B39" s="5" t="s">
        <v>298</v>
      </c>
      <c r="C39" s="5" t="s">
        <v>1481</v>
      </c>
      <c r="D39" s="5">
        <v>2019</v>
      </c>
      <c r="E39" s="9">
        <v>37</v>
      </c>
      <c r="F39" s="9">
        <v>2524</v>
      </c>
      <c r="G39" s="9">
        <v>1120656</v>
      </c>
      <c r="H39" s="9">
        <v>2788993</v>
      </c>
      <c r="I39" s="9">
        <v>1474621</v>
      </c>
      <c r="J39" s="9">
        <v>193716</v>
      </c>
      <c r="K39" s="8">
        <v>1796254.08</v>
      </c>
      <c r="N39" t="s">
        <v>1694</v>
      </c>
      <c r="O39" t="s">
        <v>1695</v>
      </c>
    </row>
    <row r="40" spans="2:15" x14ac:dyDescent="0.2">
      <c r="B40" s="5" t="s">
        <v>298</v>
      </c>
      <c r="C40" s="5" t="s">
        <v>1481</v>
      </c>
      <c r="D40" s="5">
        <v>2020</v>
      </c>
      <c r="E40" s="9">
        <v>34</v>
      </c>
      <c r="F40" s="9">
        <v>2480</v>
      </c>
      <c r="G40" s="9">
        <v>1011840</v>
      </c>
      <c r="H40" s="9">
        <v>2555815</v>
      </c>
      <c r="I40" s="9">
        <v>1297344</v>
      </c>
      <c r="J40" s="9">
        <v>246631</v>
      </c>
      <c r="K40" s="8">
        <v>1693562.2</v>
      </c>
      <c r="N40" t="s">
        <v>1696</v>
      </c>
      <c r="O40" t="s">
        <v>1697</v>
      </c>
    </row>
    <row r="41" spans="2:15" x14ac:dyDescent="0.2">
      <c r="B41" s="5" t="s">
        <v>298</v>
      </c>
      <c r="C41" s="5" t="s">
        <v>1481</v>
      </c>
      <c r="D41" s="5">
        <v>2021</v>
      </c>
      <c r="E41" s="9">
        <v>40</v>
      </c>
      <c r="F41" s="9">
        <v>2666</v>
      </c>
      <c r="G41" s="9">
        <v>1279680</v>
      </c>
      <c r="H41" s="9">
        <v>3502499</v>
      </c>
      <c r="I41" s="9">
        <v>1927907</v>
      </c>
      <c r="J41" s="9">
        <v>294912</v>
      </c>
      <c r="K41" s="8">
        <v>2124854.4</v>
      </c>
      <c r="N41" t="s">
        <v>1698</v>
      </c>
      <c r="O41" t="s">
        <v>1699</v>
      </c>
    </row>
    <row r="42" spans="2:15" x14ac:dyDescent="0.2">
      <c r="B42" s="5" t="s">
        <v>298</v>
      </c>
      <c r="C42" s="5" t="s">
        <v>1481</v>
      </c>
      <c r="D42" s="5">
        <v>2022</v>
      </c>
      <c r="E42" s="9">
        <v>40</v>
      </c>
      <c r="F42" s="9">
        <v>2813</v>
      </c>
      <c r="G42" s="9">
        <v>1350240</v>
      </c>
      <c r="H42" s="9">
        <v>3936974</v>
      </c>
      <c r="I42" s="9">
        <v>2316948</v>
      </c>
      <c r="J42" s="9">
        <v>269786</v>
      </c>
      <c r="K42" s="8">
        <v>2200629.2000000002</v>
      </c>
    </row>
    <row r="43" spans="2:15" x14ac:dyDescent="0.2">
      <c r="B43" s="5" t="s">
        <v>298</v>
      </c>
      <c r="C43" s="5" t="s">
        <v>1481</v>
      </c>
      <c r="D43" s="5">
        <v>2023</v>
      </c>
      <c r="E43" s="9">
        <v>42</v>
      </c>
      <c r="F43" s="9">
        <v>3112</v>
      </c>
      <c r="G43" s="9">
        <v>1568448</v>
      </c>
      <c r="H43" s="9">
        <v>4517735</v>
      </c>
      <c r="I43" s="9">
        <v>2632438</v>
      </c>
      <c r="J43" s="9">
        <v>316849</v>
      </c>
      <c r="K43" s="8">
        <v>2559729.64</v>
      </c>
    </row>
    <row r="44" spans="2:15" x14ac:dyDescent="0.2">
      <c r="B44" s="5" t="s">
        <v>298</v>
      </c>
      <c r="C44" s="5" t="s">
        <v>1481</v>
      </c>
      <c r="D44" s="5">
        <v>2024</v>
      </c>
      <c r="E44" s="9">
        <v>44</v>
      </c>
      <c r="F44" s="9">
        <v>3463</v>
      </c>
      <c r="G44" s="9">
        <v>1828464</v>
      </c>
      <c r="H44" s="9">
        <v>5231622</v>
      </c>
      <c r="I44" s="9">
        <v>3073996</v>
      </c>
      <c r="J44" s="9">
        <v>329162</v>
      </c>
      <c r="K44" s="8">
        <v>2943865.52</v>
      </c>
    </row>
    <row r="45" spans="2:15" x14ac:dyDescent="0.2">
      <c r="B45" s="5" t="s">
        <v>924</v>
      </c>
      <c r="C45" s="5" t="s">
        <v>1501</v>
      </c>
      <c r="D45" s="5">
        <v>2019</v>
      </c>
      <c r="E45" s="9">
        <v>1</v>
      </c>
      <c r="F45" s="9"/>
      <c r="G45" s="9"/>
      <c r="H45" s="9">
        <v>22054</v>
      </c>
      <c r="I45" s="9">
        <v>0</v>
      </c>
      <c r="J45" s="9">
        <v>467</v>
      </c>
      <c r="K45" s="8">
        <v>22054</v>
      </c>
    </row>
    <row r="46" spans="2:15" x14ac:dyDescent="0.2">
      <c r="B46" s="5" t="s">
        <v>924</v>
      </c>
      <c r="C46" s="5" t="s">
        <v>1501</v>
      </c>
      <c r="D46" s="5">
        <v>2020</v>
      </c>
      <c r="E46" s="9">
        <v>1</v>
      </c>
      <c r="F46" s="9"/>
      <c r="G46" s="9"/>
      <c r="H46" s="9">
        <v>17953</v>
      </c>
      <c r="I46" s="9">
        <v>0</v>
      </c>
      <c r="J46" s="9">
        <v>1177</v>
      </c>
      <c r="K46" s="8">
        <v>17953</v>
      </c>
    </row>
    <row r="47" spans="2:15" x14ac:dyDescent="0.2">
      <c r="B47" s="5" t="s">
        <v>924</v>
      </c>
      <c r="C47" s="5" t="s">
        <v>1501</v>
      </c>
      <c r="D47" s="5">
        <v>2021</v>
      </c>
      <c r="E47" s="9">
        <v>1</v>
      </c>
      <c r="F47" s="9"/>
      <c r="G47" s="9"/>
      <c r="H47" s="9">
        <v>31688</v>
      </c>
      <c r="I47" s="9">
        <v>0</v>
      </c>
      <c r="J47" s="9">
        <v>1376</v>
      </c>
      <c r="K47" s="8">
        <v>31688</v>
      </c>
    </row>
    <row r="48" spans="2:15" x14ac:dyDescent="0.2">
      <c r="B48" s="5" t="s">
        <v>924</v>
      </c>
      <c r="C48" s="5" t="s">
        <v>1501</v>
      </c>
      <c r="D48" s="5">
        <v>2022</v>
      </c>
      <c r="E48" s="9">
        <v>1</v>
      </c>
      <c r="F48" s="9"/>
      <c r="G48" s="9"/>
      <c r="H48" s="9">
        <v>64112</v>
      </c>
      <c r="I48" s="9">
        <v>0</v>
      </c>
      <c r="J48" s="9">
        <v>1818</v>
      </c>
      <c r="K48" s="8">
        <v>64112</v>
      </c>
    </row>
    <row r="49" spans="2:11" x14ac:dyDescent="0.2">
      <c r="B49" s="5" t="s">
        <v>924</v>
      </c>
      <c r="C49" s="5" t="s">
        <v>1501</v>
      </c>
      <c r="D49" s="5">
        <v>2023</v>
      </c>
      <c r="E49" s="9">
        <v>1</v>
      </c>
      <c r="F49" s="9"/>
      <c r="G49" s="9"/>
      <c r="H49" s="9">
        <v>50177</v>
      </c>
      <c r="I49" s="9">
        <v>0</v>
      </c>
      <c r="J49" s="9">
        <v>2050</v>
      </c>
      <c r="K49" s="8">
        <v>50177</v>
      </c>
    </row>
    <row r="50" spans="2:11" x14ac:dyDescent="0.2">
      <c r="B50" s="5" t="s">
        <v>924</v>
      </c>
      <c r="C50" s="5" t="s">
        <v>1501</v>
      </c>
      <c r="D50" s="5">
        <v>2024</v>
      </c>
      <c r="E50" s="9">
        <v>1</v>
      </c>
      <c r="F50" s="9"/>
      <c r="G50" s="9"/>
      <c r="H50" s="9">
        <v>41486</v>
      </c>
      <c r="I50" s="9">
        <v>0</v>
      </c>
      <c r="J50" s="9">
        <v>436</v>
      </c>
      <c r="K50" s="8">
        <v>41486</v>
      </c>
    </row>
    <row r="51" spans="2:11" x14ac:dyDescent="0.2">
      <c r="B51" s="5" t="s">
        <v>762</v>
      </c>
      <c r="C51" s="5" t="s">
        <v>1510</v>
      </c>
      <c r="D51" s="5">
        <v>2019</v>
      </c>
      <c r="E51" s="9">
        <v>5</v>
      </c>
      <c r="F51" s="9">
        <v>1572</v>
      </c>
      <c r="G51" s="9">
        <v>94320</v>
      </c>
      <c r="H51" s="9">
        <v>135593</v>
      </c>
      <c r="I51" s="9">
        <v>28601</v>
      </c>
      <c r="J51" s="9">
        <v>12672</v>
      </c>
      <c r="K51" s="8">
        <v>147549.6</v>
      </c>
    </row>
    <row r="52" spans="2:11" x14ac:dyDescent="0.2">
      <c r="B52" s="5" t="s">
        <v>762</v>
      </c>
      <c r="C52" s="5" t="s">
        <v>1510</v>
      </c>
      <c r="D52" s="5">
        <v>2020</v>
      </c>
      <c r="E52" s="9">
        <v>3</v>
      </c>
      <c r="F52" s="9">
        <v>2349</v>
      </c>
      <c r="G52" s="9">
        <v>84564</v>
      </c>
      <c r="H52" s="9">
        <v>140132</v>
      </c>
      <c r="I52" s="9">
        <v>54835</v>
      </c>
      <c r="J52" s="9">
        <v>733</v>
      </c>
      <c r="K52" s="8">
        <v>121659.51999999999</v>
      </c>
    </row>
    <row r="53" spans="2:11" x14ac:dyDescent="0.2">
      <c r="B53" s="5" t="s">
        <v>762</v>
      </c>
      <c r="C53" s="5" t="s">
        <v>1510</v>
      </c>
      <c r="D53" s="5">
        <v>2021</v>
      </c>
      <c r="E53" s="9">
        <v>4</v>
      </c>
      <c r="F53" s="9">
        <v>2364</v>
      </c>
      <c r="G53" s="9">
        <v>113472</v>
      </c>
      <c r="H53" s="9">
        <v>204229</v>
      </c>
      <c r="I53" s="9">
        <v>85102</v>
      </c>
      <c r="J53" s="9">
        <v>5655</v>
      </c>
      <c r="K53" s="8">
        <v>167919.96</v>
      </c>
    </row>
    <row r="54" spans="2:11" x14ac:dyDescent="0.2">
      <c r="B54" s="5" t="s">
        <v>762</v>
      </c>
      <c r="C54" s="5" t="s">
        <v>1510</v>
      </c>
      <c r="D54" s="5">
        <v>2022</v>
      </c>
      <c r="E54" s="9">
        <v>5</v>
      </c>
      <c r="F54" s="9">
        <v>1821</v>
      </c>
      <c r="G54" s="9">
        <v>109260</v>
      </c>
      <c r="H54" s="9">
        <v>308709</v>
      </c>
      <c r="I54" s="9">
        <v>199497</v>
      </c>
      <c r="J54" s="9">
        <v>-48</v>
      </c>
      <c r="K54" s="8">
        <v>156193.79999999999</v>
      </c>
    </row>
    <row r="55" spans="2:11" x14ac:dyDescent="0.2">
      <c r="B55" s="5" t="s">
        <v>762</v>
      </c>
      <c r="C55" s="5" t="s">
        <v>1510</v>
      </c>
      <c r="D55" s="5">
        <v>2023</v>
      </c>
      <c r="E55" s="9">
        <v>6</v>
      </c>
      <c r="F55" s="9">
        <v>2005</v>
      </c>
      <c r="G55" s="9">
        <v>144360</v>
      </c>
      <c r="H55" s="9">
        <v>463961</v>
      </c>
      <c r="I55" s="9">
        <v>318297</v>
      </c>
      <c r="J55" s="9">
        <v>1304</v>
      </c>
      <c r="K55" s="8">
        <v>207738.8</v>
      </c>
    </row>
    <row r="56" spans="2:11" x14ac:dyDescent="0.2">
      <c r="B56" s="5" t="s">
        <v>762</v>
      </c>
      <c r="C56" s="5" t="s">
        <v>1510</v>
      </c>
      <c r="D56" s="5">
        <v>2024</v>
      </c>
      <c r="E56" s="9">
        <v>3</v>
      </c>
      <c r="F56" s="9">
        <v>2055</v>
      </c>
      <c r="G56" s="9">
        <v>73980</v>
      </c>
      <c r="H56" s="9">
        <v>339411</v>
      </c>
      <c r="I56" s="9">
        <v>264642</v>
      </c>
      <c r="J56" s="9">
        <v>789</v>
      </c>
      <c r="K56" s="8">
        <v>106580.4</v>
      </c>
    </row>
    <row r="57" spans="2:11" x14ac:dyDescent="0.2">
      <c r="B57" s="5" t="s">
        <v>1535</v>
      </c>
      <c r="C57" t="s">
        <v>1536</v>
      </c>
      <c r="D57">
        <v>2019</v>
      </c>
      <c r="E57" s="9">
        <v>7</v>
      </c>
      <c r="F57" s="9">
        <v>2072</v>
      </c>
      <c r="G57" s="9">
        <v>174048</v>
      </c>
      <c r="H57" s="9">
        <v>320551</v>
      </c>
      <c r="I57" s="9">
        <v>194407</v>
      </c>
      <c r="J57" s="9">
        <v>-47904</v>
      </c>
      <c r="K57" s="8">
        <v>200984.64</v>
      </c>
    </row>
    <row r="58" spans="2:11" x14ac:dyDescent="0.2">
      <c r="B58" s="5" t="s">
        <v>1535</v>
      </c>
      <c r="C58" t="s">
        <v>1536</v>
      </c>
      <c r="D58">
        <v>2020</v>
      </c>
      <c r="E58" s="9">
        <v>3</v>
      </c>
      <c r="F58" s="9">
        <v>0</v>
      </c>
      <c r="G58" s="9">
        <v>0</v>
      </c>
      <c r="H58" s="9">
        <v>379917</v>
      </c>
      <c r="I58" s="9">
        <v>0</v>
      </c>
      <c r="J58" s="9">
        <v>31094</v>
      </c>
      <c r="K58" s="8">
        <v>379917</v>
      </c>
    </row>
    <row r="59" spans="2:11" x14ac:dyDescent="0.2">
      <c r="B59" s="5" t="s">
        <v>1535</v>
      </c>
      <c r="C59" t="s">
        <v>1536</v>
      </c>
      <c r="D59">
        <v>2021</v>
      </c>
      <c r="E59" s="9">
        <v>4</v>
      </c>
      <c r="F59" s="9">
        <v>2520</v>
      </c>
      <c r="G59" s="9">
        <v>120960</v>
      </c>
      <c r="H59" s="9">
        <v>299630</v>
      </c>
      <c r="I59" s="9">
        <v>163553</v>
      </c>
      <c r="J59" s="9">
        <v>15117</v>
      </c>
      <c r="K59" s="8">
        <v>188089.8</v>
      </c>
    </row>
    <row r="60" spans="2:11" x14ac:dyDescent="0.2">
      <c r="B60" s="5" t="s">
        <v>1535</v>
      </c>
      <c r="C60" t="s">
        <v>1536</v>
      </c>
      <c r="D60">
        <v>2022</v>
      </c>
      <c r="E60" s="9">
        <v>5</v>
      </c>
      <c r="F60" s="9">
        <v>2431</v>
      </c>
      <c r="G60" s="9">
        <v>145860</v>
      </c>
      <c r="H60" s="9">
        <v>276081</v>
      </c>
      <c r="I60" s="9">
        <v>139105</v>
      </c>
      <c r="J60" s="9">
        <v>-8884</v>
      </c>
      <c r="K60" s="8">
        <v>199695.8</v>
      </c>
    </row>
    <row r="61" spans="2:11" x14ac:dyDescent="0.2">
      <c r="B61" s="5" t="s">
        <v>1535</v>
      </c>
      <c r="C61" t="s">
        <v>1536</v>
      </c>
      <c r="D61">
        <v>2023</v>
      </c>
      <c r="E61" s="9">
        <v>5</v>
      </c>
      <c r="F61" s="9">
        <v>2207</v>
      </c>
      <c r="G61" s="9">
        <v>132420</v>
      </c>
      <c r="H61" s="9">
        <v>294768</v>
      </c>
      <c r="I61" s="9">
        <v>131488</v>
      </c>
      <c r="J61" s="9">
        <v>30860</v>
      </c>
      <c r="K61" s="8">
        <v>220220.6</v>
      </c>
    </row>
    <row r="62" spans="2:11" x14ac:dyDescent="0.2">
      <c r="B62" s="5" t="s">
        <v>1535</v>
      </c>
      <c r="C62" t="s">
        <v>1536</v>
      </c>
      <c r="D62">
        <v>2024</v>
      </c>
      <c r="E62" s="9">
        <v>5</v>
      </c>
      <c r="F62" s="9">
        <v>2277</v>
      </c>
      <c r="G62" s="9">
        <v>136620</v>
      </c>
      <c r="H62" s="9">
        <v>299800</v>
      </c>
      <c r="I62" s="9">
        <v>150893</v>
      </c>
      <c r="J62" s="9">
        <v>12287</v>
      </c>
      <c r="K62" s="8">
        <v>207653.6</v>
      </c>
    </row>
    <row r="63" spans="2:11" x14ac:dyDescent="0.2">
      <c r="B63" s="5" t="s">
        <v>1045</v>
      </c>
      <c r="C63" s="5" t="s">
        <v>1572</v>
      </c>
      <c r="D63" s="5">
        <v>2019</v>
      </c>
      <c r="E63" s="9">
        <v>17</v>
      </c>
      <c r="F63" s="9">
        <v>1294</v>
      </c>
      <c r="G63" s="9">
        <v>263976</v>
      </c>
      <c r="H63" s="9">
        <v>1122291</v>
      </c>
      <c r="I63" s="9">
        <v>840955</v>
      </c>
      <c r="J63" s="9">
        <v>17360</v>
      </c>
      <c r="K63" s="8">
        <v>394845.68</v>
      </c>
    </row>
    <row r="64" spans="2:11" x14ac:dyDescent="0.2">
      <c r="B64" s="5" t="s">
        <v>1045</v>
      </c>
      <c r="C64" s="5" t="s">
        <v>1572</v>
      </c>
      <c r="D64" s="5">
        <v>2020</v>
      </c>
      <c r="E64" s="9">
        <v>17</v>
      </c>
      <c r="F64" s="9">
        <v>1444</v>
      </c>
      <c r="G64" s="9">
        <v>294576</v>
      </c>
      <c r="H64" s="9">
        <v>1618920</v>
      </c>
      <c r="I64" s="9">
        <v>1289776</v>
      </c>
      <c r="J64" s="9">
        <v>34568</v>
      </c>
      <c r="K64" s="8">
        <v>455811.68</v>
      </c>
    </row>
    <row r="65" spans="2:11" x14ac:dyDescent="0.2">
      <c r="B65" s="5" t="s">
        <v>1045</v>
      </c>
      <c r="C65" s="5" t="s">
        <v>1572</v>
      </c>
      <c r="D65" s="5">
        <v>2021</v>
      </c>
      <c r="E65" s="9">
        <v>19</v>
      </c>
      <c r="F65" s="9">
        <v>1588</v>
      </c>
      <c r="G65" s="9">
        <v>362064</v>
      </c>
      <c r="H65" s="9">
        <v>1476904</v>
      </c>
      <c r="I65" s="9">
        <v>1092461</v>
      </c>
      <c r="J65" s="9">
        <v>22379</v>
      </c>
      <c r="K65" s="8">
        <v>540130.52</v>
      </c>
    </row>
    <row r="66" spans="2:11" x14ac:dyDescent="0.2">
      <c r="B66" s="5" t="s">
        <v>1045</v>
      </c>
      <c r="C66" s="5" t="s">
        <v>1572</v>
      </c>
      <c r="D66" s="5">
        <v>2022</v>
      </c>
      <c r="E66" s="9">
        <v>20</v>
      </c>
      <c r="F66" s="9">
        <v>1811</v>
      </c>
      <c r="G66" s="9">
        <v>434640</v>
      </c>
      <c r="H66" s="9">
        <v>2039056</v>
      </c>
      <c r="I66" s="9">
        <v>1581977</v>
      </c>
      <c r="J66" s="9">
        <v>22439</v>
      </c>
      <c r="K66" s="8">
        <v>643974.19999999995</v>
      </c>
    </row>
    <row r="67" spans="2:11" x14ac:dyDescent="0.2">
      <c r="B67" s="5" t="s">
        <v>1045</v>
      </c>
      <c r="C67" s="5" t="s">
        <v>1572</v>
      </c>
      <c r="D67" s="5">
        <v>2023</v>
      </c>
      <c r="E67" s="9">
        <v>21</v>
      </c>
      <c r="F67" s="9">
        <v>1954</v>
      </c>
      <c r="G67" s="9">
        <v>492408</v>
      </c>
      <c r="H67" s="9">
        <v>2020450</v>
      </c>
      <c r="I67" s="9">
        <v>1497882</v>
      </c>
      <c r="J67" s="9">
        <v>30160</v>
      </c>
      <c r="K67" s="8">
        <v>734303.44</v>
      </c>
    </row>
    <row r="68" spans="2:11" x14ac:dyDescent="0.2">
      <c r="B68" s="5" t="s">
        <v>1045</v>
      </c>
      <c r="C68" s="5" t="s">
        <v>1572</v>
      </c>
      <c r="D68" s="5">
        <v>2024</v>
      </c>
      <c r="E68" s="9">
        <v>20</v>
      </c>
      <c r="F68" s="9">
        <v>2318</v>
      </c>
      <c r="G68" s="9">
        <v>556320</v>
      </c>
      <c r="H68" s="20">
        <v>1696197</v>
      </c>
      <c r="I68" s="9">
        <v>1204896</v>
      </c>
      <c r="J68" s="9">
        <v>-65019</v>
      </c>
      <c r="K68" s="8">
        <v>730518.6</v>
      </c>
    </row>
    <row r="69" spans="2:11" x14ac:dyDescent="0.2">
      <c r="B69" s="5" t="s">
        <v>1576</v>
      </c>
      <c r="C69" s="5" t="s">
        <v>1577</v>
      </c>
      <c r="D69" s="5">
        <v>2019</v>
      </c>
      <c r="E69" s="9">
        <v>16</v>
      </c>
      <c r="F69" s="9">
        <v>1952</v>
      </c>
      <c r="G69" s="9">
        <v>374784</v>
      </c>
      <c r="H69" s="9">
        <v>1642462</v>
      </c>
      <c r="I69" s="9">
        <v>1261910</v>
      </c>
      <c r="J69" s="9">
        <v>5768</v>
      </c>
      <c r="K69" s="8">
        <v>541709.12</v>
      </c>
    </row>
    <row r="70" spans="2:11" x14ac:dyDescent="0.2">
      <c r="B70" s="5" t="s">
        <v>1576</v>
      </c>
      <c r="C70" s="5" t="s">
        <v>1577</v>
      </c>
      <c r="D70" s="5">
        <v>2020</v>
      </c>
      <c r="E70" s="9">
        <v>19</v>
      </c>
      <c r="F70" s="9">
        <v>1803</v>
      </c>
      <c r="G70" s="9">
        <v>411084</v>
      </c>
      <c r="H70" s="9">
        <v>2170995</v>
      </c>
      <c r="I70" s="9">
        <v>1754931</v>
      </c>
      <c r="J70" s="9">
        <v>4980</v>
      </c>
      <c r="K70" s="8">
        <v>592830.12</v>
      </c>
    </row>
    <row r="71" spans="2:11" x14ac:dyDescent="0.2">
      <c r="B71" s="5" t="s">
        <v>1576</v>
      </c>
      <c r="C71" s="5" t="s">
        <v>1577</v>
      </c>
      <c r="D71" s="5">
        <v>2021</v>
      </c>
      <c r="E71" s="9">
        <v>23</v>
      </c>
      <c r="F71" s="9">
        <v>1970</v>
      </c>
      <c r="G71" s="9">
        <v>543720</v>
      </c>
      <c r="H71" s="9">
        <v>2012184</v>
      </c>
      <c r="I71" s="9">
        <v>1561683</v>
      </c>
      <c r="J71" s="9">
        <v>-93219</v>
      </c>
      <c r="K71" s="8">
        <v>684300.6</v>
      </c>
    </row>
    <row r="72" spans="2:11" x14ac:dyDescent="0.2">
      <c r="B72" s="5" t="s">
        <v>1576</v>
      </c>
      <c r="C72" s="5" t="s">
        <v>1577</v>
      </c>
      <c r="D72" s="5">
        <v>2022</v>
      </c>
      <c r="E72" s="9">
        <v>26</v>
      </c>
      <c r="F72" s="9">
        <v>2512</v>
      </c>
      <c r="G72" s="9">
        <v>783744</v>
      </c>
      <c r="H72" s="9">
        <v>2854292</v>
      </c>
      <c r="I72" s="9">
        <v>2002418</v>
      </c>
      <c r="J72" s="9">
        <v>68130</v>
      </c>
      <c r="K72" s="8">
        <v>1188883.92</v>
      </c>
    </row>
    <row r="73" spans="2:11" x14ac:dyDescent="0.2">
      <c r="B73" s="5" t="s">
        <v>1576</v>
      </c>
      <c r="C73" s="5" t="s">
        <v>1577</v>
      </c>
      <c r="D73" s="5">
        <v>2023</v>
      </c>
      <c r="E73" s="9">
        <v>27</v>
      </c>
      <c r="F73" s="9">
        <v>2995</v>
      </c>
      <c r="G73" s="9">
        <v>970380</v>
      </c>
      <c r="H73" s="9">
        <v>3034911</v>
      </c>
      <c r="I73" s="9">
        <v>2095205</v>
      </c>
      <c r="J73" s="9">
        <v>-30674</v>
      </c>
      <c r="K73" s="8">
        <v>1356969.4</v>
      </c>
    </row>
    <row r="74" spans="2:11" x14ac:dyDescent="0.2">
      <c r="B74" s="5" t="s">
        <v>1576</v>
      </c>
      <c r="C74" s="5" t="s">
        <v>1577</v>
      </c>
      <c r="D74" s="5">
        <v>2024</v>
      </c>
      <c r="E74" s="9">
        <v>25</v>
      </c>
      <c r="F74" s="9">
        <v>3105</v>
      </c>
      <c r="G74" s="9">
        <v>931500</v>
      </c>
      <c r="H74" s="9">
        <v>3272793</v>
      </c>
      <c r="I74" s="9">
        <v>2310733</v>
      </c>
      <c r="J74" s="9">
        <v>30560</v>
      </c>
      <c r="K74" s="8">
        <v>1362605</v>
      </c>
    </row>
    <row r="75" spans="2:11" x14ac:dyDescent="0.2">
      <c r="B75" s="5" t="s">
        <v>420</v>
      </c>
      <c r="C75" s="5" t="s">
        <v>1581</v>
      </c>
      <c r="D75" s="5">
        <v>2019</v>
      </c>
      <c r="E75" s="9">
        <v>13</v>
      </c>
      <c r="F75" s="9">
        <v>1427</v>
      </c>
      <c r="G75" s="9">
        <v>222612</v>
      </c>
      <c r="H75" s="9">
        <v>2461430</v>
      </c>
      <c r="I75" s="9">
        <v>2120354</v>
      </c>
      <c r="J75" s="9">
        <v>118464</v>
      </c>
      <c r="K75" s="8">
        <v>436799.16000000003</v>
      </c>
    </row>
    <row r="76" spans="2:11" x14ac:dyDescent="0.2">
      <c r="B76" s="5" t="s">
        <v>420</v>
      </c>
      <c r="C76" s="5" t="s">
        <v>1581</v>
      </c>
      <c r="D76" s="5">
        <v>2020</v>
      </c>
      <c r="E76" s="9">
        <v>18</v>
      </c>
      <c r="F76" s="9">
        <v>1617</v>
      </c>
      <c r="G76" s="9">
        <v>349272</v>
      </c>
      <c r="H76" s="9">
        <v>2095356</v>
      </c>
      <c r="I76" s="9">
        <v>1643739</v>
      </c>
      <c r="J76" s="9">
        <v>102345</v>
      </c>
      <c r="K76" s="8">
        <v>601803.96</v>
      </c>
    </row>
    <row r="77" spans="2:11" x14ac:dyDescent="0.2">
      <c r="B77" s="5" t="s">
        <v>420</v>
      </c>
      <c r="C77" s="5" t="s">
        <v>1581</v>
      </c>
      <c r="D77" s="5">
        <v>2021</v>
      </c>
      <c r="E77" s="9">
        <v>30</v>
      </c>
      <c r="F77" s="9">
        <v>2218</v>
      </c>
      <c r="G77" s="9">
        <v>798480</v>
      </c>
      <c r="H77" s="9">
        <v>3406485</v>
      </c>
      <c r="I77" s="9">
        <v>2382772</v>
      </c>
      <c r="J77" s="9">
        <v>225233</v>
      </c>
      <c r="K77" s="8">
        <v>1367059.4</v>
      </c>
    </row>
    <row r="78" spans="2:11" x14ac:dyDescent="0.2">
      <c r="B78" s="5" t="s">
        <v>420</v>
      </c>
      <c r="C78" s="5" t="s">
        <v>1581</v>
      </c>
      <c r="D78" s="5">
        <v>2022</v>
      </c>
      <c r="E78" s="9">
        <v>35</v>
      </c>
      <c r="F78" s="9">
        <v>2630</v>
      </c>
      <c r="G78" s="9">
        <v>1104600</v>
      </c>
      <c r="H78" s="9">
        <v>3253190</v>
      </c>
      <c r="I78" s="9">
        <v>2017865</v>
      </c>
      <c r="J78" s="9">
        <v>130725</v>
      </c>
      <c r="K78" s="8">
        <v>1710303</v>
      </c>
    </row>
    <row r="79" spans="2:11" x14ac:dyDescent="0.2">
      <c r="B79" s="5" t="s">
        <v>420</v>
      </c>
      <c r="C79" s="5" t="s">
        <v>1581</v>
      </c>
      <c r="D79" s="5">
        <v>2023</v>
      </c>
      <c r="E79" s="9">
        <v>37</v>
      </c>
      <c r="F79" s="9">
        <v>3213</v>
      </c>
      <c r="G79" s="9">
        <v>1426572</v>
      </c>
      <c r="H79" s="9">
        <v>4214370</v>
      </c>
      <c r="I79" s="9">
        <v>2736804</v>
      </c>
      <c r="J79" s="9">
        <v>50994</v>
      </c>
      <c r="K79" s="8">
        <v>2090991.96</v>
      </c>
    </row>
    <row r="80" spans="2:11" x14ac:dyDescent="0.2">
      <c r="B80" s="5" t="s">
        <v>420</v>
      </c>
      <c r="C80" s="5" t="s">
        <v>1581</v>
      </c>
      <c r="D80" s="5">
        <v>2024</v>
      </c>
      <c r="E80" s="9">
        <v>35</v>
      </c>
      <c r="F80" s="9">
        <v>3248</v>
      </c>
      <c r="G80" s="9">
        <v>1364160</v>
      </c>
      <c r="H80" s="9">
        <v>3158150</v>
      </c>
      <c r="I80" s="9">
        <v>1867507</v>
      </c>
      <c r="J80" s="9">
        <v>-73517</v>
      </c>
      <c r="K80" s="8">
        <v>1877231.8</v>
      </c>
    </row>
    <row r="81" spans="2:11" x14ac:dyDescent="0.2">
      <c r="B81" s="5" t="s">
        <v>1603</v>
      </c>
      <c r="C81" s="5" t="s">
        <v>1728</v>
      </c>
      <c r="D81" s="5">
        <v>2019</v>
      </c>
      <c r="E81" s="9">
        <v>17</v>
      </c>
      <c r="F81" s="9">
        <v>1300</v>
      </c>
      <c r="G81" s="9">
        <v>265200</v>
      </c>
      <c r="H81" s="9">
        <v>595599</v>
      </c>
      <c r="I81" s="9">
        <v>294682</v>
      </c>
      <c r="J81" s="9">
        <v>35717</v>
      </c>
      <c r="K81" s="8">
        <v>414953</v>
      </c>
    </row>
    <row r="82" spans="2:11" x14ac:dyDescent="0.2">
      <c r="B82" s="5" t="s">
        <v>1603</v>
      </c>
      <c r="C82" s="5" t="s">
        <v>1728</v>
      </c>
      <c r="D82" s="5">
        <v>2020</v>
      </c>
      <c r="E82" s="9">
        <v>15</v>
      </c>
      <c r="F82" s="9">
        <v>1249</v>
      </c>
      <c r="G82" s="9">
        <v>224820</v>
      </c>
      <c r="H82" s="9">
        <v>561515</v>
      </c>
      <c r="I82" s="9">
        <v>233291</v>
      </c>
      <c r="J82" s="9">
        <v>103404</v>
      </c>
      <c r="K82" s="8">
        <v>424896.6</v>
      </c>
    </row>
    <row r="83" spans="2:11" x14ac:dyDescent="0.2">
      <c r="B83" s="5" t="s">
        <v>1603</v>
      </c>
      <c r="C83" s="5" t="s">
        <v>1728</v>
      </c>
      <c r="D83" s="5">
        <v>2021</v>
      </c>
      <c r="E83" s="9">
        <v>15</v>
      </c>
      <c r="F83" s="9">
        <v>1588</v>
      </c>
      <c r="G83" s="9">
        <v>285840</v>
      </c>
      <c r="H83" s="9">
        <v>762011</v>
      </c>
      <c r="I83" s="9">
        <v>398539</v>
      </c>
      <c r="J83" s="9">
        <v>77632</v>
      </c>
      <c r="K83" s="8">
        <v>486383.2</v>
      </c>
    </row>
    <row r="84" spans="2:11" x14ac:dyDescent="0.2">
      <c r="B84" s="5" t="s">
        <v>1603</v>
      </c>
      <c r="C84" s="5" t="s">
        <v>1728</v>
      </c>
      <c r="D84" s="5">
        <v>2022</v>
      </c>
      <c r="E84" s="9">
        <v>15</v>
      </c>
      <c r="F84" s="9">
        <v>1795</v>
      </c>
      <c r="G84" s="9">
        <v>323100</v>
      </c>
      <c r="H84" s="9">
        <v>838212</v>
      </c>
      <c r="I84" s="9">
        <v>431911</v>
      </c>
      <c r="J84" s="9">
        <v>83201</v>
      </c>
      <c r="K84" s="8">
        <v>545234</v>
      </c>
    </row>
    <row r="85" spans="2:11" x14ac:dyDescent="0.2">
      <c r="B85" s="5" t="s">
        <v>1603</v>
      </c>
      <c r="C85" s="5" t="s">
        <v>1728</v>
      </c>
      <c r="D85" s="5">
        <v>2023</v>
      </c>
      <c r="E85" s="9">
        <v>14</v>
      </c>
      <c r="F85" s="9">
        <v>1791</v>
      </c>
      <c r="G85" s="9">
        <v>300888</v>
      </c>
      <c r="H85" s="9">
        <v>769072</v>
      </c>
      <c r="I85" s="9">
        <v>400925</v>
      </c>
      <c r="J85" s="9">
        <v>67259</v>
      </c>
      <c r="K85" s="8">
        <v>497528.83999999997</v>
      </c>
    </row>
    <row r="86" spans="2:11" x14ac:dyDescent="0.2">
      <c r="B86" s="5" t="s">
        <v>1603</v>
      </c>
      <c r="C86" s="5" t="s">
        <v>1728</v>
      </c>
      <c r="D86" s="5">
        <v>2024</v>
      </c>
      <c r="E86" s="9">
        <v>15</v>
      </c>
      <c r="F86" s="9">
        <v>1938</v>
      </c>
      <c r="G86" s="9">
        <v>348840</v>
      </c>
      <c r="H86" s="9">
        <v>835662</v>
      </c>
      <c r="I86" s="9">
        <v>431843</v>
      </c>
      <c r="J86" s="9">
        <v>54979</v>
      </c>
      <c r="K86" s="8">
        <v>553820.19999999995</v>
      </c>
    </row>
    <row r="87" spans="2:11" x14ac:dyDescent="0.2">
      <c r="B87" s="5" t="s">
        <v>318</v>
      </c>
      <c r="C87" s="5" t="s">
        <v>1620</v>
      </c>
      <c r="D87" s="5">
        <v>2019</v>
      </c>
      <c r="E87" s="9">
        <v>28</v>
      </c>
      <c r="F87" s="9">
        <v>1923</v>
      </c>
      <c r="G87" s="9">
        <v>646128</v>
      </c>
      <c r="H87" s="9">
        <v>2542792</v>
      </c>
      <c r="I87" s="9">
        <v>1666939</v>
      </c>
      <c r="J87" s="9">
        <v>229725</v>
      </c>
      <c r="K87" s="8">
        <v>1153688.04</v>
      </c>
    </row>
    <row r="88" spans="2:11" x14ac:dyDescent="0.2">
      <c r="B88" s="5" t="s">
        <v>318</v>
      </c>
      <c r="C88" s="5" t="s">
        <v>1620</v>
      </c>
      <c r="D88" s="5">
        <v>2020</v>
      </c>
      <c r="E88" s="9">
        <v>26</v>
      </c>
      <c r="F88" s="9">
        <v>2084</v>
      </c>
      <c r="G88" s="9">
        <v>650208</v>
      </c>
      <c r="H88" s="9">
        <v>2699328</v>
      </c>
      <c r="I88" s="9">
        <v>2010769</v>
      </c>
      <c r="J88" s="9">
        <v>38351</v>
      </c>
      <c r="K88" s="8">
        <v>968148.44</v>
      </c>
    </row>
    <row r="89" spans="2:11" x14ac:dyDescent="0.2">
      <c r="B89" s="5" t="s">
        <v>318</v>
      </c>
      <c r="C89" s="5" t="s">
        <v>1620</v>
      </c>
      <c r="D89" s="5">
        <v>2021</v>
      </c>
      <c r="E89" s="9">
        <v>30</v>
      </c>
      <c r="F89" s="9">
        <v>2229</v>
      </c>
      <c r="G89" s="9">
        <v>802440</v>
      </c>
      <c r="H89" s="9">
        <v>3544935</v>
      </c>
      <c r="I89" s="9">
        <v>2512159</v>
      </c>
      <c r="J89" s="9">
        <v>230336</v>
      </c>
      <c r="K89" s="8">
        <v>1377825.2</v>
      </c>
    </row>
    <row r="90" spans="2:11" x14ac:dyDescent="0.2">
      <c r="B90" s="5" t="s">
        <v>318</v>
      </c>
      <c r="C90" s="5" t="s">
        <v>1620</v>
      </c>
      <c r="D90" s="5">
        <v>2022</v>
      </c>
      <c r="E90" s="9">
        <v>43</v>
      </c>
      <c r="F90" s="9">
        <v>2748</v>
      </c>
      <c r="G90" s="9">
        <v>1417968</v>
      </c>
      <c r="H90" s="9">
        <v>5294859</v>
      </c>
      <c r="I90" s="9">
        <v>3736077</v>
      </c>
      <c r="J90" s="9">
        <v>140814</v>
      </c>
      <c r="K90" s="8">
        <v>2168508.2400000002</v>
      </c>
    </row>
    <row r="91" spans="2:11" x14ac:dyDescent="0.2">
      <c r="B91" s="5" t="s">
        <v>318</v>
      </c>
      <c r="C91" s="5" t="s">
        <v>1620</v>
      </c>
      <c r="D91" s="5">
        <v>2023</v>
      </c>
      <c r="E91" s="9">
        <v>40</v>
      </c>
      <c r="F91" s="9">
        <v>3185</v>
      </c>
      <c r="G91" s="9">
        <v>1528800</v>
      </c>
      <c r="H91" s="9">
        <v>5094797</v>
      </c>
      <c r="I91" s="9">
        <v>3485355</v>
      </c>
      <c r="J91" s="9">
        <v>80642</v>
      </c>
      <c r="K91" s="8">
        <v>2266826</v>
      </c>
    </row>
    <row r="92" spans="2:11" x14ac:dyDescent="0.2">
      <c r="B92" s="5" t="s">
        <v>318</v>
      </c>
      <c r="C92" s="5" t="s">
        <v>1620</v>
      </c>
      <c r="D92" s="5">
        <v>2024</v>
      </c>
      <c r="E92" s="9">
        <v>43</v>
      </c>
      <c r="F92" s="9">
        <v>3281</v>
      </c>
      <c r="G92" s="9">
        <v>1692996</v>
      </c>
      <c r="H92" s="9">
        <v>5026701</v>
      </c>
      <c r="I92" s="9">
        <v>3486642</v>
      </c>
      <c r="J92" s="9">
        <v>-152937</v>
      </c>
      <c r="K92" s="8">
        <v>2268047.2800000003</v>
      </c>
    </row>
    <row r="93" spans="2:11" x14ac:dyDescent="0.2">
      <c r="B93" s="5" t="s">
        <v>549</v>
      </c>
      <c r="C93" s="5" t="s">
        <v>1626</v>
      </c>
      <c r="D93" s="5">
        <v>2019</v>
      </c>
      <c r="E93" s="9">
        <v>15</v>
      </c>
      <c r="F93" s="9">
        <v>2045</v>
      </c>
      <c r="G93" s="9">
        <v>368100</v>
      </c>
      <c r="H93" s="9">
        <v>1489138</v>
      </c>
      <c r="I93" s="9">
        <v>1080274</v>
      </c>
      <c r="J93" s="9">
        <v>40764</v>
      </c>
      <c r="K93" s="8">
        <v>567147</v>
      </c>
    </row>
    <row r="94" spans="2:11" x14ac:dyDescent="0.2">
      <c r="B94" s="5" t="s">
        <v>549</v>
      </c>
      <c r="C94" s="5" t="s">
        <v>1626</v>
      </c>
      <c r="D94" s="5">
        <v>2020</v>
      </c>
      <c r="E94" s="9">
        <v>14</v>
      </c>
      <c r="F94" s="9">
        <v>1657</v>
      </c>
      <c r="G94" s="9">
        <v>278376</v>
      </c>
      <c r="H94" s="9">
        <v>924221</v>
      </c>
      <c r="I94" s="9">
        <v>614841</v>
      </c>
      <c r="J94" s="9">
        <v>31004</v>
      </c>
      <c r="K94" s="8">
        <v>429081.68</v>
      </c>
    </row>
    <row r="95" spans="2:11" x14ac:dyDescent="0.2">
      <c r="B95" s="5" t="s">
        <v>549</v>
      </c>
      <c r="C95" s="5" t="s">
        <v>1626</v>
      </c>
      <c r="D95" s="5">
        <v>2021</v>
      </c>
      <c r="E95" s="9">
        <v>15</v>
      </c>
      <c r="F95" s="9">
        <v>2046</v>
      </c>
      <c r="G95" s="9">
        <v>368280</v>
      </c>
      <c r="H95" s="9">
        <v>641943</v>
      </c>
      <c r="I95" s="9">
        <v>343272</v>
      </c>
      <c r="J95" s="9">
        <v>-69609</v>
      </c>
      <c r="K95" s="8">
        <v>457031.4</v>
      </c>
    </row>
    <row r="96" spans="2:11" x14ac:dyDescent="0.2">
      <c r="B96" s="5" t="s">
        <v>549</v>
      </c>
      <c r="C96" s="5" t="s">
        <v>1626</v>
      </c>
      <c r="D96" s="5">
        <v>2022</v>
      </c>
      <c r="E96" s="9">
        <v>16</v>
      </c>
      <c r="F96" s="9">
        <v>2269</v>
      </c>
      <c r="G96" s="9">
        <v>435648</v>
      </c>
      <c r="H96" s="9">
        <v>1895806</v>
      </c>
      <c r="I96" s="9">
        <v>1420712</v>
      </c>
      <c r="J96" s="9">
        <v>39446</v>
      </c>
      <c r="K96" s="8">
        <v>662422.64</v>
      </c>
    </row>
    <row r="97" spans="2:11" x14ac:dyDescent="0.2">
      <c r="B97" s="5" t="s">
        <v>549</v>
      </c>
      <c r="C97" s="5" t="s">
        <v>1626</v>
      </c>
      <c r="D97" s="5">
        <v>2023</v>
      </c>
      <c r="E97" s="9">
        <v>18</v>
      </c>
      <c r="F97" s="9">
        <v>2874</v>
      </c>
      <c r="G97" s="9">
        <v>620784</v>
      </c>
      <c r="H97" s="9">
        <v>1885334</v>
      </c>
      <c r="I97" s="9">
        <v>1222834</v>
      </c>
      <c r="J97" s="9">
        <v>41716</v>
      </c>
      <c r="K97" s="8">
        <v>929437.12</v>
      </c>
    </row>
    <row r="98" spans="2:11" x14ac:dyDescent="0.2">
      <c r="B98" s="5" t="s">
        <v>549</v>
      </c>
      <c r="C98" s="5" t="s">
        <v>1626</v>
      </c>
      <c r="D98" s="5">
        <v>2024</v>
      </c>
      <c r="E98" s="9">
        <v>18</v>
      </c>
      <c r="F98" s="9">
        <v>3260</v>
      </c>
      <c r="G98" s="9">
        <v>704160</v>
      </c>
      <c r="H98" s="9">
        <v>1795590</v>
      </c>
      <c r="I98" s="9">
        <v>1076698</v>
      </c>
      <c r="J98" s="9">
        <v>14732</v>
      </c>
      <c r="K98" s="8">
        <v>1021680.8</v>
      </c>
    </row>
    <row r="99" spans="2:11" x14ac:dyDescent="0.2">
      <c r="B99" s="5" t="s">
        <v>777</v>
      </c>
      <c r="C99" s="5" t="s">
        <v>1640</v>
      </c>
      <c r="D99" s="5">
        <v>2019</v>
      </c>
      <c r="E99" s="9">
        <v>8</v>
      </c>
      <c r="F99" s="9">
        <v>1348</v>
      </c>
      <c r="G99" s="9">
        <v>129408</v>
      </c>
      <c r="H99" s="9">
        <v>310625</v>
      </c>
      <c r="I99" s="9">
        <v>263493</v>
      </c>
      <c r="J99" s="9">
        <v>-82276</v>
      </c>
      <c r="K99" s="8">
        <v>102777.44</v>
      </c>
    </row>
    <row r="100" spans="2:11" x14ac:dyDescent="0.2">
      <c r="B100" s="5" t="s">
        <v>777</v>
      </c>
      <c r="C100" s="5" t="s">
        <v>1640</v>
      </c>
      <c r="D100" s="5">
        <v>2020</v>
      </c>
      <c r="E100" s="9">
        <v>7</v>
      </c>
      <c r="F100" s="9">
        <v>1361</v>
      </c>
      <c r="G100" s="9">
        <v>114324</v>
      </c>
      <c r="H100" s="9">
        <v>253884</v>
      </c>
      <c r="I100" s="9">
        <v>137079</v>
      </c>
      <c r="J100" s="9">
        <v>2481</v>
      </c>
      <c r="K100" s="8">
        <v>165964.32</v>
      </c>
    </row>
    <row r="101" spans="2:11" x14ac:dyDescent="0.2">
      <c r="B101" s="5" t="s">
        <v>777</v>
      </c>
      <c r="C101" s="5" t="s">
        <v>1640</v>
      </c>
      <c r="D101" s="5">
        <v>2021</v>
      </c>
      <c r="E101" s="9">
        <v>7</v>
      </c>
      <c r="F101" s="9">
        <v>1516</v>
      </c>
      <c r="G101" s="9">
        <v>127344</v>
      </c>
      <c r="H101" s="9">
        <v>351527</v>
      </c>
      <c r="I101" s="9">
        <v>206579</v>
      </c>
      <c r="J101" s="9">
        <v>17604</v>
      </c>
      <c r="K101" s="8">
        <v>199705.91999999998</v>
      </c>
    </row>
    <row r="102" spans="2:11" x14ac:dyDescent="0.2">
      <c r="B102" s="5" t="s">
        <v>777</v>
      </c>
      <c r="C102" s="5" t="s">
        <v>1640</v>
      </c>
      <c r="D102" s="5">
        <v>2022</v>
      </c>
      <c r="E102" s="9">
        <v>7</v>
      </c>
      <c r="F102" s="9">
        <v>1660</v>
      </c>
      <c r="G102" s="9">
        <v>139440</v>
      </c>
      <c r="H102" s="9">
        <v>322775</v>
      </c>
      <c r="I102" s="9">
        <v>191320</v>
      </c>
      <c r="J102" s="9">
        <v>-7985</v>
      </c>
      <c r="K102" s="8">
        <v>191414.2</v>
      </c>
    </row>
    <row r="103" spans="2:11" x14ac:dyDescent="0.2">
      <c r="B103" s="5" t="s">
        <v>777</v>
      </c>
      <c r="C103" s="5" t="s">
        <v>1640</v>
      </c>
      <c r="D103" s="5">
        <v>2023</v>
      </c>
      <c r="E103" s="9">
        <v>6</v>
      </c>
      <c r="F103" s="9">
        <v>1793</v>
      </c>
      <c r="G103" s="9">
        <v>129096</v>
      </c>
      <c r="H103" s="9">
        <v>684432</v>
      </c>
      <c r="I103" s="9">
        <v>496163</v>
      </c>
      <c r="J103" s="9">
        <v>59173</v>
      </c>
      <c r="K103" s="8">
        <v>243780.28</v>
      </c>
    </row>
    <row r="104" spans="2:11" x14ac:dyDescent="0.2">
      <c r="B104" s="5" t="s">
        <v>777</v>
      </c>
      <c r="C104" s="5" t="s">
        <v>1640</v>
      </c>
      <c r="D104" s="5">
        <v>2024</v>
      </c>
      <c r="E104" s="9">
        <v>6</v>
      </c>
      <c r="F104" s="9">
        <v>1977</v>
      </c>
      <c r="G104" s="9">
        <v>142344</v>
      </c>
      <c r="H104" s="9">
        <v>316507</v>
      </c>
      <c r="I104" s="9">
        <v>176396</v>
      </c>
      <c r="J104" s="9">
        <v>-2233</v>
      </c>
      <c r="K104" s="8">
        <v>201318.91999999998</v>
      </c>
    </row>
    <row r="105" spans="2:11" x14ac:dyDescent="0.2">
      <c r="B105" s="5" t="s">
        <v>1327</v>
      </c>
      <c r="C105" t="s">
        <v>1644</v>
      </c>
      <c r="D105">
        <v>2019</v>
      </c>
      <c r="E105" s="9">
        <v>17</v>
      </c>
      <c r="F105" s="9">
        <v>2079</v>
      </c>
      <c r="G105" s="9">
        <v>424116</v>
      </c>
      <c r="H105" s="9">
        <v>872145</v>
      </c>
      <c r="I105" s="9">
        <v>453930</v>
      </c>
      <c r="J105" s="9">
        <v>-5901</v>
      </c>
      <c r="K105" s="8">
        <v>600584.88</v>
      </c>
    </row>
    <row r="106" spans="2:11" x14ac:dyDescent="0.2">
      <c r="B106" s="5" t="s">
        <v>1327</v>
      </c>
      <c r="C106" t="s">
        <v>1644</v>
      </c>
      <c r="D106">
        <v>2020</v>
      </c>
      <c r="E106" s="9">
        <v>12</v>
      </c>
      <c r="F106" s="9">
        <v>1929</v>
      </c>
      <c r="G106" s="9">
        <v>277776</v>
      </c>
      <c r="H106" s="9">
        <v>1143759</v>
      </c>
      <c r="I106" s="9">
        <v>766636</v>
      </c>
      <c r="J106" s="9">
        <v>99347</v>
      </c>
      <c r="K106" s="8">
        <v>496566.68</v>
      </c>
    </row>
    <row r="107" spans="2:11" x14ac:dyDescent="0.2">
      <c r="B107" s="5" t="s">
        <v>1327</v>
      </c>
      <c r="C107" t="s">
        <v>1644</v>
      </c>
      <c r="D107">
        <v>2021</v>
      </c>
      <c r="E107" s="9">
        <v>15</v>
      </c>
      <c r="F107" s="9">
        <v>2230</v>
      </c>
      <c r="G107" s="9">
        <v>401400</v>
      </c>
      <c r="H107" s="9">
        <v>1618544</v>
      </c>
      <c r="I107" s="9">
        <v>1117923</v>
      </c>
      <c r="J107" s="9">
        <v>99221</v>
      </c>
      <c r="K107" s="8">
        <v>673223</v>
      </c>
    </row>
    <row r="108" spans="2:11" x14ac:dyDescent="0.2">
      <c r="B108" s="5" t="s">
        <v>1327</v>
      </c>
      <c r="C108" t="s">
        <v>1644</v>
      </c>
      <c r="D108">
        <v>2022</v>
      </c>
      <c r="E108" s="9">
        <v>23</v>
      </c>
      <c r="F108" s="9">
        <v>2450</v>
      </c>
      <c r="G108" s="9">
        <v>676200</v>
      </c>
      <c r="H108" s="9">
        <v>1813270</v>
      </c>
      <c r="I108" s="9">
        <v>1121781</v>
      </c>
      <c r="J108" s="9">
        <v>15289</v>
      </c>
      <c r="K108" s="8">
        <v>982255</v>
      </c>
    </row>
    <row r="109" spans="2:11" x14ac:dyDescent="0.2">
      <c r="B109" s="5" t="s">
        <v>1327</v>
      </c>
      <c r="C109" t="s">
        <v>1644</v>
      </c>
      <c r="D109">
        <v>2023</v>
      </c>
      <c r="E109" s="9">
        <v>27</v>
      </c>
      <c r="F109" s="9">
        <v>2646</v>
      </c>
      <c r="G109" s="9">
        <v>857304</v>
      </c>
      <c r="H109" s="9">
        <v>1905999</v>
      </c>
      <c r="I109" s="9">
        <v>1139697</v>
      </c>
      <c r="J109" s="9">
        <v>-91002</v>
      </c>
      <c r="K109" s="8">
        <v>1134942.72</v>
      </c>
    </row>
    <row r="110" spans="2:11" x14ac:dyDescent="0.2">
      <c r="B110" s="5" t="s">
        <v>1327</v>
      </c>
      <c r="C110" t="s">
        <v>1644</v>
      </c>
      <c r="D110">
        <v>2024</v>
      </c>
      <c r="E110" s="9">
        <v>26</v>
      </c>
      <c r="F110" s="9">
        <v>2529</v>
      </c>
      <c r="G110" s="9">
        <v>789048</v>
      </c>
      <c r="H110" s="20">
        <v>2631602</v>
      </c>
      <c r="I110" s="9">
        <v>1759902</v>
      </c>
      <c r="J110" s="9">
        <v>82652</v>
      </c>
      <c r="K110" s="8">
        <v>1210990.6400000001</v>
      </c>
    </row>
    <row r="111" spans="2:11" x14ac:dyDescent="0.2">
      <c r="B111" s="5" t="s">
        <v>1649</v>
      </c>
      <c r="C111" t="s">
        <v>1650</v>
      </c>
      <c r="D111">
        <v>2019</v>
      </c>
      <c r="E111" s="9">
        <v>11</v>
      </c>
      <c r="F111" s="9">
        <v>2115</v>
      </c>
      <c r="G111" s="9">
        <v>279180</v>
      </c>
      <c r="H111" s="9">
        <v>696612</v>
      </c>
      <c r="I111" s="9">
        <v>298546</v>
      </c>
      <c r="J111" s="9">
        <v>118886</v>
      </c>
      <c r="K111" s="8">
        <v>518113.4</v>
      </c>
    </row>
    <row r="112" spans="2:11" x14ac:dyDescent="0.2">
      <c r="B112" s="5" t="s">
        <v>1649</v>
      </c>
      <c r="C112" t="s">
        <v>1650</v>
      </c>
      <c r="D112">
        <v>2020</v>
      </c>
      <c r="E112" s="9">
        <v>11</v>
      </c>
      <c r="F112" s="9">
        <v>1562</v>
      </c>
      <c r="G112" s="9">
        <v>206184</v>
      </c>
      <c r="H112" s="9">
        <v>883128</v>
      </c>
      <c r="I112" s="9">
        <v>523145</v>
      </c>
      <c r="J112" s="9">
        <v>153799</v>
      </c>
      <c r="K112" s="8">
        <v>448642.12</v>
      </c>
    </row>
    <row r="113" spans="2:11" x14ac:dyDescent="0.2">
      <c r="B113" s="5" t="s">
        <v>1649</v>
      </c>
      <c r="C113" t="s">
        <v>1650</v>
      </c>
      <c r="D113">
        <v>2021</v>
      </c>
      <c r="E113" s="9">
        <v>14</v>
      </c>
      <c r="F113" s="9">
        <v>2120</v>
      </c>
      <c r="G113" s="9">
        <v>356160</v>
      </c>
      <c r="H113" s="9">
        <v>2308986</v>
      </c>
      <c r="I113" s="9">
        <v>1800484</v>
      </c>
      <c r="J113" s="9">
        <v>152342</v>
      </c>
      <c r="K113" s="8">
        <v>661650.80000000005</v>
      </c>
    </row>
    <row r="114" spans="2:11" x14ac:dyDescent="0.2">
      <c r="B114" s="5" t="s">
        <v>1649</v>
      </c>
      <c r="C114" t="s">
        <v>1650</v>
      </c>
      <c r="D114">
        <v>2022</v>
      </c>
      <c r="E114" s="9">
        <v>16</v>
      </c>
      <c r="F114" s="9">
        <v>2689</v>
      </c>
      <c r="G114" s="9">
        <v>516288</v>
      </c>
      <c r="H114" s="9">
        <v>3091351</v>
      </c>
      <c r="I114" s="9">
        <v>2404840</v>
      </c>
      <c r="J114" s="9">
        <v>170223</v>
      </c>
      <c r="K114" s="8">
        <v>908514.84</v>
      </c>
    </row>
    <row r="115" spans="2:11" x14ac:dyDescent="0.2">
      <c r="B115" s="5" t="s">
        <v>1649</v>
      </c>
      <c r="C115" t="s">
        <v>1650</v>
      </c>
      <c r="D115">
        <v>2023</v>
      </c>
      <c r="E115" s="9">
        <v>17</v>
      </c>
      <c r="F115" s="9">
        <v>2813</v>
      </c>
      <c r="G115" s="9">
        <v>573852</v>
      </c>
      <c r="H115" s="9">
        <v>3630118</v>
      </c>
      <c r="I115" s="9">
        <v>2871010</v>
      </c>
      <c r="J115" s="9">
        <v>185256</v>
      </c>
      <c r="K115" s="8">
        <v>1005864.36</v>
      </c>
    </row>
    <row r="116" spans="2:11" x14ac:dyDescent="0.2">
      <c r="B116" s="5" t="s">
        <v>1649</v>
      </c>
      <c r="C116" t="s">
        <v>1650</v>
      </c>
      <c r="D116">
        <v>2024</v>
      </c>
      <c r="E116" s="9">
        <v>15</v>
      </c>
      <c r="F116" s="9">
        <v>2848</v>
      </c>
      <c r="G116" s="9">
        <v>512640</v>
      </c>
      <c r="H116" s="9">
        <v>3855674</v>
      </c>
      <c r="I116" s="9">
        <v>3161705</v>
      </c>
      <c r="J116" s="9">
        <v>181329</v>
      </c>
      <c r="K116" s="8">
        <v>914404.2</v>
      </c>
    </row>
    <row r="117" spans="2:11" x14ac:dyDescent="0.2">
      <c r="B117" s="5" t="s">
        <v>165</v>
      </c>
      <c r="C117" s="5" t="s">
        <v>1677</v>
      </c>
      <c r="D117" s="5">
        <v>2019</v>
      </c>
      <c r="E117" s="9">
        <v>17</v>
      </c>
      <c r="F117" s="9">
        <v>972</v>
      </c>
      <c r="G117" s="9">
        <v>198288</v>
      </c>
      <c r="H117" s="9">
        <v>1140388</v>
      </c>
      <c r="I117" s="9">
        <v>841767</v>
      </c>
      <c r="J117" s="9">
        <v>100333</v>
      </c>
      <c r="K117" s="8">
        <v>383884.83999999997</v>
      </c>
    </row>
    <row r="118" spans="2:11" x14ac:dyDescent="0.2">
      <c r="B118" s="5" t="s">
        <v>165</v>
      </c>
      <c r="C118" s="5" t="s">
        <v>1677</v>
      </c>
      <c r="D118" s="5">
        <v>2020</v>
      </c>
      <c r="E118" s="9">
        <v>20</v>
      </c>
      <c r="F118" s="9">
        <v>1273</v>
      </c>
      <c r="G118" s="9">
        <v>305520</v>
      </c>
      <c r="H118" s="9">
        <v>1946452</v>
      </c>
      <c r="I118" s="9">
        <v>1517334</v>
      </c>
      <c r="J118" s="9">
        <v>123598</v>
      </c>
      <c r="K118" s="8">
        <v>560491.6</v>
      </c>
    </row>
    <row r="119" spans="2:11" x14ac:dyDescent="0.2">
      <c r="B119" s="5" t="s">
        <v>165</v>
      </c>
      <c r="C119" s="5" t="s">
        <v>1677</v>
      </c>
      <c r="D119" s="5">
        <v>2021</v>
      </c>
      <c r="E119" s="9">
        <v>21</v>
      </c>
      <c r="F119" s="9">
        <v>1535</v>
      </c>
      <c r="G119" s="9">
        <v>386820</v>
      </c>
      <c r="H119" s="9">
        <v>6988301</v>
      </c>
      <c r="I119" s="9">
        <v>6458179</v>
      </c>
      <c r="J119" s="9">
        <v>143302</v>
      </c>
      <c r="K119" s="8">
        <v>696454.6</v>
      </c>
    </row>
    <row r="120" spans="2:11" x14ac:dyDescent="0.2">
      <c r="B120" s="5" t="s">
        <v>165</v>
      </c>
      <c r="C120" s="5" t="s">
        <v>1677</v>
      </c>
      <c r="D120" s="5">
        <v>2022</v>
      </c>
      <c r="E120" s="9">
        <v>30</v>
      </c>
      <c r="F120" s="9">
        <v>1938</v>
      </c>
      <c r="G120" s="9">
        <v>697680</v>
      </c>
      <c r="H120" s="9">
        <v>7033233</v>
      </c>
      <c r="I120" s="9">
        <v>6420840</v>
      </c>
      <c r="J120" s="9">
        <v>-85287</v>
      </c>
      <c r="K120" s="8">
        <v>912395.4</v>
      </c>
    </row>
    <row r="121" spans="2:11" x14ac:dyDescent="0.2">
      <c r="B121" s="5" t="s">
        <v>165</v>
      </c>
      <c r="C121" s="5" t="s">
        <v>1677</v>
      </c>
      <c r="D121" s="5">
        <v>2023</v>
      </c>
      <c r="E121" s="9">
        <v>35</v>
      </c>
      <c r="F121" s="9">
        <v>2374</v>
      </c>
      <c r="G121" s="9">
        <v>997080</v>
      </c>
      <c r="H121" s="9">
        <v>8766185</v>
      </c>
      <c r="I121" s="9">
        <v>7719153</v>
      </c>
      <c r="J121" s="9">
        <v>49952</v>
      </c>
      <c r="K121" s="8">
        <v>1475776.4</v>
      </c>
    </row>
    <row r="122" spans="2:11" x14ac:dyDescent="0.2">
      <c r="B122" s="5" t="s">
        <v>165</v>
      </c>
      <c r="C122" s="5" t="s">
        <v>1677</v>
      </c>
      <c r="D122" s="5">
        <v>2024</v>
      </c>
      <c r="E122" s="9">
        <v>36</v>
      </c>
      <c r="F122" s="9">
        <v>2497</v>
      </c>
      <c r="G122" s="9">
        <v>1078704</v>
      </c>
      <c r="H122" s="9">
        <v>11931673</v>
      </c>
      <c r="I122" s="9">
        <v>11235900</v>
      </c>
      <c r="J122" s="9">
        <v>-382931</v>
      </c>
      <c r="K122" s="8">
        <v>1159615.72</v>
      </c>
    </row>
    <row r="123" spans="2:11" x14ac:dyDescent="0.2">
      <c r="B123" s="42" t="s">
        <v>1680</v>
      </c>
      <c r="C123" s="41" t="s">
        <v>1681</v>
      </c>
      <c r="D123">
        <v>2020</v>
      </c>
      <c r="E123" s="22">
        <v>7</v>
      </c>
      <c r="F123" s="22"/>
      <c r="G123" s="9"/>
      <c r="H123" s="20">
        <v>536042</v>
      </c>
      <c r="I123" s="9">
        <v>0</v>
      </c>
      <c r="J123" s="22">
        <v>98117</v>
      </c>
      <c r="K123" s="8">
        <v>536042</v>
      </c>
    </row>
    <row r="124" spans="2:11" x14ac:dyDescent="0.2">
      <c r="B124" s="42" t="s">
        <v>1680</v>
      </c>
      <c r="C124" s="41" t="s">
        <v>1681</v>
      </c>
      <c r="D124">
        <v>2021</v>
      </c>
      <c r="E124" s="22">
        <v>8</v>
      </c>
      <c r="F124" s="22"/>
      <c r="G124" s="20"/>
      <c r="H124" s="20">
        <v>677713</v>
      </c>
      <c r="I124" s="20">
        <v>0</v>
      </c>
      <c r="J124" s="22">
        <v>96906</v>
      </c>
      <c r="K124" s="8">
        <v>677713</v>
      </c>
    </row>
    <row r="125" spans="2:11" x14ac:dyDescent="0.2">
      <c r="B125" s="42" t="s">
        <v>1680</v>
      </c>
      <c r="C125" s="41" t="s">
        <v>1681</v>
      </c>
      <c r="D125">
        <v>2022</v>
      </c>
      <c r="E125" s="22">
        <v>10</v>
      </c>
      <c r="F125" s="22"/>
      <c r="G125" s="20"/>
      <c r="H125" s="20">
        <v>648818</v>
      </c>
      <c r="I125" s="20">
        <v>0</v>
      </c>
      <c r="J125" s="22">
        <v>-44496</v>
      </c>
      <c r="K125" s="8">
        <v>648818</v>
      </c>
    </row>
    <row r="126" spans="2:11" x14ac:dyDescent="0.2">
      <c r="B126" s="42" t="s">
        <v>1680</v>
      </c>
      <c r="C126" s="41" t="s">
        <v>1681</v>
      </c>
      <c r="D126">
        <v>2023</v>
      </c>
      <c r="E126" s="22">
        <v>9</v>
      </c>
      <c r="F126" s="22">
        <v>2750</v>
      </c>
      <c r="G126" s="20">
        <v>297000</v>
      </c>
      <c r="H126" s="20">
        <v>764293</v>
      </c>
      <c r="I126" s="20">
        <v>484799</v>
      </c>
      <c r="J126" s="22">
        <v>-17506</v>
      </c>
      <c r="K126" s="8">
        <v>407204</v>
      </c>
    </row>
    <row r="127" spans="2:11" x14ac:dyDescent="0.2">
      <c r="B127" s="42" t="s">
        <v>1680</v>
      </c>
      <c r="C127" s="41" t="s">
        <v>1681</v>
      </c>
      <c r="D127">
        <v>2024</v>
      </c>
      <c r="E127" s="22">
        <v>9</v>
      </c>
      <c r="F127" s="22">
        <v>2850</v>
      </c>
      <c r="G127" s="20">
        <v>307800</v>
      </c>
      <c r="H127" s="20">
        <v>671087</v>
      </c>
      <c r="I127" s="20">
        <v>374019</v>
      </c>
      <c r="J127" s="22">
        <v>-10732</v>
      </c>
      <c r="K127" s="8">
        <v>429422</v>
      </c>
    </row>
    <row r="128" spans="2:11" x14ac:dyDescent="0.2">
      <c r="B128" s="42" t="s">
        <v>1682</v>
      </c>
      <c r="C128" s="41" t="s">
        <v>1683</v>
      </c>
      <c r="D128">
        <v>2020</v>
      </c>
      <c r="E128" s="22">
        <v>9</v>
      </c>
      <c r="F128" s="22"/>
      <c r="G128" s="20"/>
      <c r="H128" s="20">
        <v>617121</v>
      </c>
      <c r="I128" s="20">
        <v>0</v>
      </c>
      <c r="J128" s="22">
        <v>-28657</v>
      </c>
      <c r="K128" s="8">
        <v>617121</v>
      </c>
    </row>
    <row r="129" spans="2:11" x14ac:dyDescent="0.2">
      <c r="B129" s="5" t="s">
        <v>1682</v>
      </c>
      <c r="C129" s="41" t="s">
        <v>1683</v>
      </c>
      <c r="D129">
        <v>2021</v>
      </c>
      <c r="E129" s="22">
        <v>9</v>
      </c>
      <c r="F129" s="22"/>
      <c r="G129" s="20"/>
      <c r="H129" s="20">
        <v>662748</v>
      </c>
      <c r="I129" s="20">
        <v>0</v>
      </c>
      <c r="J129" s="22">
        <v>30759</v>
      </c>
      <c r="K129" s="8">
        <v>662748</v>
      </c>
    </row>
    <row r="130" spans="2:11" x14ac:dyDescent="0.2">
      <c r="B130" s="5" t="s">
        <v>1682</v>
      </c>
      <c r="C130" s="41" t="s">
        <v>1683</v>
      </c>
      <c r="D130">
        <v>2022</v>
      </c>
      <c r="E130" s="22">
        <v>10</v>
      </c>
      <c r="F130" s="22"/>
      <c r="G130" s="20"/>
      <c r="H130" s="20">
        <v>566996</v>
      </c>
      <c r="I130" s="20">
        <v>0</v>
      </c>
      <c r="J130" s="22">
        <v>10453</v>
      </c>
      <c r="K130" s="8">
        <v>566996</v>
      </c>
    </row>
    <row r="131" spans="2:11" x14ac:dyDescent="0.2">
      <c r="B131" s="5" t="s">
        <v>1682</v>
      </c>
      <c r="C131" s="41" t="s">
        <v>1683</v>
      </c>
      <c r="D131">
        <v>2023</v>
      </c>
      <c r="E131" s="22">
        <v>8</v>
      </c>
      <c r="F131" s="22">
        <v>2100</v>
      </c>
      <c r="G131" s="20">
        <v>201600</v>
      </c>
      <c r="H131" s="20">
        <v>516376</v>
      </c>
      <c r="I131" s="20">
        <v>359258</v>
      </c>
      <c r="J131" s="22">
        <v>-44482</v>
      </c>
      <c r="K131" s="8">
        <v>243806</v>
      </c>
    </row>
    <row r="132" spans="2:11" x14ac:dyDescent="0.2">
      <c r="B132" s="5" t="s">
        <v>1682</v>
      </c>
      <c r="C132" s="41" t="s">
        <v>1683</v>
      </c>
      <c r="D132">
        <v>2024</v>
      </c>
      <c r="E132" s="22">
        <v>6</v>
      </c>
      <c r="F132" s="22">
        <v>2450</v>
      </c>
      <c r="G132" s="20">
        <v>176400</v>
      </c>
      <c r="H132" s="20">
        <v>568422</v>
      </c>
      <c r="I132" s="20">
        <v>435999</v>
      </c>
      <c r="J132" s="22">
        <v>-43977</v>
      </c>
      <c r="K132" s="8">
        <v>208275</v>
      </c>
    </row>
    <row r="133" spans="2:11" x14ac:dyDescent="0.2">
      <c r="B133" s="42" t="s">
        <v>1684</v>
      </c>
      <c r="C133" s="41" t="s">
        <v>1685</v>
      </c>
      <c r="D133">
        <v>2020</v>
      </c>
      <c r="E133" s="22">
        <v>14</v>
      </c>
      <c r="F133" s="22"/>
      <c r="G133" s="20"/>
      <c r="H133" s="20">
        <v>418885</v>
      </c>
      <c r="I133" s="20">
        <v>0</v>
      </c>
      <c r="J133" s="22">
        <v>57212</v>
      </c>
      <c r="K133" s="8">
        <v>418885</v>
      </c>
    </row>
    <row r="134" spans="2:11" x14ac:dyDescent="0.2">
      <c r="B134" s="42" t="s">
        <v>1684</v>
      </c>
      <c r="C134" s="41" t="s">
        <v>1685</v>
      </c>
      <c r="D134">
        <v>2021</v>
      </c>
      <c r="E134" s="22">
        <v>14</v>
      </c>
      <c r="F134" s="22"/>
      <c r="G134" s="20"/>
      <c r="H134" s="20">
        <v>399199</v>
      </c>
      <c r="I134" s="20">
        <v>0</v>
      </c>
      <c r="J134" s="22">
        <v>-14547</v>
      </c>
      <c r="K134" s="8">
        <v>399199</v>
      </c>
    </row>
    <row r="135" spans="2:11" x14ac:dyDescent="0.2">
      <c r="B135" s="42" t="s">
        <v>1684</v>
      </c>
      <c r="C135" s="41" t="s">
        <v>1685</v>
      </c>
      <c r="D135">
        <v>2022</v>
      </c>
      <c r="E135" s="22">
        <v>14</v>
      </c>
      <c r="F135" s="22"/>
      <c r="G135" s="20"/>
      <c r="H135" s="20">
        <v>468548</v>
      </c>
      <c r="I135" s="20">
        <v>0</v>
      </c>
      <c r="J135" s="22">
        <v>-14679</v>
      </c>
      <c r="K135" s="8">
        <v>468548</v>
      </c>
    </row>
    <row r="136" spans="2:11" x14ac:dyDescent="0.2">
      <c r="B136" s="42" t="s">
        <v>1684</v>
      </c>
      <c r="C136" s="41" t="s">
        <v>1685</v>
      </c>
      <c r="D136">
        <v>2023</v>
      </c>
      <c r="E136" s="22">
        <v>11</v>
      </c>
      <c r="F136" s="22">
        <v>2450</v>
      </c>
      <c r="G136" s="20">
        <v>323400</v>
      </c>
      <c r="H136" s="20">
        <v>434990</v>
      </c>
      <c r="I136" s="20">
        <v>132784</v>
      </c>
      <c r="J136" s="22">
        <v>-21194</v>
      </c>
      <c r="K136" s="8">
        <v>441268</v>
      </c>
    </row>
    <row r="137" spans="2:11" x14ac:dyDescent="0.2">
      <c r="B137" s="42" t="s">
        <v>1684</v>
      </c>
      <c r="C137" s="41" t="s">
        <v>1685</v>
      </c>
      <c r="D137">
        <v>2024</v>
      </c>
      <c r="E137" s="22">
        <v>10</v>
      </c>
      <c r="F137" s="22">
        <v>3200</v>
      </c>
      <c r="G137" s="20">
        <v>384000</v>
      </c>
      <c r="H137" s="20">
        <v>415142</v>
      </c>
      <c r="I137" s="20">
        <v>45909</v>
      </c>
      <c r="J137" s="22">
        <v>-14767</v>
      </c>
      <c r="K137" s="8">
        <v>534353</v>
      </c>
    </row>
    <row r="138" spans="2:11" x14ac:dyDescent="0.2">
      <c r="B138" s="5" t="s">
        <v>1686</v>
      </c>
      <c r="C138" s="41" t="s">
        <v>1687</v>
      </c>
      <c r="D138">
        <v>2020</v>
      </c>
      <c r="E138" s="22">
        <v>2</v>
      </c>
      <c r="F138" s="22">
        <v>700</v>
      </c>
      <c r="G138" s="20">
        <v>16800</v>
      </c>
      <c r="H138" s="20">
        <v>167284</v>
      </c>
      <c r="I138" s="20">
        <v>41771</v>
      </c>
      <c r="J138" s="22">
        <v>108713</v>
      </c>
      <c r="K138" s="8">
        <v>132737</v>
      </c>
    </row>
    <row r="139" spans="2:11" x14ac:dyDescent="0.2">
      <c r="B139" s="5" t="s">
        <v>1686</v>
      </c>
      <c r="C139" s="41" t="s">
        <v>1687</v>
      </c>
      <c r="D139">
        <v>2021</v>
      </c>
      <c r="E139" s="22">
        <v>2</v>
      </c>
      <c r="F139" s="22">
        <v>700</v>
      </c>
      <c r="G139" s="20">
        <v>16800</v>
      </c>
      <c r="H139" s="20">
        <v>188202</v>
      </c>
      <c r="I139" s="20">
        <v>44817</v>
      </c>
      <c r="J139" s="22">
        <v>126585</v>
      </c>
      <c r="K139" s="8">
        <v>150609</v>
      </c>
    </row>
    <row r="140" spans="2:11" x14ac:dyDescent="0.2">
      <c r="B140" s="5" t="s">
        <v>1686</v>
      </c>
      <c r="C140" s="41" t="s">
        <v>1687</v>
      </c>
      <c r="D140">
        <v>2022</v>
      </c>
      <c r="E140" s="22">
        <v>2</v>
      </c>
      <c r="F140" s="22">
        <v>700</v>
      </c>
      <c r="G140" s="20">
        <v>16800</v>
      </c>
      <c r="H140" s="20">
        <v>154432</v>
      </c>
      <c r="I140" s="20">
        <v>53152</v>
      </c>
      <c r="J140" s="22">
        <v>84480</v>
      </c>
      <c r="K140" s="8">
        <v>108504</v>
      </c>
    </row>
    <row r="141" spans="2:11" x14ac:dyDescent="0.2">
      <c r="B141" s="5" t="s">
        <v>1686</v>
      </c>
      <c r="C141" s="41" t="s">
        <v>1687</v>
      </c>
      <c r="D141">
        <v>2023</v>
      </c>
      <c r="E141" s="22">
        <v>2</v>
      </c>
      <c r="F141" s="22">
        <v>700</v>
      </c>
      <c r="G141" s="20">
        <v>16800</v>
      </c>
      <c r="H141" s="20">
        <v>204198</v>
      </c>
      <c r="I141" s="20">
        <v>66817</v>
      </c>
      <c r="J141" s="22">
        <v>120581</v>
      </c>
      <c r="K141" s="8">
        <v>144605</v>
      </c>
    </row>
    <row r="142" spans="2:11" x14ac:dyDescent="0.2">
      <c r="B142" s="5" t="s">
        <v>1686</v>
      </c>
      <c r="C142" s="41" t="s">
        <v>1687</v>
      </c>
      <c r="D142">
        <v>2024</v>
      </c>
      <c r="E142" s="22">
        <v>2</v>
      </c>
      <c r="F142" s="22">
        <v>700</v>
      </c>
      <c r="G142" s="20">
        <v>16800</v>
      </c>
      <c r="H142" s="20">
        <v>220696</v>
      </c>
      <c r="I142" s="20">
        <v>70415</v>
      </c>
      <c r="J142" s="22">
        <v>133481</v>
      </c>
      <c r="K142" s="8">
        <v>157505</v>
      </c>
    </row>
    <row r="143" spans="2:11" x14ac:dyDescent="0.2">
      <c r="B143" s="5" t="s">
        <v>1688</v>
      </c>
      <c r="C143" s="41" t="s">
        <v>1689</v>
      </c>
      <c r="D143">
        <v>2020</v>
      </c>
      <c r="E143" s="22"/>
      <c r="F143" s="22"/>
      <c r="G143" s="20"/>
      <c r="H143" s="20">
        <v>68621</v>
      </c>
      <c r="I143" s="20">
        <v>0</v>
      </c>
      <c r="J143" s="22">
        <v>20617</v>
      </c>
      <c r="K143" s="8">
        <v>68621</v>
      </c>
    </row>
    <row r="144" spans="2:11" x14ac:dyDescent="0.2">
      <c r="B144" s="5" t="s">
        <v>1688</v>
      </c>
      <c r="C144" s="41" t="s">
        <v>1689</v>
      </c>
      <c r="D144">
        <v>2021</v>
      </c>
      <c r="E144" s="22"/>
      <c r="F144" s="22"/>
      <c r="G144" s="20"/>
      <c r="H144" s="20">
        <v>212369</v>
      </c>
      <c r="I144" s="20">
        <v>0</v>
      </c>
      <c r="J144" s="22">
        <v>27768</v>
      </c>
      <c r="K144" s="8">
        <v>212369</v>
      </c>
    </row>
    <row r="145" spans="2:11" x14ac:dyDescent="0.2">
      <c r="B145" s="5" t="s">
        <v>1688</v>
      </c>
      <c r="C145" s="41" t="s">
        <v>1689</v>
      </c>
      <c r="D145">
        <v>2022</v>
      </c>
      <c r="E145" s="22"/>
      <c r="F145" s="22"/>
      <c r="G145" s="20"/>
      <c r="H145" s="20">
        <v>335052</v>
      </c>
      <c r="I145" s="20">
        <v>0</v>
      </c>
      <c r="J145" s="22">
        <v>53306</v>
      </c>
      <c r="K145" s="8">
        <v>335052</v>
      </c>
    </row>
    <row r="146" spans="2:11" x14ac:dyDescent="0.2">
      <c r="B146" s="5" t="s">
        <v>1688</v>
      </c>
      <c r="C146" s="41" t="s">
        <v>1689</v>
      </c>
      <c r="D146">
        <v>2023</v>
      </c>
      <c r="E146" s="22"/>
      <c r="F146" s="22"/>
      <c r="G146" s="20"/>
      <c r="H146" s="20">
        <v>373656</v>
      </c>
      <c r="I146" s="20">
        <v>0</v>
      </c>
      <c r="J146" s="22">
        <v>50120</v>
      </c>
      <c r="K146" s="8">
        <v>373656</v>
      </c>
    </row>
    <row r="147" spans="2:11" x14ac:dyDescent="0.2">
      <c r="B147" s="5" t="s">
        <v>1688</v>
      </c>
      <c r="C147" s="41" t="s">
        <v>1689</v>
      </c>
      <c r="D147">
        <v>2024</v>
      </c>
      <c r="E147" s="22"/>
      <c r="F147" s="22"/>
      <c r="G147" s="20"/>
      <c r="H147" s="20">
        <v>390217</v>
      </c>
      <c r="I147" s="20">
        <v>0</v>
      </c>
      <c r="J147" s="22">
        <v>92018</v>
      </c>
      <c r="K147" s="8">
        <v>390217</v>
      </c>
    </row>
    <row r="148" spans="2:11" x14ac:dyDescent="0.2">
      <c r="B148" s="42" t="s">
        <v>1690</v>
      </c>
      <c r="C148" s="41" t="s">
        <v>1691</v>
      </c>
      <c r="D148">
        <v>2020</v>
      </c>
      <c r="E148" s="22">
        <v>3</v>
      </c>
      <c r="F148" s="22">
        <v>800</v>
      </c>
      <c r="G148" s="20">
        <v>28800</v>
      </c>
      <c r="H148" s="20">
        <v>121041</v>
      </c>
      <c r="I148" s="20">
        <v>80041</v>
      </c>
      <c r="J148" s="22">
        <v>12200</v>
      </c>
      <c r="K148" s="8">
        <v>53384</v>
      </c>
    </row>
    <row r="149" spans="2:11" x14ac:dyDescent="0.2">
      <c r="B149" s="5" t="s">
        <v>1690</v>
      </c>
      <c r="C149" s="41" t="s">
        <v>1691</v>
      </c>
      <c r="D149">
        <v>2021</v>
      </c>
      <c r="E149" s="22">
        <v>2</v>
      </c>
      <c r="F149" s="22">
        <v>1400</v>
      </c>
      <c r="G149" s="20">
        <v>33600</v>
      </c>
      <c r="H149" s="20">
        <v>133934</v>
      </c>
      <c r="I149" s="20">
        <v>76977</v>
      </c>
      <c r="J149" s="22">
        <v>23357</v>
      </c>
      <c r="K149" s="8">
        <v>71405</v>
      </c>
    </row>
    <row r="150" spans="2:11" x14ac:dyDescent="0.2">
      <c r="B150" s="5" t="s">
        <v>1690</v>
      </c>
      <c r="C150" s="41" t="s">
        <v>1691</v>
      </c>
      <c r="D150">
        <v>2022</v>
      </c>
      <c r="E150" s="22"/>
      <c r="F150" s="22"/>
      <c r="G150" s="20"/>
      <c r="H150" s="20">
        <v>328212</v>
      </c>
      <c r="I150" s="20">
        <v>0</v>
      </c>
      <c r="J150" s="22">
        <v>80738</v>
      </c>
      <c r="K150" s="8">
        <v>328212</v>
      </c>
    </row>
    <row r="151" spans="2:11" x14ac:dyDescent="0.2">
      <c r="B151" s="5" t="s">
        <v>1690</v>
      </c>
      <c r="C151" s="41" t="s">
        <v>1691</v>
      </c>
      <c r="D151">
        <v>2023</v>
      </c>
      <c r="E151" s="22"/>
      <c r="F151" s="22"/>
      <c r="G151" s="20"/>
      <c r="H151" s="20">
        <v>249885</v>
      </c>
      <c r="I151" s="20">
        <v>0</v>
      </c>
      <c r="J151" s="22">
        <v>272</v>
      </c>
      <c r="K151" s="8">
        <v>249885</v>
      </c>
    </row>
    <row r="152" spans="2:11" x14ac:dyDescent="0.2">
      <c r="B152" s="5" t="s">
        <v>1690</v>
      </c>
      <c r="C152" s="41" t="s">
        <v>1691</v>
      </c>
      <c r="D152">
        <v>2024</v>
      </c>
      <c r="E152" s="22"/>
      <c r="F152" s="22"/>
      <c r="G152" s="20"/>
      <c r="H152" s="20">
        <v>212585</v>
      </c>
      <c r="I152" s="20">
        <v>0</v>
      </c>
      <c r="J152" s="22">
        <v>27478</v>
      </c>
      <c r="K152" s="8">
        <v>212585</v>
      </c>
    </row>
    <row r="153" spans="2:11" x14ac:dyDescent="0.2">
      <c r="B153" s="5" t="s">
        <v>1692</v>
      </c>
      <c r="C153" s="41" t="s">
        <v>1693</v>
      </c>
      <c r="D153">
        <v>2020</v>
      </c>
      <c r="E153" s="22"/>
      <c r="F153" s="22"/>
      <c r="G153" s="20"/>
      <c r="H153" s="20">
        <v>115045</v>
      </c>
      <c r="I153" s="20">
        <v>0</v>
      </c>
      <c r="J153" s="22">
        <v>8039</v>
      </c>
      <c r="K153" s="8">
        <v>115045</v>
      </c>
    </row>
    <row r="154" spans="2:11" x14ac:dyDescent="0.2">
      <c r="B154" s="5" t="s">
        <v>1692</v>
      </c>
      <c r="C154" s="41" t="s">
        <v>1693</v>
      </c>
      <c r="D154">
        <v>2021</v>
      </c>
      <c r="E154" s="22"/>
      <c r="F154" s="22"/>
      <c r="G154" s="20"/>
      <c r="H154" s="20">
        <v>186316</v>
      </c>
      <c r="I154" s="20">
        <v>0</v>
      </c>
      <c r="J154" s="22">
        <v>3076</v>
      </c>
      <c r="K154" s="8">
        <v>186316</v>
      </c>
    </row>
    <row r="155" spans="2:11" x14ac:dyDescent="0.2">
      <c r="B155" s="5" t="s">
        <v>1692</v>
      </c>
      <c r="C155" s="41" t="s">
        <v>1693</v>
      </c>
      <c r="D155">
        <v>2022</v>
      </c>
      <c r="E155" s="22"/>
      <c r="F155" s="22"/>
      <c r="G155" s="20"/>
      <c r="H155" s="20">
        <v>224635</v>
      </c>
      <c r="I155" s="20">
        <v>0</v>
      </c>
      <c r="J155" s="22">
        <v>12731</v>
      </c>
      <c r="K155" s="8">
        <v>224635</v>
      </c>
    </row>
    <row r="156" spans="2:11" x14ac:dyDescent="0.2">
      <c r="B156" s="5" t="s">
        <v>1692</v>
      </c>
      <c r="C156" s="41" t="s">
        <v>1693</v>
      </c>
      <c r="D156">
        <v>2023</v>
      </c>
      <c r="E156" s="22"/>
      <c r="F156" s="22"/>
      <c r="G156" s="20"/>
      <c r="H156" s="20">
        <v>511114</v>
      </c>
      <c r="I156" s="20">
        <v>0</v>
      </c>
      <c r="J156" s="22">
        <v>6299</v>
      </c>
      <c r="K156" s="8">
        <v>511114</v>
      </c>
    </row>
    <row r="157" spans="2:11" x14ac:dyDescent="0.2">
      <c r="B157" s="5" t="s">
        <v>1692</v>
      </c>
      <c r="C157" s="41" t="s">
        <v>1693</v>
      </c>
      <c r="D157">
        <v>2024</v>
      </c>
      <c r="E157" s="22"/>
      <c r="F157" s="22"/>
      <c r="G157" s="20"/>
      <c r="H157" s="20">
        <v>165035</v>
      </c>
      <c r="I157" s="20">
        <v>0</v>
      </c>
      <c r="J157" s="22">
        <v>2248</v>
      </c>
      <c r="K157" s="8">
        <v>165035</v>
      </c>
    </row>
    <row r="158" spans="2:11" x14ac:dyDescent="0.2">
      <c r="B158" s="5" t="s">
        <v>1694</v>
      </c>
      <c r="C158" s="41" t="s">
        <v>1695</v>
      </c>
      <c r="D158">
        <v>2020</v>
      </c>
      <c r="E158" s="22">
        <v>1</v>
      </c>
      <c r="F158" s="22"/>
      <c r="G158" s="20"/>
      <c r="H158" s="20">
        <v>6163</v>
      </c>
      <c r="I158" s="20">
        <v>0</v>
      </c>
      <c r="J158" s="22">
        <v>-7439</v>
      </c>
      <c r="K158" s="8">
        <v>6163</v>
      </c>
    </row>
    <row r="159" spans="2:11" x14ac:dyDescent="0.2">
      <c r="B159" s="5" t="s">
        <v>1694</v>
      </c>
      <c r="C159" s="41" t="s">
        <v>1695</v>
      </c>
      <c r="D159">
        <v>2021</v>
      </c>
      <c r="E159" s="22">
        <v>1</v>
      </c>
      <c r="F159" s="22"/>
      <c r="G159" s="20"/>
      <c r="H159" s="20">
        <v>0</v>
      </c>
      <c r="I159" s="20">
        <v>0</v>
      </c>
      <c r="J159" s="22">
        <v>778367</v>
      </c>
      <c r="K159" s="8">
        <v>0</v>
      </c>
    </row>
    <row r="160" spans="2:11" x14ac:dyDescent="0.2">
      <c r="B160" s="5" t="s">
        <v>1694</v>
      </c>
      <c r="C160" s="41" t="s">
        <v>1695</v>
      </c>
      <c r="D160">
        <v>2022</v>
      </c>
      <c r="E160" s="22">
        <v>1</v>
      </c>
      <c r="F160" s="22"/>
      <c r="G160" s="20"/>
      <c r="H160" s="20">
        <v>0</v>
      </c>
      <c r="I160" s="20">
        <v>0</v>
      </c>
      <c r="J160" s="22">
        <v>970</v>
      </c>
      <c r="K160" s="8">
        <v>0</v>
      </c>
    </row>
    <row r="161" spans="2:11" x14ac:dyDescent="0.2">
      <c r="B161" s="5" t="s">
        <v>1694</v>
      </c>
      <c r="C161" s="41" t="s">
        <v>1695</v>
      </c>
      <c r="D161">
        <v>2023</v>
      </c>
      <c r="E161" s="22">
        <v>1</v>
      </c>
      <c r="F161" s="22"/>
      <c r="G161" s="20"/>
      <c r="H161" s="20">
        <v>0</v>
      </c>
      <c r="I161" s="20">
        <v>0</v>
      </c>
      <c r="J161" s="22">
        <v>8291</v>
      </c>
      <c r="K161" s="8">
        <v>0</v>
      </c>
    </row>
    <row r="162" spans="2:11" x14ac:dyDescent="0.2">
      <c r="B162" s="5" t="s">
        <v>1694</v>
      </c>
      <c r="C162" s="41" t="s">
        <v>1695</v>
      </c>
      <c r="D162">
        <v>2024</v>
      </c>
      <c r="E162" s="22">
        <v>1</v>
      </c>
      <c r="F162" s="22"/>
      <c r="G162" s="20"/>
      <c r="H162" s="20">
        <v>0</v>
      </c>
      <c r="I162" s="20">
        <v>0</v>
      </c>
      <c r="J162" s="22">
        <v>-1940</v>
      </c>
      <c r="K162" s="8">
        <v>0</v>
      </c>
    </row>
    <row r="163" spans="2:11" x14ac:dyDescent="0.2">
      <c r="B163" s="42" t="s">
        <v>1696</v>
      </c>
      <c r="C163" s="41" t="s">
        <v>1697</v>
      </c>
      <c r="D163">
        <v>2020</v>
      </c>
      <c r="E163" s="22">
        <v>12</v>
      </c>
      <c r="F163" s="22"/>
      <c r="G163" s="20"/>
      <c r="H163" s="20">
        <v>1101114</v>
      </c>
      <c r="I163" s="20">
        <v>0</v>
      </c>
      <c r="J163" s="22">
        <v>147777</v>
      </c>
      <c r="K163" s="8">
        <v>1101114</v>
      </c>
    </row>
    <row r="164" spans="2:11" x14ac:dyDescent="0.2">
      <c r="B164" s="5" t="s">
        <v>1696</v>
      </c>
      <c r="C164" s="41" t="s">
        <v>1697</v>
      </c>
      <c r="D164">
        <v>2021</v>
      </c>
      <c r="E164" s="22">
        <v>13</v>
      </c>
      <c r="F164" s="22"/>
      <c r="G164" s="20"/>
      <c r="H164" s="20">
        <v>1676343</v>
      </c>
      <c r="I164" s="20">
        <v>0</v>
      </c>
      <c r="J164" s="22">
        <v>112474</v>
      </c>
      <c r="K164" s="8">
        <v>1676343</v>
      </c>
    </row>
    <row r="165" spans="2:11" x14ac:dyDescent="0.2">
      <c r="B165" s="5" t="s">
        <v>1696</v>
      </c>
      <c r="C165" s="41" t="s">
        <v>1697</v>
      </c>
      <c r="D165">
        <v>2022</v>
      </c>
      <c r="E165" s="22">
        <v>11</v>
      </c>
      <c r="F165" s="22"/>
      <c r="G165" s="20"/>
      <c r="H165" s="20">
        <v>2096869</v>
      </c>
      <c r="I165" s="20">
        <v>0</v>
      </c>
      <c r="J165" s="22">
        <v>142133</v>
      </c>
      <c r="K165" s="8">
        <v>2096869</v>
      </c>
    </row>
    <row r="166" spans="2:11" x14ac:dyDescent="0.2">
      <c r="B166" s="5" t="s">
        <v>1696</v>
      </c>
      <c r="C166" s="41" t="s">
        <v>1697</v>
      </c>
      <c r="D166">
        <v>2023</v>
      </c>
      <c r="E166" s="22">
        <v>9</v>
      </c>
      <c r="F166" s="22">
        <v>3450</v>
      </c>
      <c r="G166" s="20">
        <v>372600</v>
      </c>
      <c r="H166" s="20">
        <v>2316830</v>
      </c>
      <c r="I166" s="20">
        <v>1824343</v>
      </c>
      <c r="J166" s="22">
        <v>119887</v>
      </c>
      <c r="K166" s="8">
        <v>652705</v>
      </c>
    </row>
    <row r="167" spans="2:11" x14ac:dyDescent="0.2">
      <c r="B167" s="5" t="s">
        <v>1696</v>
      </c>
      <c r="C167" s="41" t="s">
        <v>1697</v>
      </c>
      <c r="D167">
        <v>2024</v>
      </c>
      <c r="E167" s="22">
        <v>7</v>
      </c>
      <c r="F167" s="22">
        <v>3000</v>
      </c>
      <c r="G167" s="20">
        <v>252000</v>
      </c>
      <c r="H167" s="20">
        <v>1247369</v>
      </c>
      <c r="I167" s="20">
        <v>982845</v>
      </c>
      <c r="J167" s="22">
        <v>12524</v>
      </c>
      <c r="K167" s="8">
        <v>372884</v>
      </c>
    </row>
    <row r="168" spans="2:11" x14ac:dyDescent="0.2">
      <c r="B168" s="5" t="s">
        <v>1698</v>
      </c>
      <c r="C168" s="41" t="s">
        <v>1699</v>
      </c>
      <c r="D168">
        <v>2020</v>
      </c>
      <c r="E168" s="22">
        <v>10</v>
      </c>
      <c r="F168" s="22"/>
      <c r="G168" s="20"/>
      <c r="H168" s="20">
        <v>440087</v>
      </c>
      <c r="I168" s="20">
        <v>0</v>
      </c>
      <c r="J168" s="22">
        <v>24362</v>
      </c>
      <c r="K168" s="8">
        <v>440087</v>
      </c>
    </row>
    <row r="169" spans="2:11" x14ac:dyDescent="0.2">
      <c r="B169" s="5" t="s">
        <v>1698</v>
      </c>
      <c r="C169" s="41" t="s">
        <v>1699</v>
      </c>
      <c r="D169">
        <v>2021</v>
      </c>
      <c r="E169" s="22">
        <v>10</v>
      </c>
      <c r="F169" s="22"/>
      <c r="G169" s="20"/>
      <c r="H169" s="20">
        <v>434920</v>
      </c>
      <c r="I169" s="20">
        <v>0</v>
      </c>
      <c r="J169" s="22">
        <v>73525</v>
      </c>
      <c r="K169" s="8">
        <v>434920</v>
      </c>
    </row>
    <row r="170" spans="2:11" x14ac:dyDescent="0.2">
      <c r="B170" s="5" t="s">
        <v>1698</v>
      </c>
      <c r="C170" s="41" t="s">
        <v>1699</v>
      </c>
      <c r="D170">
        <v>2022</v>
      </c>
      <c r="E170" s="22">
        <v>9</v>
      </c>
      <c r="F170" s="22"/>
      <c r="G170" s="20"/>
      <c r="H170" s="20">
        <v>680849</v>
      </c>
      <c r="I170" s="20">
        <v>0</v>
      </c>
      <c r="J170" s="22">
        <v>59054</v>
      </c>
      <c r="K170" s="8">
        <v>680849</v>
      </c>
    </row>
    <row r="171" spans="2:11" x14ac:dyDescent="0.2">
      <c r="B171" s="5" t="s">
        <v>1698</v>
      </c>
      <c r="C171" s="41" t="s">
        <v>1699</v>
      </c>
      <c r="D171">
        <v>2023</v>
      </c>
      <c r="E171" s="22">
        <v>8</v>
      </c>
      <c r="F171" s="22">
        <v>2100</v>
      </c>
      <c r="G171" s="20">
        <v>201600</v>
      </c>
      <c r="H171" s="20">
        <v>596611</v>
      </c>
      <c r="I171" s="20">
        <v>388658</v>
      </c>
      <c r="J171" s="22">
        <v>6353</v>
      </c>
      <c r="K171" s="8">
        <v>294641</v>
      </c>
    </row>
    <row r="172" spans="2:11" x14ac:dyDescent="0.2">
      <c r="B172" s="5" t="s">
        <v>1698</v>
      </c>
      <c r="C172" s="41" t="s">
        <v>1699</v>
      </c>
      <c r="D172">
        <v>2024</v>
      </c>
      <c r="E172" s="22">
        <v>8</v>
      </c>
      <c r="F172" s="22">
        <v>2900</v>
      </c>
      <c r="G172" s="20">
        <v>278400</v>
      </c>
      <c r="H172" s="20">
        <v>645958</v>
      </c>
      <c r="I172" s="20">
        <v>365564</v>
      </c>
      <c r="J172" s="22">
        <v>1994</v>
      </c>
      <c r="K172" s="8">
        <v>400106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8CEC-6165-439B-893B-512ADDF34726}">
  <dimension ref="B2:Z122"/>
  <sheetViews>
    <sheetView workbookViewId="0">
      <selection activeCell="P18" sqref="P18"/>
    </sheetView>
  </sheetViews>
  <sheetFormatPr baseColWidth="10" defaultColWidth="8.83203125" defaultRowHeight="15" x14ac:dyDescent="0.2"/>
  <cols>
    <col min="2" max="2" width="29.5" bestFit="1" customWidth="1"/>
    <col min="3" max="3" width="20" bestFit="1" customWidth="1"/>
    <col min="5" max="5" width="18.5" bestFit="1" customWidth="1"/>
    <col min="6" max="6" width="17.6640625" bestFit="1" customWidth="1"/>
    <col min="7" max="7" width="12.5" bestFit="1" customWidth="1"/>
    <col min="8" max="8" width="10" bestFit="1" customWidth="1"/>
    <col min="9" max="9" width="22.33203125" bestFit="1" customWidth="1"/>
    <col min="10" max="10" width="8.5" bestFit="1" customWidth="1"/>
    <col min="11" max="11" width="17.6640625" bestFit="1" customWidth="1"/>
    <col min="14" max="14" width="11.1640625" bestFit="1" customWidth="1"/>
    <col min="15" max="15" width="17.6640625" bestFit="1" customWidth="1"/>
    <col min="16" max="16" width="12.5" bestFit="1" customWidth="1"/>
    <col min="17" max="17" width="22.33203125" bestFit="1" customWidth="1"/>
    <col min="18" max="18" width="10" bestFit="1" customWidth="1"/>
    <col min="19" max="19" width="18.5" bestFit="1" customWidth="1"/>
    <col min="20" max="20" width="17.6640625" bestFit="1" customWidth="1"/>
  </cols>
  <sheetData>
    <row r="2" spans="2:26" x14ac:dyDescent="0.2">
      <c r="B2" s="90" t="s">
        <v>1700</v>
      </c>
      <c r="C2" s="90" t="s">
        <v>1384</v>
      </c>
      <c r="D2" s="90" t="s">
        <v>1701</v>
      </c>
      <c r="E2" s="91" t="s">
        <v>1707</v>
      </c>
      <c r="F2" s="91" t="s">
        <v>1709</v>
      </c>
      <c r="G2" s="91" t="s">
        <v>1711</v>
      </c>
      <c r="H2" s="92" t="s">
        <v>1713</v>
      </c>
      <c r="I2" s="90" t="s">
        <v>1715</v>
      </c>
      <c r="J2" s="90" t="s">
        <v>1717</v>
      </c>
      <c r="K2" s="90" t="s">
        <v>1720</v>
      </c>
      <c r="N2" s="92" t="s">
        <v>1713</v>
      </c>
      <c r="O2" s="90" t="s">
        <v>1720</v>
      </c>
      <c r="P2" s="91" t="s">
        <v>1711</v>
      </c>
      <c r="Q2" s="90" t="s">
        <v>1715</v>
      </c>
      <c r="R2" s="90" t="s">
        <v>1717</v>
      </c>
      <c r="S2" s="91" t="s">
        <v>1707</v>
      </c>
      <c r="T2" s="91" t="s">
        <v>1709</v>
      </c>
    </row>
    <row r="3" spans="2:26" x14ac:dyDescent="0.2">
      <c r="B3" s="5" t="s">
        <v>1025</v>
      </c>
      <c r="C3" s="5" t="s">
        <v>1411</v>
      </c>
      <c r="D3" s="5">
        <v>2019</v>
      </c>
      <c r="E3" s="9">
        <v>11</v>
      </c>
      <c r="F3" s="9">
        <v>1861</v>
      </c>
      <c r="G3" s="9">
        <v>245652</v>
      </c>
      <c r="H3" s="9">
        <v>667536</v>
      </c>
      <c r="I3" s="9">
        <v>359287</v>
      </c>
      <c r="J3" s="9">
        <v>62597</v>
      </c>
      <c r="K3" s="8">
        <v>413879.36</v>
      </c>
      <c r="M3">
        <v>2019</v>
      </c>
      <c r="N3" s="8">
        <f>SUMIFS(H:H,D:D,M3)</f>
        <v>21481275</v>
      </c>
      <c r="O3" s="8">
        <f>SUMIFS(K:K,D:D,M3)</f>
        <v>11680260.839999998</v>
      </c>
      <c r="P3" s="8">
        <f>SUMIFS(G:G,D:D,M3)</f>
        <v>6611988</v>
      </c>
      <c r="Q3" s="8">
        <f>SUMIFS(I:I,D:D,M3)</f>
        <v>12644169</v>
      </c>
      <c r="R3" s="8">
        <f>SUMIFS(J:J,D:D,M3)</f>
        <v>1699143</v>
      </c>
      <c r="S3" s="8">
        <f>AVERAGEIFS(E:E,D:D,M3)</f>
        <v>15.176470588235293</v>
      </c>
      <c r="T3" s="8">
        <f>AVERAGEIFS(F:F,D:D,M3)</f>
        <v>2067.1428571428573</v>
      </c>
      <c r="V3" s="93">
        <f>N3/1000000</f>
        <v>21.481275</v>
      </c>
      <c r="W3" s="93">
        <f t="shared" ref="W3:X8" si="0">O3/1000000</f>
        <v>11.680260839999997</v>
      </c>
      <c r="X3" s="93">
        <f t="shared" si="0"/>
        <v>6.6119880000000002</v>
      </c>
      <c r="Y3" s="93">
        <f t="shared" ref="Y3:Y8" si="1">R3/1000000</f>
        <v>1.6991430000000001</v>
      </c>
      <c r="Z3" s="8"/>
    </row>
    <row r="4" spans="2:26" x14ac:dyDescent="0.2">
      <c r="B4" s="5" t="s">
        <v>1025</v>
      </c>
      <c r="C4" s="5" t="s">
        <v>1411</v>
      </c>
      <c r="D4" s="5">
        <v>2020</v>
      </c>
      <c r="E4" s="9">
        <v>12</v>
      </c>
      <c r="F4" s="9">
        <v>2035</v>
      </c>
      <c r="G4" s="9">
        <v>293040</v>
      </c>
      <c r="H4" s="9">
        <v>744583</v>
      </c>
      <c r="I4" s="9">
        <v>404854</v>
      </c>
      <c r="J4" s="9">
        <v>46689</v>
      </c>
      <c r="K4" s="8">
        <v>465736.2</v>
      </c>
      <c r="M4">
        <v>2020</v>
      </c>
      <c r="N4" s="8">
        <f t="shared" ref="N4:N8" si="2">SUMIFS(H:H,D:D,M4)</f>
        <v>18869751</v>
      </c>
      <c r="O4" s="8">
        <f t="shared" ref="O4:O8" si="3">SUMIFS(K:K,D:D,M4)</f>
        <v>11235176.879999999</v>
      </c>
      <c r="P4" s="8">
        <f t="shared" ref="P4:P8" si="4">SUMIFS(G:G,D:D,M4)</f>
        <v>6289716</v>
      </c>
      <c r="Q4" s="8">
        <f t="shared" ref="Q4:Q8" si="5">SUMIFS(I:I,D:D,M4)</f>
        <v>10339152</v>
      </c>
      <c r="R4" s="8">
        <f t="shared" ref="R4:R8" si="6">SUMIFS(J:J,D:D,M4)</f>
        <v>1845150</v>
      </c>
      <c r="S4" s="8">
        <f t="shared" ref="S4:S8" si="7">AVERAGEIFS(E:E,D:D,M4)</f>
        <v>13.882352941176471</v>
      </c>
      <c r="T4" s="8">
        <f t="shared" ref="T4:T8" si="8">AVERAGEIFS(F:F,D:D,M4)</f>
        <v>2180.6428571428573</v>
      </c>
      <c r="V4" s="93">
        <f t="shared" ref="V4:V8" si="9">N4/1000000</f>
        <v>18.869751000000001</v>
      </c>
      <c r="W4" s="93">
        <f t="shared" si="0"/>
        <v>11.235176879999999</v>
      </c>
      <c r="X4" s="93">
        <f t="shared" si="0"/>
        <v>6.2897160000000003</v>
      </c>
      <c r="Y4" s="93">
        <f t="shared" si="1"/>
        <v>1.8451500000000001</v>
      </c>
      <c r="Z4" s="8"/>
    </row>
    <row r="5" spans="2:26" x14ac:dyDescent="0.2">
      <c r="B5" s="5" t="s">
        <v>1025</v>
      </c>
      <c r="C5" s="5" t="s">
        <v>1411</v>
      </c>
      <c r="D5" s="5">
        <v>2021</v>
      </c>
      <c r="E5" s="9">
        <v>13</v>
      </c>
      <c r="F5" s="9">
        <v>2318</v>
      </c>
      <c r="G5" s="9">
        <v>361608</v>
      </c>
      <c r="H5" s="9">
        <v>1468239</v>
      </c>
      <c r="I5" s="9">
        <v>847404</v>
      </c>
      <c r="J5" s="9">
        <v>259227</v>
      </c>
      <c r="K5" s="8">
        <v>776326.44</v>
      </c>
      <c r="M5">
        <v>2021</v>
      </c>
      <c r="N5" s="8">
        <f t="shared" si="2"/>
        <v>24755402</v>
      </c>
      <c r="O5" s="8">
        <f t="shared" si="3"/>
        <v>14187145.920000002</v>
      </c>
      <c r="P5" s="8">
        <f t="shared" si="4"/>
        <v>8069844</v>
      </c>
      <c r="Q5" s="8">
        <f t="shared" si="5"/>
        <v>14038289</v>
      </c>
      <c r="R5" s="8">
        <f t="shared" si="6"/>
        <v>2407935</v>
      </c>
      <c r="S5" s="8">
        <f t="shared" si="7"/>
        <v>14.666666666666666</v>
      </c>
      <c r="T5" s="8">
        <f t="shared" si="8"/>
        <v>2365</v>
      </c>
      <c r="V5" s="93">
        <f t="shared" si="9"/>
        <v>24.755402</v>
      </c>
      <c r="W5" s="93">
        <f t="shared" si="0"/>
        <v>14.187145920000003</v>
      </c>
      <c r="X5" s="93">
        <f t="shared" si="0"/>
        <v>8.0698439999999998</v>
      </c>
      <c r="Y5" s="93">
        <f t="shared" si="1"/>
        <v>2.4079350000000002</v>
      </c>
      <c r="Z5" s="8"/>
    </row>
    <row r="6" spans="2:26" x14ac:dyDescent="0.2">
      <c r="B6" s="5" t="s">
        <v>1025</v>
      </c>
      <c r="C6" s="5" t="s">
        <v>1411</v>
      </c>
      <c r="D6" s="5">
        <v>2022</v>
      </c>
      <c r="E6" s="9">
        <v>14</v>
      </c>
      <c r="F6" s="9">
        <v>2323</v>
      </c>
      <c r="G6" s="9">
        <v>390264</v>
      </c>
      <c r="H6" s="9">
        <v>1251440</v>
      </c>
      <c r="I6" s="9">
        <v>660153</v>
      </c>
      <c r="J6" s="9">
        <v>201023</v>
      </c>
      <c r="K6" s="8">
        <v>759100.52</v>
      </c>
      <c r="M6">
        <v>2022</v>
      </c>
      <c r="N6" s="8">
        <f t="shared" si="2"/>
        <v>26619204</v>
      </c>
      <c r="O6" s="8">
        <f t="shared" si="3"/>
        <v>15178544.159999998</v>
      </c>
      <c r="P6" s="8">
        <f t="shared" si="4"/>
        <v>8654712</v>
      </c>
      <c r="Q6" s="8">
        <f t="shared" si="5"/>
        <v>15162186</v>
      </c>
      <c r="R6" s="8">
        <f t="shared" si="6"/>
        <v>2441616</v>
      </c>
      <c r="S6" s="8">
        <f t="shared" si="7"/>
        <v>15.277777777777779</v>
      </c>
      <c r="T6" s="8">
        <f t="shared" si="8"/>
        <v>2410.5333333333333</v>
      </c>
      <c r="V6" s="93">
        <f t="shared" si="9"/>
        <v>26.619204</v>
      </c>
      <c r="W6" s="93">
        <f t="shared" si="0"/>
        <v>15.178544159999998</v>
      </c>
      <c r="X6" s="93">
        <f t="shared" si="0"/>
        <v>8.654712</v>
      </c>
      <c r="Y6" s="93">
        <f t="shared" si="1"/>
        <v>2.4416159999999998</v>
      </c>
      <c r="Z6" s="8"/>
    </row>
    <row r="7" spans="2:26" x14ac:dyDescent="0.2">
      <c r="B7" s="5" t="s">
        <v>1025</v>
      </c>
      <c r="C7" s="5" t="s">
        <v>1411</v>
      </c>
      <c r="D7" s="5">
        <v>2023</v>
      </c>
      <c r="E7" s="9">
        <v>13</v>
      </c>
      <c r="F7" s="9">
        <v>2442</v>
      </c>
      <c r="G7" s="9">
        <v>380952</v>
      </c>
      <c r="H7" s="9">
        <v>1505000</v>
      </c>
      <c r="I7" s="9">
        <v>805537</v>
      </c>
      <c r="J7" s="9">
        <v>318511</v>
      </c>
      <c r="K7" s="8">
        <v>863272.36</v>
      </c>
      <c r="M7">
        <v>2023</v>
      </c>
      <c r="N7" s="8">
        <f t="shared" si="2"/>
        <v>29920246</v>
      </c>
      <c r="O7" s="8">
        <f t="shared" si="3"/>
        <v>16676223.84</v>
      </c>
      <c r="P7" s="8">
        <f t="shared" si="4"/>
        <v>9560088</v>
      </c>
      <c r="Q7" s="8">
        <f t="shared" si="5"/>
        <v>17354860</v>
      </c>
      <c r="R7" s="8">
        <f t="shared" si="6"/>
        <v>2810177</v>
      </c>
      <c r="S7" s="8">
        <f t="shared" si="7"/>
        <v>14.315789473684211</v>
      </c>
      <c r="T7" s="8">
        <f t="shared" si="8"/>
        <v>2579.8235294117649</v>
      </c>
      <c r="V7" s="93">
        <f t="shared" si="9"/>
        <v>29.920245999999999</v>
      </c>
      <c r="W7" s="93">
        <f t="shared" si="0"/>
        <v>16.676223839999999</v>
      </c>
      <c r="X7" s="93">
        <f t="shared" si="0"/>
        <v>9.5600880000000004</v>
      </c>
      <c r="Y7" s="93">
        <f t="shared" si="1"/>
        <v>2.8101769999999999</v>
      </c>
      <c r="Z7" s="8"/>
    </row>
    <row r="8" spans="2:26" x14ac:dyDescent="0.2">
      <c r="B8" s="5" t="s">
        <v>1025</v>
      </c>
      <c r="C8" s="5" t="s">
        <v>1411</v>
      </c>
      <c r="D8" s="5">
        <v>2024</v>
      </c>
      <c r="E8" s="9">
        <v>12</v>
      </c>
      <c r="F8" s="9">
        <v>2597</v>
      </c>
      <c r="G8" s="9">
        <v>373968</v>
      </c>
      <c r="H8" s="20">
        <v>1193265</v>
      </c>
      <c r="I8" s="9">
        <v>699309</v>
      </c>
      <c r="J8" s="9">
        <v>119988</v>
      </c>
      <c r="K8" s="8">
        <v>654762.23999999999</v>
      </c>
      <c r="M8">
        <v>2024</v>
      </c>
      <c r="N8" s="8">
        <f t="shared" si="2"/>
        <v>30404661</v>
      </c>
      <c r="O8" s="8">
        <f t="shared" si="3"/>
        <v>16999672.199999999</v>
      </c>
      <c r="P8" s="8">
        <f t="shared" si="4"/>
        <v>9953340</v>
      </c>
      <c r="Q8" s="8">
        <f t="shared" si="5"/>
        <v>17684925</v>
      </c>
      <c r="R8" s="8">
        <f t="shared" si="6"/>
        <v>2463993</v>
      </c>
      <c r="S8" s="8">
        <f t="shared" si="7"/>
        <v>13.736842105263158</v>
      </c>
      <c r="T8" s="8">
        <f t="shared" si="8"/>
        <v>2768.2352941176468</v>
      </c>
      <c r="V8" s="93">
        <f t="shared" si="9"/>
        <v>30.404661000000001</v>
      </c>
      <c r="W8" s="93">
        <f t="shared" si="0"/>
        <v>16.999672199999999</v>
      </c>
      <c r="X8" s="93">
        <f t="shared" si="0"/>
        <v>9.9533400000000007</v>
      </c>
      <c r="Y8" s="93">
        <f t="shared" si="1"/>
        <v>2.4639929999999999</v>
      </c>
      <c r="Z8" s="8"/>
    </row>
    <row r="9" spans="2:26" x14ac:dyDescent="0.2">
      <c r="B9" s="5" t="s">
        <v>1437</v>
      </c>
      <c r="C9" t="s">
        <v>1438</v>
      </c>
      <c r="D9">
        <v>2019</v>
      </c>
      <c r="E9" s="9">
        <v>33</v>
      </c>
      <c r="F9" s="9">
        <v>1914</v>
      </c>
      <c r="G9" s="9">
        <v>757944</v>
      </c>
      <c r="H9" s="9">
        <v>3084434</v>
      </c>
      <c r="I9" s="9">
        <v>2276594</v>
      </c>
      <c r="J9" s="9">
        <v>49896</v>
      </c>
      <c r="K9" s="8">
        <v>1133755.92</v>
      </c>
    </row>
    <row r="10" spans="2:26" x14ac:dyDescent="0.2">
      <c r="B10" s="5" t="s">
        <v>1437</v>
      </c>
      <c r="C10" t="s">
        <v>1438</v>
      </c>
      <c r="D10">
        <v>2020</v>
      </c>
      <c r="E10" s="9">
        <v>21</v>
      </c>
      <c r="F10" s="9">
        <v>2264</v>
      </c>
      <c r="G10" s="9">
        <v>570528</v>
      </c>
      <c r="H10" s="9">
        <v>1249050</v>
      </c>
      <c r="I10" s="9">
        <v>747784</v>
      </c>
      <c r="J10" s="9">
        <v>-69262</v>
      </c>
      <c r="K10" s="8">
        <v>746593.04</v>
      </c>
      <c r="N10" s="89">
        <f>(N8/N3)^(1/5)-1</f>
        <v>7.1953686390491933E-2</v>
      </c>
      <c r="O10" s="89">
        <f t="shared" ref="O10:Q10" si="10">(O8/O3)^(1/5)-1</f>
        <v>7.7947478907602896E-2</v>
      </c>
      <c r="P10" s="89">
        <f t="shared" si="10"/>
        <v>8.5243907895063753E-2</v>
      </c>
      <c r="Q10" s="89">
        <f t="shared" si="10"/>
        <v>6.9405925308671179E-2</v>
      </c>
      <c r="R10" s="89">
        <f>(R8/R3)^(1/5)-1</f>
        <v>7.7164192027642464E-2</v>
      </c>
      <c r="S10" s="89">
        <f>(S8/S3)^(1/5)-1</f>
        <v>-1.9735614463118445E-2</v>
      </c>
      <c r="T10" s="89">
        <f>(T8/T3)^(1/5)-1</f>
        <v>6.0148009023802684E-2</v>
      </c>
    </row>
    <row r="11" spans="2:26" x14ac:dyDescent="0.2">
      <c r="B11" s="5" t="s">
        <v>1437</v>
      </c>
      <c r="C11" t="s">
        <v>1438</v>
      </c>
      <c r="D11">
        <v>2021</v>
      </c>
      <c r="E11" s="9">
        <v>22</v>
      </c>
      <c r="F11" s="9">
        <v>2355</v>
      </c>
      <c r="G11" s="9">
        <v>621720</v>
      </c>
      <c r="H11" s="9">
        <v>1374583</v>
      </c>
      <c r="I11" s="9">
        <v>749439</v>
      </c>
      <c r="J11" s="9">
        <v>3424</v>
      </c>
      <c r="K11" s="8">
        <v>892483.6</v>
      </c>
    </row>
    <row r="12" spans="2:26" x14ac:dyDescent="0.2">
      <c r="B12" s="5" t="s">
        <v>1437</v>
      </c>
      <c r="C12" t="s">
        <v>1438</v>
      </c>
      <c r="D12">
        <v>2022</v>
      </c>
      <c r="E12" s="9">
        <v>23</v>
      </c>
      <c r="F12" s="9">
        <v>2689</v>
      </c>
      <c r="G12" s="9">
        <v>742164</v>
      </c>
      <c r="H12" s="9">
        <v>1467780</v>
      </c>
      <c r="I12" s="9">
        <v>725193</v>
      </c>
      <c r="J12" s="9">
        <v>423</v>
      </c>
      <c r="K12" s="8">
        <v>1061717.52</v>
      </c>
      <c r="N12" s="5" t="s">
        <v>1025</v>
      </c>
      <c r="O12" s="5" t="s">
        <v>1411</v>
      </c>
    </row>
    <row r="13" spans="2:26" x14ac:dyDescent="0.2">
      <c r="B13" s="5" t="s">
        <v>1437</v>
      </c>
      <c r="C13" t="s">
        <v>1438</v>
      </c>
      <c r="D13">
        <v>2023</v>
      </c>
      <c r="E13" s="9">
        <v>18</v>
      </c>
      <c r="F13" s="9">
        <v>2843</v>
      </c>
      <c r="G13" s="9">
        <v>614088</v>
      </c>
      <c r="H13" s="9">
        <v>1658335</v>
      </c>
      <c r="I13" s="9">
        <v>1042758</v>
      </c>
      <c r="J13" s="9">
        <v>1489</v>
      </c>
      <c r="K13" s="8">
        <v>879634.84</v>
      </c>
      <c r="N13" s="5" t="s">
        <v>1437</v>
      </c>
      <c r="O13" t="s">
        <v>1438</v>
      </c>
    </row>
    <row r="14" spans="2:26" x14ac:dyDescent="0.2">
      <c r="B14" s="5" t="s">
        <v>1437</v>
      </c>
      <c r="C14" t="s">
        <v>1438</v>
      </c>
      <c r="D14">
        <v>2024</v>
      </c>
      <c r="E14" s="9">
        <v>19</v>
      </c>
      <c r="F14" s="9">
        <v>2886</v>
      </c>
      <c r="G14" s="9">
        <v>658008</v>
      </c>
      <c r="H14" s="9">
        <v>1526769</v>
      </c>
      <c r="I14" s="9">
        <v>916541</v>
      </c>
      <c r="J14" s="9">
        <v>-47780</v>
      </c>
      <c r="K14" s="8">
        <v>893171.44</v>
      </c>
      <c r="N14" s="5" t="s">
        <v>1439</v>
      </c>
      <c r="O14" t="s">
        <v>1440</v>
      </c>
    </row>
    <row r="15" spans="2:26" x14ac:dyDescent="0.2">
      <c r="B15" s="5" t="s">
        <v>1439</v>
      </c>
      <c r="C15" t="s">
        <v>1440</v>
      </c>
      <c r="D15">
        <v>2019</v>
      </c>
      <c r="E15" s="9">
        <v>7</v>
      </c>
      <c r="F15" s="9">
        <v>1744</v>
      </c>
      <c r="G15" s="9">
        <v>146496</v>
      </c>
      <c r="H15" s="9">
        <v>231606</v>
      </c>
      <c r="I15" s="9">
        <v>142244</v>
      </c>
      <c r="J15" s="9">
        <v>-57134</v>
      </c>
      <c r="K15" s="8">
        <v>152355.28</v>
      </c>
      <c r="N15" s="5" t="s">
        <v>387</v>
      </c>
      <c r="O15" s="5" t="s">
        <v>1445</v>
      </c>
    </row>
    <row r="16" spans="2:26" x14ac:dyDescent="0.2">
      <c r="B16" s="5" t="s">
        <v>1439</v>
      </c>
      <c r="C16" t="s">
        <v>1440</v>
      </c>
      <c r="D16">
        <v>2020</v>
      </c>
      <c r="E16" s="9">
        <v>6</v>
      </c>
      <c r="F16" s="9">
        <v>1741</v>
      </c>
      <c r="G16" s="9">
        <v>125352</v>
      </c>
      <c r="H16" s="9">
        <v>429939</v>
      </c>
      <c r="I16" s="9">
        <v>200151</v>
      </c>
      <c r="J16" s="9">
        <v>104436</v>
      </c>
      <c r="K16" s="8">
        <v>283689.36</v>
      </c>
      <c r="N16" s="5" t="s">
        <v>933</v>
      </c>
      <c r="O16" s="5" t="s">
        <v>1467</v>
      </c>
    </row>
    <row r="17" spans="2:15" x14ac:dyDescent="0.2">
      <c r="B17" s="5" t="s">
        <v>1439</v>
      </c>
      <c r="C17" t="s">
        <v>1440</v>
      </c>
      <c r="D17">
        <v>2021</v>
      </c>
      <c r="E17" s="9">
        <v>8</v>
      </c>
      <c r="F17" s="9">
        <v>2459</v>
      </c>
      <c r="G17" s="9">
        <v>236064</v>
      </c>
      <c r="H17" s="9">
        <v>620813</v>
      </c>
      <c r="I17" s="9">
        <v>287487</v>
      </c>
      <c r="J17" s="9">
        <v>97262</v>
      </c>
      <c r="K17" s="8">
        <v>434833.52</v>
      </c>
      <c r="N17" s="5" t="s">
        <v>298</v>
      </c>
      <c r="O17" s="5" t="s">
        <v>1481</v>
      </c>
    </row>
    <row r="18" spans="2:15" x14ac:dyDescent="0.2">
      <c r="B18" s="5" t="s">
        <v>1439</v>
      </c>
      <c r="C18" t="s">
        <v>1440</v>
      </c>
      <c r="D18">
        <v>2022</v>
      </c>
      <c r="E18" s="9">
        <v>9</v>
      </c>
      <c r="F18" s="9">
        <v>2996</v>
      </c>
      <c r="G18" s="9">
        <v>323568</v>
      </c>
      <c r="H18" s="9">
        <v>922751</v>
      </c>
      <c r="I18" s="9">
        <v>621784</v>
      </c>
      <c r="J18" s="9">
        <v>-22601</v>
      </c>
      <c r="K18" s="8">
        <v>440101.24</v>
      </c>
      <c r="N18" s="5" t="s">
        <v>566</v>
      </c>
      <c r="O18" s="5" t="s">
        <v>1507</v>
      </c>
    </row>
    <row r="19" spans="2:15" x14ac:dyDescent="0.2">
      <c r="B19" s="5" t="s">
        <v>1439</v>
      </c>
      <c r="C19" t="s">
        <v>1440</v>
      </c>
      <c r="D19">
        <v>2023</v>
      </c>
      <c r="E19" s="9">
        <v>11</v>
      </c>
      <c r="F19" s="9">
        <v>3036</v>
      </c>
      <c r="G19" s="9">
        <v>400752</v>
      </c>
      <c r="H19" s="9">
        <v>1018276</v>
      </c>
      <c r="I19" s="9">
        <v>554131</v>
      </c>
      <c r="J19" s="9">
        <v>63393</v>
      </c>
      <c r="K19" s="8">
        <v>636468.36</v>
      </c>
      <c r="N19" s="5" t="s">
        <v>762</v>
      </c>
      <c r="O19" s="5" t="s">
        <v>1510</v>
      </c>
    </row>
    <row r="20" spans="2:15" x14ac:dyDescent="0.2">
      <c r="B20" s="5" t="s">
        <v>1439</v>
      </c>
      <c r="C20" t="s">
        <v>1440</v>
      </c>
      <c r="D20">
        <v>2024</v>
      </c>
      <c r="E20" s="9">
        <v>11</v>
      </c>
      <c r="F20" s="9">
        <v>3512</v>
      </c>
      <c r="G20" s="9">
        <v>463584</v>
      </c>
      <c r="H20" s="9">
        <v>1566507</v>
      </c>
      <c r="I20" s="9">
        <v>999078</v>
      </c>
      <c r="J20" s="9">
        <v>103845</v>
      </c>
      <c r="K20" s="8">
        <v>766770.12</v>
      </c>
      <c r="N20" s="5" t="s">
        <v>436</v>
      </c>
      <c r="O20" s="5" t="s">
        <v>1514</v>
      </c>
    </row>
    <row r="21" spans="2:15" x14ac:dyDescent="0.2">
      <c r="B21" s="5" t="s">
        <v>387</v>
      </c>
      <c r="C21" s="5" t="s">
        <v>1445</v>
      </c>
      <c r="D21" s="5">
        <v>2019</v>
      </c>
      <c r="E21" s="9">
        <v>21</v>
      </c>
      <c r="F21" s="9">
        <v>1975</v>
      </c>
      <c r="G21" s="9">
        <v>497700</v>
      </c>
      <c r="H21" s="9">
        <v>2883332</v>
      </c>
      <c r="I21" s="9">
        <v>2291007</v>
      </c>
      <c r="J21" s="9">
        <v>94625</v>
      </c>
      <c r="K21" s="8">
        <v>806336</v>
      </c>
      <c r="N21" s="5" t="s">
        <v>455</v>
      </c>
      <c r="O21" s="5" t="s">
        <v>1525</v>
      </c>
    </row>
    <row r="22" spans="2:15" x14ac:dyDescent="0.2">
      <c r="B22" s="5" t="s">
        <v>387</v>
      </c>
      <c r="C22" s="5" t="s">
        <v>1445</v>
      </c>
      <c r="D22" s="5">
        <v>2020</v>
      </c>
      <c r="E22" s="9">
        <v>21</v>
      </c>
      <c r="F22" s="9">
        <v>1912</v>
      </c>
      <c r="G22" s="9">
        <v>481824</v>
      </c>
      <c r="H22" s="9">
        <v>2684538</v>
      </c>
      <c r="I22" s="9">
        <v>1997675</v>
      </c>
      <c r="J22" s="9">
        <v>205039</v>
      </c>
      <c r="K22" s="8">
        <v>894047.32000000007</v>
      </c>
      <c r="N22" s="5" t="s">
        <v>487</v>
      </c>
      <c r="O22" s="5" t="s">
        <v>1531</v>
      </c>
    </row>
    <row r="23" spans="2:15" x14ac:dyDescent="0.2">
      <c r="B23" s="5" t="s">
        <v>387</v>
      </c>
      <c r="C23" s="5" t="s">
        <v>1445</v>
      </c>
      <c r="D23" s="5">
        <v>2021</v>
      </c>
      <c r="E23" s="9">
        <v>26</v>
      </c>
      <c r="F23" s="9">
        <v>2050</v>
      </c>
      <c r="G23" s="9">
        <v>639600</v>
      </c>
      <c r="H23" s="9">
        <v>3293875</v>
      </c>
      <c r="I23" s="9">
        <v>2434812</v>
      </c>
      <c r="J23" s="9">
        <v>219463</v>
      </c>
      <c r="K23" s="8">
        <v>1134091</v>
      </c>
      <c r="N23" s="5" t="s">
        <v>1534</v>
      </c>
      <c r="O23" s="5" t="s">
        <v>1533</v>
      </c>
    </row>
    <row r="24" spans="2:15" x14ac:dyDescent="0.2">
      <c r="B24" s="5" t="s">
        <v>387</v>
      </c>
      <c r="C24" s="5" t="s">
        <v>1445</v>
      </c>
      <c r="D24" s="5">
        <v>2022</v>
      </c>
      <c r="E24" s="9">
        <v>27</v>
      </c>
      <c r="F24" s="9">
        <v>2306</v>
      </c>
      <c r="G24" s="9">
        <v>747144</v>
      </c>
      <c r="H24" s="9">
        <v>3529291</v>
      </c>
      <c r="I24" s="9">
        <v>2500174</v>
      </c>
      <c r="J24" s="9">
        <v>281973</v>
      </c>
      <c r="K24" s="8">
        <v>1350388.92</v>
      </c>
      <c r="N24" s="5" t="s">
        <v>1077</v>
      </c>
      <c r="O24" s="5" t="s">
        <v>1547</v>
      </c>
    </row>
    <row r="25" spans="2:15" x14ac:dyDescent="0.2">
      <c r="B25" s="5" t="s">
        <v>387</v>
      </c>
      <c r="C25" s="5" t="s">
        <v>1445</v>
      </c>
      <c r="D25" s="5">
        <v>2023</v>
      </c>
      <c r="E25" s="9">
        <v>26</v>
      </c>
      <c r="F25" s="9">
        <v>2557</v>
      </c>
      <c r="G25" s="9">
        <v>797784</v>
      </c>
      <c r="H25" s="9">
        <v>4148973</v>
      </c>
      <c r="I25" s="9">
        <v>3130484</v>
      </c>
      <c r="J25" s="9">
        <v>220705</v>
      </c>
      <c r="K25" s="8">
        <v>1361536.12</v>
      </c>
      <c r="N25" s="5" t="s">
        <v>698</v>
      </c>
      <c r="O25" s="5" t="s">
        <v>1558</v>
      </c>
    </row>
    <row r="26" spans="2:15" x14ac:dyDescent="0.2">
      <c r="B26" s="5" t="s">
        <v>387</v>
      </c>
      <c r="C26" s="5" t="s">
        <v>1445</v>
      </c>
      <c r="D26" s="5">
        <v>2024</v>
      </c>
      <c r="E26" s="9">
        <v>24</v>
      </c>
      <c r="F26" s="9">
        <v>2745</v>
      </c>
      <c r="G26" s="9">
        <v>790560</v>
      </c>
      <c r="H26" s="9">
        <v>3374832</v>
      </c>
      <c r="I26" s="9">
        <v>2302493</v>
      </c>
      <c r="J26" s="9">
        <v>281779</v>
      </c>
      <c r="K26" s="8">
        <v>1412279.8</v>
      </c>
      <c r="N26" s="5" t="s">
        <v>1590</v>
      </c>
      <c r="O26" s="5" t="s">
        <v>1591</v>
      </c>
    </row>
    <row r="27" spans="2:15" x14ac:dyDescent="0.2">
      <c r="B27" s="5" t="s">
        <v>933</v>
      </c>
      <c r="C27" s="5" t="s">
        <v>1467</v>
      </c>
      <c r="D27" s="5">
        <v>2019</v>
      </c>
      <c r="E27" s="9">
        <v>1</v>
      </c>
      <c r="F27" s="9"/>
      <c r="G27" s="9"/>
      <c r="H27" s="9">
        <v>64811</v>
      </c>
      <c r="I27" s="9">
        <v>0</v>
      </c>
      <c r="J27" s="9">
        <v>5224</v>
      </c>
      <c r="K27" s="8">
        <v>64811</v>
      </c>
      <c r="N27" s="5" t="s">
        <v>734</v>
      </c>
      <c r="O27" s="5" t="s">
        <v>1593</v>
      </c>
    </row>
    <row r="28" spans="2:15" x14ac:dyDescent="0.2">
      <c r="B28" s="5" t="s">
        <v>933</v>
      </c>
      <c r="C28" s="5" t="s">
        <v>1467</v>
      </c>
      <c r="D28" s="5">
        <v>2020</v>
      </c>
      <c r="E28" s="9">
        <v>2</v>
      </c>
      <c r="F28" s="9"/>
      <c r="G28" s="9"/>
      <c r="H28" s="9">
        <v>17787</v>
      </c>
      <c r="I28" s="9">
        <v>0</v>
      </c>
      <c r="J28" s="9">
        <v>-4123</v>
      </c>
      <c r="K28" s="8">
        <v>17787</v>
      </c>
      <c r="N28" s="5" t="s">
        <v>834</v>
      </c>
      <c r="O28" s="5" t="s">
        <v>1600</v>
      </c>
    </row>
    <row r="29" spans="2:15" x14ac:dyDescent="0.2">
      <c r="B29" s="5" t="s">
        <v>933</v>
      </c>
      <c r="C29" s="5" t="s">
        <v>1467</v>
      </c>
      <c r="D29" s="5">
        <v>2021</v>
      </c>
      <c r="E29" s="9">
        <v>1</v>
      </c>
      <c r="F29" s="9"/>
      <c r="G29" s="9"/>
      <c r="H29" s="9">
        <v>31519</v>
      </c>
      <c r="I29" s="9">
        <v>0</v>
      </c>
      <c r="J29" s="9">
        <v>11349</v>
      </c>
      <c r="K29" s="8">
        <v>31519</v>
      </c>
      <c r="N29" s="5" t="s">
        <v>1006</v>
      </c>
      <c r="O29" s="5" t="s">
        <v>1601</v>
      </c>
    </row>
    <row r="30" spans="2:15" x14ac:dyDescent="0.2">
      <c r="B30" s="5" t="s">
        <v>933</v>
      </c>
      <c r="C30" s="5" t="s">
        <v>1467</v>
      </c>
      <c r="D30" s="5">
        <v>2022</v>
      </c>
      <c r="E30" s="9">
        <v>1</v>
      </c>
      <c r="F30" s="9"/>
      <c r="G30" s="9"/>
      <c r="H30" s="9">
        <v>36262</v>
      </c>
      <c r="I30" s="9">
        <v>0</v>
      </c>
      <c r="J30" s="9">
        <v>-1098</v>
      </c>
      <c r="K30" s="8">
        <v>36262</v>
      </c>
      <c r="N30" s="5" t="s">
        <v>354</v>
      </c>
      <c r="O30" s="5" t="s">
        <v>1607</v>
      </c>
    </row>
    <row r="31" spans="2:15" x14ac:dyDescent="0.2">
      <c r="B31" s="5" t="s">
        <v>933</v>
      </c>
      <c r="C31" s="5" t="s">
        <v>1467</v>
      </c>
      <c r="D31" s="5">
        <v>2023</v>
      </c>
      <c r="E31" s="9">
        <v>1</v>
      </c>
      <c r="F31" s="9"/>
      <c r="G31" s="9"/>
      <c r="H31" s="9">
        <v>25807</v>
      </c>
      <c r="I31" s="9">
        <v>0</v>
      </c>
      <c r="J31" s="9">
        <v>1644</v>
      </c>
      <c r="K31" s="8">
        <v>25807</v>
      </c>
      <c r="N31" s="5" t="s">
        <v>1669</v>
      </c>
      <c r="O31" s="5" t="s">
        <v>1667</v>
      </c>
    </row>
    <row r="32" spans="2:15" x14ac:dyDescent="0.2">
      <c r="B32" s="5" t="s">
        <v>933</v>
      </c>
      <c r="C32" s="5" t="s">
        <v>1467</v>
      </c>
      <c r="D32" s="5">
        <v>2024</v>
      </c>
      <c r="E32" s="9">
        <v>1</v>
      </c>
      <c r="F32" s="9"/>
      <c r="G32" s="9"/>
      <c r="H32" s="9">
        <v>16127</v>
      </c>
      <c r="I32" s="9">
        <v>0</v>
      </c>
      <c r="J32" s="9">
        <v>-1197</v>
      </c>
      <c r="K32" s="8">
        <v>16127</v>
      </c>
    </row>
    <row r="33" spans="2:11" x14ac:dyDescent="0.2">
      <c r="B33" s="5" t="s">
        <v>298</v>
      </c>
      <c r="C33" s="5" t="s">
        <v>1481</v>
      </c>
      <c r="D33" s="5">
        <v>2019</v>
      </c>
      <c r="E33" s="9">
        <v>37</v>
      </c>
      <c r="F33" s="9">
        <v>2524</v>
      </c>
      <c r="G33" s="9">
        <v>1120656</v>
      </c>
      <c r="H33" s="9">
        <v>2788993</v>
      </c>
      <c r="I33" s="9">
        <v>1474621</v>
      </c>
      <c r="J33" s="9">
        <v>193716</v>
      </c>
      <c r="K33" s="8">
        <v>1796254.08</v>
      </c>
    </row>
    <row r="34" spans="2:11" x14ac:dyDescent="0.2">
      <c r="B34" s="5" t="s">
        <v>298</v>
      </c>
      <c r="C34" s="5" t="s">
        <v>1481</v>
      </c>
      <c r="D34" s="5">
        <v>2020</v>
      </c>
      <c r="E34" s="9">
        <v>34</v>
      </c>
      <c r="F34" s="9">
        <v>2480</v>
      </c>
      <c r="G34" s="9">
        <v>1011840</v>
      </c>
      <c r="H34" s="9">
        <v>2555815</v>
      </c>
      <c r="I34" s="9">
        <v>1297344</v>
      </c>
      <c r="J34" s="9">
        <v>246631</v>
      </c>
      <c r="K34" s="8">
        <v>1693562.2</v>
      </c>
    </row>
    <row r="35" spans="2:11" x14ac:dyDescent="0.2">
      <c r="B35" s="5" t="s">
        <v>298</v>
      </c>
      <c r="C35" s="5" t="s">
        <v>1481</v>
      </c>
      <c r="D35" s="5">
        <v>2021</v>
      </c>
      <c r="E35" s="9">
        <v>40</v>
      </c>
      <c r="F35" s="9">
        <v>2666</v>
      </c>
      <c r="G35" s="9">
        <v>1279680</v>
      </c>
      <c r="H35" s="9">
        <v>3502499</v>
      </c>
      <c r="I35" s="9">
        <v>1927907</v>
      </c>
      <c r="J35" s="9">
        <v>294912</v>
      </c>
      <c r="K35" s="8">
        <v>2124854.4</v>
      </c>
    </row>
    <row r="36" spans="2:11" x14ac:dyDescent="0.2">
      <c r="B36" s="5" t="s">
        <v>298</v>
      </c>
      <c r="C36" s="5" t="s">
        <v>1481</v>
      </c>
      <c r="D36" s="5">
        <v>2022</v>
      </c>
      <c r="E36" s="9">
        <v>40</v>
      </c>
      <c r="F36" s="9">
        <v>2813</v>
      </c>
      <c r="G36" s="9">
        <v>1350240</v>
      </c>
      <c r="H36" s="9">
        <v>3936974</v>
      </c>
      <c r="I36" s="9">
        <v>2316948</v>
      </c>
      <c r="J36" s="9">
        <v>269786</v>
      </c>
      <c r="K36" s="8">
        <v>2200629.2000000002</v>
      </c>
    </row>
    <row r="37" spans="2:11" x14ac:dyDescent="0.2">
      <c r="B37" s="5" t="s">
        <v>298</v>
      </c>
      <c r="C37" s="5" t="s">
        <v>1481</v>
      </c>
      <c r="D37" s="5">
        <v>2023</v>
      </c>
      <c r="E37" s="9">
        <v>42</v>
      </c>
      <c r="F37" s="9">
        <v>3112</v>
      </c>
      <c r="G37" s="9">
        <v>1568448</v>
      </c>
      <c r="H37" s="9">
        <v>4517735</v>
      </c>
      <c r="I37" s="9">
        <v>2632438</v>
      </c>
      <c r="J37" s="9">
        <v>316849</v>
      </c>
      <c r="K37" s="8">
        <v>2559729.64</v>
      </c>
    </row>
    <row r="38" spans="2:11" x14ac:dyDescent="0.2">
      <c r="B38" s="5" t="s">
        <v>298</v>
      </c>
      <c r="C38" s="5" t="s">
        <v>1481</v>
      </c>
      <c r="D38" s="5">
        <v>2024</v>
      </c>
      <c r="E38" s="9">
        <v>44</v>
      </c>
      <c r="F38" s="9">
        <v>3463</v>
      </c>
      <c r="G38" s="9">
        <v>1828464</v>
      </c>
      <c r="H38" s="9">
        <v>5231622</v>
      </c>
      <c r="I38" s="9">
        <v>3073996</v>
      </c>
      <c r="J38" s="9">
        <v>329162</v>
      </c>
      <c r="K38" s="8">
        <v>2943865.52</v>
      </c>
    </row>
    <row r="39" spans="2:11" x14ac:dyDescent="0.2">
      <c r="B39" s="5" t="s">
        <v>566</v>
      </c>
      <c r="C39" s="5" t="s">
        <v>1507</v>
      </c>
      <c r="D39" s="5">
        <v>2019</v>
      </c>
      <c r="E39" s="9">
        <v>18</v>
      </c>
      <c r="F39" s="9">
        <v>2233</v>
      </c>
      <c r="G39" s="9">
        <v>482328</v>
      </c>
      <c r="H39" s="9">
        <v>1281358</v>
      </c>
      <c r="I39" s="9">
        <v>615947</v>
      </c>
      <c r="J39" s="9">
        <v>183083</v>
      </c>
      <c r="K39" s="8">
        <v>872812.04</v>
      </c>
    </row>
    <row r="40" spans="2:11" x14ac:dyDescent="0.2">
      <c r="B40" s="5" t="s">
        <v>566</v>
      </c>
      <c r="C40" s="5" t="s">
        <v>1507</v>
      </c>
      <c r="D40" s="5">
        <v>2020</v>
      </c>
      <c r="E40" s="9">
        <v>15</v>
      </c>
      <c r="F40" s="9">
        <v>2502</v>
      </c>
      <c r="G40" s="9">
        <v>450360</v>
      </c>
      <c r="H40" s="9">
        <v>1148506</v>
      </c>
      <c r="I40" s="9">
        <v>454263</v>
      </c>
      <c r="J40" s="9">
        <v>243883</v>
      </c>
      <c r="K40" s="8">
        <v>887897.8</v>
      </c>
    </row>
    <row r="41" spans="2:11" x14ac:dyDescent="0.2">
      <c r="B41" s="5" t="s">
        <v>566</v>
      </c>
      <c r="C41" s="5" t="s">
        <v>1507</v>
      </c>
      <c r="D41" s="5">
        <v>2021</v>
      </c>
      <c r="E41" s="9">
        <v>13</v>
      </c>
      <c r="F41" s="9">
        <v>2615</v>
      </c>
      <c r="G41" s="9">
        <v>407940</v>
      </c>
      <c r="H41" s="9">
        <v>1200820</v>
      </c>
      <c r="I41" s="9">
        <v>631887</v>
      </c>
      <c r="J41" s="9">
        <v>160993</v>
      </c>
      <c r="K41" s="8">
        <v>744347.2</v>
      </c>
    </row>
    <row r="42" spans="2:11" x14ac:dyDescent="0.2">
      <c r="B42" s="5" t="s">
        <v>566</v>
      </c>
      <c r="C42" s="5" t="s">
        <v>1507</v>
      </c>
      <c r="D42" s="5">
        <v>2022</v>
      </c>
      <c r="E42" s="9">
        <v>15</v>
      </c>
      <c r="F42" s="9">
        <v>2799</v>
      </c>
      <c r="G42" s="9">
        <v>503820</v>
      </c>
      <c r="H42" s="9">
        <v>1212715</v>
      </c>
      <c r="I42" s="9">
        <v>666220</v>
      </c>
      <c r="J42" s="9">
        <v>42675</v>
      </c>
      <c r="K42" s="8">
        <v>763137.6</v>
      </c>
    </row>
    <row r="43" spans="2:11" x14ac:dyDescent="0.2">
      <c r="B43" s="5" t="s">
        <v>566</v>
      </c>
      <c r="C43" s="5" t="s">
        <v>1507</v>
      </c>
      <c r="D43" s="5">
        <v>2023</v>
      </c>
      <c r="E43" s="9">
        <v>15</v>
      </c>
      <c r="F43" s="9">
        <v>3015</v>
      </c>
      <c r="G43" s="9">
        <v>542700</v>
      </c>
      <c r="H43" s="9">
        <v>1844085</v>
      </c>
      <c r="I43" s="9">
        <v>1092912</v>
      </c>
      <c r="J43" s="9">
        <v>208473</v>
      </c>
      <c r="K43" s="8">
        <v>984534</v>
      </c>
    </row>
    <row r="44" spans="2:11" x14ac:dyDescent="0.2">
      <c r="B44" s="5" t="s">
        <v>566</v>
      </c>
      <c r="C44" s="5" t="s">
        <v>1507</v>
      </c>
      <c r="D44" s="5">
        <v>2024</v>
      </c>
      <c r="E44" s="9">
        <v>15</v>
      </c>
      <c r="F44" s="9">
        <v>3176</v>
      </c>
      <c r="G44" s="9">
        <v>571680</v>
      </c>
      <c r="H44" s="9">
        <v>1572640</v>
      </c>
      <c r="I44" s="9">
        <v>955853</v>
      </c>
      <c r="J44" s="9">
        <v>45107</v>
      </c>
      <c r="K44" s="8">
        <v>862609.4</v>
      </c>
    </row>
    <row r="45" spans="2:11" x14ac:dyDescent="0.2">
      <c r="B45" s="5" t="s">
        <v>762</v>
      </c>
      <c r="C45" s="5" t="s">
        <v>1510</v>
      </c>
      <c r="D45" s="5">
        <v>2019</v>
      </c>
      <c r="E45" s="9">
        <v>5</v>
      </c>
      <c r="F45" s="9">
        <v>1572</v>
      </c>
      <c r="G45" s="9">
        <v>94320</v>
      </c>
      <c r="H45" s="9">
        <v>135593</v>
      </c>
      <c r="I45" s="9">
        <v>28601</v>
      </c>
      <c r="J45" s="9">
        <v>12672</v>
      </c>
      <c r="K45" s="8">
        <v>147549.6</v>
      </c>
    </row>
    <row r="46" spans="2:11" x14ac:dyDescent="0.2">
      <c r="B46" s="5" t="s">
        <v>762</v>
      </c>
      <c r="C46" s="5" t="s">
        <v>1510</v>
      </c>
      <c r="D46" s="5">
        <v>2020</v>
      </c>
      <c r="E46" s="9">
        <v>3</v>
      </c>
      <c r="F46" s="9">
        <v>2349</v>
      </c>
      <c r="G46" s="9">
        <v>84564</v>
      </c>
      <c r="H46" s="9">
        <v>140132</v>
      </c>
      <c r="I46" s="9">
        <v>54835</v>
      </c>
      <c r="J46" s="9">
        <v>733</v>
      </c>
      <c r="K46" s="8">
        <v>121659.51999999999</v>
      </c>
    </row>
    <row r="47" spans="2:11" x14ac:dyDescent="0.2">
      <c r="B47" s="5" t="s">
        <v>762</v>
      </c>
      <c r="C47" s="5" t="s">
        <v>1510</v>
      </c>
      <c r="D47" s="5">
        <v>2021</v>
      </c>
      <c r="E47" s="9">
        <v>4</v>
      </c>
      <c r="F47" s="9">
        <v>2364</v>
      </c>
      <c r="G47" s="9">
        <v>113472</v>
      </c>
      <c r="H47" s="9">
        <v>204229</v>
      </c>
      <c r="I47" s="9">
        <v>85102</v>
      </c>
      <c r="J47" s="9">
        <v>5655</v>
      </c>
      <c r="K47" s="8">
        <v>167919.96</v>
      </c>
    </row>
    <row r="48" spans="2:11" x14ac:dyDescent="0.2">
      <c r="B48" s="5" t="s">
        <v>762</v>
      </c>
      <c r="C48" s="5" t="s">
        <v>1510</v>
      </c>
      <c r="D48" s="5">
        <v>2022</v>
      </c>
      <c r="E48" s="9">
        <v>5</v>
      </c>
      <c r="F48" s="9">
        <v>1821</v>
      </c>
      <c r="G48" s="9">
        <v>109260</v>
      </c>
      <c r="H48" s="9">
        <v>308709</v>
      </c>
      <c r="I48" s="9">
        <v>199497</v>
      </c>
      <c r="J48" s="9">
        <v>-48</v>
      </c>
      <c r="K48" s="8">
        <v>156193.79999999999</v>
      </c>
    </row>
    <row r="49" spans="2:11" x14ac:dyDescent="0.2">
      <c r="B49" s="5" t="s">
        <v>762</v>
      </c>
      <c r="C49" s="5" t="s">
        <v>1510</v>
      </c>
      <c r="D49" s="5">
        <v>2023</v>
      </c>
      <c r="E49" s="9">
        <v>6</v>
      </c>
      <c r="F49" s="9">
        <v>2005</v>
      </c>
      <c r="G49" s="9">
        <v>144360</v>
      </c>
      <c r="H49" s="9">
        <v>463961</v>
      </c>
      <c r="I49" s="9">
        <v>318297</v>
      </c>
      <c r="J49" s="9">
        <v>1304</v>
      </c>
      <c r="K49" s="8">
        <v>207738.8</v>
      </c>
    </row>
    <row r="50" spans="2:11" x14ac:dyDescent="0.2">
      <c r="B50" s="5" t="s">
        <v>762</v>
      </c>
      <c r="C50" s="5" t="s">
        <v>1510</v>
      </c>
      <c r="D50" s="5">
        <v>2024</v>
      </c>
      <c r="E50" s="9">
        <v>3</v>
      </c>
      <c r="F50" s="9">
        <v>2055</v>
      </c>
      <c r="G50" s="9">
        <v>73980</v>
      </c>
      <c r="H50" s="9">
        <v>339411</v>
      </c>
      <c r="I50" s="9">
        <v>264642</v>
      </c>
      <c r="J50" s="9">
        <v>789</v>
      </c>
      <c r="K50" s="8">
        <v>106580.4</v>
      </c>
    </row>
    <row r="51" spans="2:11" x14ac:dyDescent="0.2">
      <c r="B51" s="5" t="s">
        <v>436</v>
      </c>
      <c r="C51" s="5" t="s">
        <v>1514</v>
      </c>
      <c r="D51" s="5">
        <v>2019</v>
      </c>
      <c r="E51" s="9">
        <v>30</v>
      </c>
      <c r="F51" s="9">
        <v>1979</v>
      </c>
      <c r="G51" s="9">
        <v>712440</v>
      </c>
      <c r="H51" s="9">
        <v>2121009</v>
      </c>
      <c r="I51" s="9">
        <v>1251557</v>
      </c>
      <c r="J51" s="9">
        <v>157012</v>
      </c>
      <c r="K51" s="8">
        <v>1175801.2</v>
      </c>
    </row>
    <row r="52" spans="2:11" x14ac:dyDescent="0.2">
      <c r="B52" s="5" t="s">
        <v>436</v>
      </c>
      <c r="C52" s="5" t="s">
        <v>1514</v>
      </c>
      <c r="D52" s="5">
        <v>2020</v>
      </c>
      <c r="E52" s="9">
        <v>26</v>
      </c>
      <c r="F52" s="9">
        <v>2145</v>
      </c>
      <c r="G52" s="9">
        <v>669240</v>
      </c>
      <c r="H52" s="9">
        <v>2078484</v>
      </c>
      <c r="I52" s="9">
        <v>1213406</v>
      </c>
      <c r="J52" s="9">
        <v>195838</v>
      </c>
      <c r="K52" s="8">
        <v>1152851.2</v>
      </c>
    </row>
    <row r="53" spans="2:11" x14ac:dyDescent="0.2">
      <c r="B53" s="5" t="s">
        <v>436</v>
      </c>
      <c r="C53" s="5" t="s">
        <v>1514</v>
      </c>
      <c r="D53" s="5">
        <v>2021</v>
      </c>
      <c r="E53" s="9">
        <v>31</v>
      </c>
      <c r="F53" s="9">
        <v>2734</v>
      </c>
      <c r="G53" s="9">
        <v>1017048</v>
      </c>
      <c r="H53" s="9">
        <v>2384972</v>
      </c>
      <c r="I53" s="9">
        <v>1224309</v>
      </c>
      <c r="J53" s="9">
        <v>143615</v>
      </c>
      <c r="K53" s="8">
        <v>1597993.6400000001</v>
      </c>
    </row>
    <row r="54" spans="2:11" x14ac:dyDescent="0.2">
      <c r="B54" s="5" t="s">
        <v>436</v>
      </c>
      <c r="C54" s="5" t="s">
        <v>1514</v>
      </c>
      <c r="D54" s="5">
        <v>2022</v>
      </c>
      <c r="E54" s="9">
        <v>37</v>
      </c>
      <c r="F54" s="9">
        <v>2592</v>
      </c>
      <c r="G54" s="9">
        <v>1150848</v>
      </c>
      <c r="H54" s="9">
        <v>2603242</v>
      </c>
      <c r="I54" s="9">
        <v>1280115</v>
      </c>
      <c r="J54" s="9">
        <v>172279</v>
      </c>
      <c r="K54" s="8">
        <v>1817991.6400000001</v>
      </c>
    </row>
    <row r="55" spans="2:11" x14ac:dyDescent="0.2">
      <c r="B55" s="5" t="s">
        <v>436</v>
      </c>
      <c r="C55" s="5" t="s">
        <v>1514</v>
      </c>
      <c r="D55" s="5">
        <v>2023</v>
      </c>
      <c r="E55" s="9">
        <v>36</v>
      </c>
      <c r="F55" s="9">
        <v>2930</v>
      </c>
      <c r="G55" s="9">
        <v>1265760</v>
      </c>
      <c r="H55" s="9">
        <v>3033004</v>
      </c>
      <c r="I55" s="9">
        <v>1647935</v>
      </c>
      <c r="J55" s="9">
        <v>119309</v>
      </c>
      <c r="K55" s="8">
        <v>1929345.8</v>
      </c>
    </row>
    <row r="56" spans="2:11" x14ac:dyDescent="0.2">
      <c r="B56" s="5" t="s">
        <v>436</v>
      </c>
      <c r="C56" s="5" t="s">
        <v>1514</v>
      </c>
      <c r="D56" s="5">
        <v>2024</v>
      </c>
      <c r="E56" s="9">
        <v>30</v>
      </c>
      <c r="F56" s="9">
        <v>3374</v>
      </c>
      <c r="G56" s="9">
        <v>1214640</v>
      </c>
      <c r="H56" s="9">
        <v>2912372</v>
      </c>
      <c r="I56" s="9">
        <v>1665939</v>
      </c>
      <c r="J56" s="9">
        <v>31793</v>
      </c>
      <c r="K56" s="8">
        <v>1768728.2</v>
      </c>
    </row>
    <row r="57" spans="2:11" x14ac:dyDescent="0.2">
      <c r="B57" s="5" t="s">
        <v>455</v>
      </c>
      <c r="C57" s="5" t="s">
        <v>1525</v>
      </c>
      <c r="D57" s="5">
        <v>2019</v>
      </c>
      <c r="E57" s="9">
        <v>21</v>
      </c>
      <c r="F57" s="9">
        <v>2641</v>
      </c>
      <c r="G57" s="9">
        <v>665532</v>
      </c>
      <c r="H57" s="9">
        <v>1437630</v>
      </c>
      <c r="I57" s="9">
        <v>742599</v>
      </c>
      <c r="J57" s="9">
        <v>29499</v>
      </c>
      <c r="K57" s="8">
        <v>981209.76</v>
      </c>
    </row>
    <row r="58" spans="2:11" x14ac:dyDescent="0.2">
      <c r="B58" s="5" t="s">
        <v>455</v>
      </c>
      <c r="C58" s="5" t="s">
        <v>1525</v>
      </c>
      <c r="D58" s="5">
        <v>2020</v>
      </c>
      <c r="E58" s="9">
        <v>19</v>
      </c>
      <c r="F58" s="9">
        <v>2472</v>
      </c>
      <c r="G58" s="9">
        <v>563616</v>
      </c>
      <c r="H58" s="9">
        <v>1657585</v>
      </c>
      <c r="I58" s="9">
        <v>911880</v>
      </c>
      <c r="J58" s="9">
        <v>182089</v>
      </c>
      <c r="K58" s="8">
        <v>988059.88</v>
      </c>
    </row>
    <row r="59" spans="2:11" x14ac:dyDescent="0.2">
      <c r="B59" s="5" t="s">
        <v>455</v>
      </c>
      <c r="C59" s="5" t="s">
        <v>1525</v>
      </c>
      <c r="D59" s="5">
        <v>2021</v>
      </c>
      <c r="E59" s="9">
        <v>30</v>
      </c>
      <c r="F59" s="9">
        <v>2653</v>
      </c>
      <c r="G59" s="9">
        <v>955080</v>
      </c>
      <c r="H59" s="9">
        <v>2138268</v>
      </c>
      <c r="I59" s="9">
        <v>1091157</v>
      </c>
      <c r="J59" s="9">
        <v>92031</v>
      </c>
      <c r="K59" s="8">
        <v>1457795.4</v>
      </c>
    </row>
    <row r="60" spans="2:11" x14ac:dyDescent="0.2">
      <c r="B60" s="5" t="s">
        <v>455</v>
      </c>
      <c r="C60" s="5" t="s">
        <v>1525</v>
      </c>
      <c r="D60" s="5">
        <v>2022</v>
      </c>
      <c r="E60" s="9">
        <v>23</v>
      </c>
      <c r="F60" s="9">
        <v>3013</v>
      </c>
      <c r="G60" s="9">
        <v>831588</v>
      </c>
      <c r="H60" s="9">
        <v>2505905</v>
      </c>
      <c r="I60" s="9">
        <v>1505264</v>
      </c>
      <c r="J60" s="9">
        <v>169053</v>
      </c>
      <c r="K60" s="8">
        <v>1358223.8399999999</v>
      </c>
    </row>
    <row r="61" spans="2:11" x14ac:dyDescent="0.2">
      <c r="B61" s="5" t="s">
        <v>455</v>
      </c>
      <c r="C61" s="5" t="s">
        <v>1525</v>
      </c>
      <c r="D61" s="5">
        <v>2023</v>
      </c>
      <c r="E61" s="9">
        <v>19</v>
      </c>
      <c r="F61" s="9">
        <v>3356</v>
      </c>
      <c r="G61" s="9">
        <v>765168</v>
      </c>
      <c r="H61" s="9">
        <v>2356412</v>
      </c>
      <c r="I61" s="9">
        <v>1419365</v>
      </c>
      <c r="J61" s="9">
        <v>171879</v>
      </c>
      <c r="K61" s="8">
        <v>1266069.24</v>
      </c>
    </row>
    <row r="62" spans="2:11" x14ac:dyDescent="0.2">
      <c r="B62" s="5" t="s">
        <v>455</v>
      </c>
      <c r="C62" s="5" t="s">
        <v>1525</v>
      </c>
      <c r="D62" s="5">
        <v>2024</v>
      </c>
      <c r="E62" s="9">
        <v>19</v>
      </c>
      <c r="F62" s="9">
        <v>3590</v>
      </c>
      <c r="G62" s="9">
        <v>818520</v>
      </c>
      <c r="H62" s="9">
        <v>2822488</v>
      </c>
      <c r="I62" s="9">
        <v>1869505</v>
      </c>
      <c r="J62" s="9">
        <v>134463</v>
      </c>
      <c r="K62" s="8">
        <v>1304946.6000000001</v>
      </c>
    </row>
    <row r="63" spans="2:11" x14ac:dyDescent="0.2">
      <c r="B63" s="5" t="s">
        <v>487</v>
      </c>
      <c r="C63" s="5" t="s">
        <v>1531</v>
      </c>
      <c r="D63" s="5">
        <v>2019</v>
      </c>
      <c r="E63" s="9">
        <v>24</v>
      </c>
      <c r="F63" s="9">
        <v>2463</v>
      </c>
      <c r="G63" s="9">
        <v>709344</v>
      </c>
      <c r="H63" s="9">
        <v>1653501</v>
      </c>
      <c r="I63" s="9">
        <v>742762</v>
      </c>
      <c r="J63" s="9">
        <v>201395</v>
      </c>
      <c r="K63" s="8">
        <v>1215756.92</v>
      </c>
    </row>
    <row r="64" spans="2:11" x14ac:dyDescent="0.2">
      <c r="B64" s="5" t="s">
        <v>487</v>
      </c>
      <c r="C64" s="5" t="s">
        <v>1531</v>
      </c>
      <c r="D64" s="5">
        <v>2020</v>
      </c>
      <c r="E64" s="9">
        <v>25</v>
      </c>
      <c r="F64" s="9">
        <v>2430</v>
      </c>
      <c r="G64" s="9">
        <v>729000</v>
      </c>
      <c r="H64" s="9">
        <v>1636617</v>
      </c>
      <c r="I64" s="9">
        <v>709069</v>
      </c>
      <c r="J64" s="9">
        <v>198548</v>
      </c>
      <c r="K64" s="8">
        <v>1241018</v>
      </c>
    </row>
    <row r="65" spans="2:11" x14ac:dyDescent="0.2">
      <c r="B65" s="5" t="s">
        <v>487</v>
      </c>
      <c r="C65" s="5" t="s">
        <v>1531</v>
      </c>
      <c r="D65" s="5">
        <v>2021</v>
      </c>
      <c r="E65" s="9">
        <v>25</v>
      </c>
      <c r="F65" s="9">
        <v>3043</v>
      </c>
      <c r="G65" s="9">
        <v>912900</v>
      </c>
      <c r="H65" s="9">
        <v>2400631</v>
      </c>
      <c r="I65" s="9">
        <v>1318874</v>
      </c>
      <c r="J65" s="9">
        <v>168857</v>
      </c>
      <c r="K65" s="8">
        <v>1474304</v>
      </c>
    </row>
    <row r="66" spans="2:11" x14ac:dyDescent="0.2">
      <c r="B66" s="5" t="s">
        <v>487</v>
      </c>
      <c r="C66" s="5" t="s">
        <v>1531</v>
      </c>
      <c r="D66" s="5">
        <v>2022</v>
      </c>
      <c r="E66" s="9">
        <v>26</v>
      </c>
      <c r="F66" s="9">
        <v>2910</v>
      </c>
      <c r="G66" s="9">
        <v>907920</v>
      </c>
      <c r="H66" s="9">
        <v>2555494</v>
      </c>
      <c r="I66" s="9">
        <v>1407028</v>
      </c>
      <c r="J66" s="9">
        <v>240546</v>
      </c>
      <c r="K66" s="8">
        <v>1538871.6</v>
      </c>
    </row>
    <row r="67" spans="2:11" x14ac:dyDescent="0.2">
      <c r="B67" s="5" t="s">
        <v>487</v>
      </c>
      <c r="C67" s="5" t="s">
        <v>1531</v>
      </c>
      <c r="D67" s="5">
        <v>2023</v>
      </c>
      <c r="E67" s="9">
        <v>25</v>
      </c>
      <c r="F67" s="9">
        <v>3402</v>
      </c>
      <c r="G67" s="9">
        <v>1020600</v>
      </c>
      <c r="H67" s="9">
        <v>2714172</v>
      </c>
      <c r="I67" s="9">
        <v>1457258</v>
      </c>
      <c r="J67" s="9">
        <v>236314</v>
      </c>
      <c r="K67" s="8">
        <v>1695772</v>
      </c>
    </row>
    <row r="68" spans="2:11" x14ac:dyDescent="0.2">
      <c r="B68" s="5" t="s">
        <v>487</v>
      </c>
      <c r="C68" s="5" t="s">
        <v>1531</v>
      </c>
      <c r="D68" s="5">
        <v>2024</v>
      </c>
      <c r="E68" s="9">
        <v>25</v>
      </c>
      <c r="F68" s="9">
        <v>3253</v>
      </c>
      <c r="G68" s="9">
        <v>975900</v>
      </c>
      <c r="H68" s="9">
        <v>2679018</v>
      </c>
      <c r="I68" s="9">
        <v>1473832</v>
      </c>
      <c r="J68" s="9">
        <v>229286</v>
      </c>
      <c r="K68" s="8">
        <v>1624823</v>
      </c>
    </row>
    <row r="69" spans="2:11" x14ac:dyDescent="0.2">
      <c r="B69" s="5" t="s">
        <v>1534</v>
      </c>
      <c r="C69" s="5" t="s">
        <v>1533</v>
      </c>
      <c r="D69" s="5">
        <v>2019</v>
      </c>
      <c r="E69" s="9">
        <v>3</v>
      </c>
      <c r="F69" s="9"/>
      <c r="G69" s="9"/>
      <c r="H69" s="9">
        <v>179773</v>
      </c>
      <c r="I69" s="9">
        <v>0</v>
      </c>
      <c r="J69" s="9">
        <v>-8843</v>
      </c>
      <c r="K69" s="8">
        <v>179773</v>
      </c>
    </row>
    <row r="70" spans="2:11" x14ac:dyDescent="0.2">
      <c r="B70" s="5" t="s">
        <v>1534</v>
      </c>
      <c r="C70" s="5" t="s">
        <v>1533</v>
      </c>
      <c r="D70" s="5">
        <v>2020</v>
      </c>
      <c r="E70" s="9">
        <v>3</v>
      </c>
      <c r="F70" s="9"/>
      <c r="G70" s="9"/>
      <c r="H70" s="9">
        <v>155093</v>
      </c>
      <c r="I70" s="9">
        <v>0</v>
      </c>
      <c r="J70" s="9">
        <v>14832</v>
      </c>
      <c r="K70" s="8">
        <v>155093</v>
      </c>
    </row>
    <row r="71" spans="2:11" x14ac:dyDescent="0.2">
      <c r="B71" s="5" t="s">
        <v>1534</v>
      </c>
      <c r="C71" s="5" t="s">
        <v>1533</v>
      </c>
      <c r="D71" s="5">
        <v>2021</v>
      </c>
      <c r="E71" s="9">
        <v>3</v>
      </c>
      <c r="F71" s="9"/>
      <c r="G71" s="9"/>
      <c r="H71" s="9">
        <v>159105</v>
      </c>
      <c r="I71" s="9">
        <v>0</v>
      </c>
      <c r="J71" s="9">
        <v>2492</v>
      </c>
      <c r="K71" s="8">
        <v>159105</v>
      </c>
    </row>
    <row r="72" spans="2:11" x14ac:dyDescent="0.2">
      <c r="B72" s="5" t="s">
        <v>1534</v>
      </c>
      <c r="C72" s="5" t="s">
        <v>1533</v>
      </c>
      <c r="D72" s="5">
        <v>2022</v>
      </c>
      <c r="E72" s="9">
        <v>3</v>
      </c>
      <c r="F72" s="9"/>
      <c r="G72" s="9"/>
      <c r="H72" s="9">
        <v>167838</v>
      </c>
      <c r="I72" s="9">
        <v>0</v>
      </c>
      <c r="J72" s="9">
        <v>-4052</v>
      </c>
      <c r="K72" s="8">
        <v>167838</v>
      </c>
    </row>
    <row r="73" spans="2:11" x14ac:dyDescent="0.2">
      <c r="B73" s="5" t="s">
        <v>1534</v>
      </c>
      <c r="C73" s="5" t="s">
        <v>1533</v>
      </c>
      <c r="D73" s="5">
        <v>2023</v>
      </c>
      <c r="E73" s="9">
        <v>2</v>
      </c>
      <c r="F73" s="9"/>
      <c r="G73" s="9"/>
      <c r="H73" s="9">
        <v>177479</v>
      </c>
      <c r="I73" s="9">
        <v>0</v>
      </c>
      <c r="J73" s="9">
        <v>6521</v>
      </c>
      <c r="K73" s="8">
        <v>177479</v>
      </c>
    </row>
    <row r="74" spans="2:11" x14ac:dyDescent="0.2">
      <c r="B74" s="5" t="s">
        <v>1534</v>
      </c>
      <c r="C74" s="5" t="s">
        <v>1533</v>
      </c>
      <c r="D74" s="5">
        <v>2024</v>
      </c>
      <c r="E74" s="9">
        <v>2</v>
      </c>
      <c r="F74" s="9"/>
      <c r="G74" s="9"/>
      <c r="H74" s="9">
        <v>193289</v>
      </c>
      <c r="I74" s="9">
        <v>0</v>
      </c>
      <c r="J74" s="9">
        <v>9873</v>
      </c>
      <c r="K74" s="8">
        <v>193289</v>
      </c>
    </row>
    <row r="75" spans="2:11" x14ac:dyDescent="0.2">
      <c r="B75" s="5" t="s">
        <v>1077</v>
      </c>
      <c r="C75" s="5" t="s">
        <v>1547</v>
      </c>
      <c r="D75" s="5">
        <v>2019</v>
      </c>
      <c r="E75" s="9">
        <v>3</v>
      </c>
      <c r="F75" s="9"/>
      <c r="G75" s="9"/>
      <c r="H75" s="9">
        <v>272062</v>
      </c>
      <c r="I75" s="9">
        <v>0</v>
      </c>
      <c r="J75" s="9">
        <v>-5710</v>
      </c>
      <c r="K75" s="8">
        <v>272062</v>
      </c>
    </row>
    <row r="76" spans="2:11" x14ac:dyDescent="0.2">
      <c r="B76" s="5" t="s">
        <v>1077</v>
      </c>
      <c r="C76" s="5" t="s">
        <v>1547</v>
      </c>
      <c r="D76" s="5">
        <v>2020</v>
      </c>
      <c r="E76" s="9">
        <v>3</v>
      </c>
      <c r="F76" s="9"/>
      <c r="G76" s="9"/>
      <c r="H76" s="9">
        <v>260028</v>
      </c>
      <c r="I76" s="9">
        <v>0</v>
      </c>
      <c r="J76" s="9">
        <v>26466</v>
      </c>
      <c r="K76" s="8">
        <v>260028</v>
      </c>
    </row>
    <row r="77" spans="2:11" x14ac:dyDescent="0.2">
      <c r="B77" s="5" t="s">
        <v>1077</v>
      </c>
      <c r="C77" s="5" t="s">
        <v>1547</v>
      </c>
      <c r="D77" s="5">
        <v>2021</v>
      </c>
      <c r="E77" s="9">
        <v>3</v>
      </c>
      <c r="F77" s="9">
        <v>1105</v>
      </c>
      <c r="G77" s="9">
        <v>39780</v>
      </c>
      <c r="H77" s="9">
        <v>390004</v>
      </c>
      <c r="I77" s="9">
        <v>287656</v>
      </c>
      <c r="J77" s="9">
        <v>62568</v>
      </c>
      <c r="K77" s="8">
        <v>119453.4</v>
      </c>
    </row>
    <row r="78" spans="2:11" x14ac:dyDescent="0.2">
      <c r="B78" s="5" t="s">
        <v>1077</v>
      </c>
      <c r="C78" s="5" t="s">
        <v>1547</v>
      </c>
      <c r="D78" s="5">
        <v>2022</v>
      </c>
      <c r="E78" s="9">
        <v>5</v>
      </c>
      <c r="F78" s="9">
        <v>1306</v>
      </c>
      <c r="G78" s="9">
        <v>78360</v>
      </c>
      <c r="H78" s="9">
        <v>435751</v>
      </c>
      <c r="I78" s="9">
        <v>300589</v>
      </c>
      <c r="J78" s="9">
        <v>56802</v>
      </c>
      <c r="K78" s="8">
        <v>168856.8</v>
      </c>
    </row>
    <row r="79" spans="2:11" x14ac:dyDescent="0.2">
      <c r="B79" s="5" t="s">
        <v>1077</v>
      </c>
      <c r="C79" s="5" t="s">
        <v>1547</v>
      </c>
      <c r="D79" s="5">
        <v>2023</v>
      </c>
      <c r="E79" s="9">
        <v>6</v>
      </c>
      <c r="F79" s="9">
        <v>1400</v>
      </c>
      <c r="G79" s="9">
        <v>100800</v>
      </c>
      <c r="H79" s="9">
        <v>283497</v>
      </c>
      <c r="I79" s="9">
        <v>185922</v>
      </c>
      <c r="J79" s="9">
        <v>-3225</v>
      </c>
      <c r="K79" s="8">
        <v>140919</v>
      </c>
    </row>
    <row r="80" spans="2:11" x14ac:dyDescent="0.2">
      <c r="B80" s="5" t="s">
        <v>1077</v>
      </c>
      <c r="C80" s="5" t="s">
        <v>1547</v>
      </c>
      <c r="D80" s="5">
        <v>2024</v>
      </c>
      <c r="E80" s="9">
        <v>4</v>
      </c>
      <c r="F80" s="9">
        <v>1531</v>
      </c>
      <c r="G80" s="9">
        <v>73488</v>
      </c>
      <c r="H80" s="20">
        <v>448957</v>
      </c>
      <c r="I80" s="9">
        <v>343841</v>
      </c>
      <c r="J80" s="9">
        <v>31628</v>
      </c>
      <c r="K80" s="8">
        <v>136715.84</v>
      </c>
    </row>
    <row r="81" spans="2:11" x14ac:dyDescent="0.2">
      <c r="B81" s="5" t="s">
        <v>698</v>
      </c>
      <c r="C81" s="5" t="s">
        <v>1558</v>
      </c>
      <c r="D81" s="5">
        <v>2019</v>
      </c>
      <c r="E81" s="9">
        <v>7</v>
      </c>
      <c r="F81" s="9">
        <v>1994</v>
      </c>
      <c r="G81" s="9">
        <v>167496</v>
      </c>
      <c r="H81" s="9">
        <v>517914</v>
      </c>
      <c r="I81" s="9">
        <v>220539</v>
      </c>
      <c r="J81" s="9">
        <v>129879</v>
      </c>
      <c r="K81" s="8">
        <v>369398.28</v>
      </c>
    </row>
    <row r="82" spans="2:11" x14ac:dyDescent="0.2">
      <c r="B82" s="5" t="s">
        <v>698</v>
      </c>
      <c r="C82" s="5" t="s">
        <v>1558</v>
      </c>
      <c r="D82" s="5">
        <v>2020</v>
      </c>
      <c r="E82" s="9">
        <v>8</v>
      </c>
      <c r="F82" s="9">
        <v>1582</v>
      </c>
      <c r="G82" s="9">
        <v>151872</v>
      </c>
      <c r="H82" s="9">
        <v>544393</v>
      </c>
      <c r="I82" s="9">
        <v>264232</v>
      </c>
      <c r="J82" s="9">
        <v>128289</v>
      </c>
      <c r="K82" s="8">
        <v>345465.96</v>
      </c>
    </row>
    <row r="83" spans="2:11" x14ac:dyDescent="0.2">
      <c r="B83" s="5" t="s">
        <v>698</v>
      </c>
      <c r="C83" s="5" t="s">
        <v>1558</v>
      </c>
      <c r="D83" s="5">
        <v>2021</v>
      </c>
      <c r="E83" s="9">
        <v>7</v>
      </c>
      <c r="F83" s="9">
        <v>1820</v>
      </c>
      <c r="G83" s="9">
        <v>152880</v>
      </c>
      <c r="H83" s="9">
        <v>670268</v>
      </c>
      <c r="I83" s="9">
        <v>301285</v>
      </c>
      <c r="J83" s="9">
        <v>216103</v>
      </c>
      <c r="K83" s="8">
        <v>434721.4</v>
      </c>
    </row>
    <row r="84" spans="2:11" x14ac:dyDescent="0.2">
      <c r="B84" s="5" t="s">
        <v>698</v>
      </c>
      <c r="C84" s="5" t="s">
        <v>1558</v>
      </c>
      <c r="D84" s="5">
        <v>2022</v>
      </c>
      <c r="E84" s="9">
        <v>7</v>
      </c>
      <c r="F84" s="9">
        <v>1975</v>
      </c>
      <c r="G84" s="9">
        <v>165900</v>
      </c>
      <c r="H84" s="9">
        <v>645477</v>
      </c>
      <c r="I84" s="9">
        <v>283787</v>
      </c>
      <c r="J84" s="9">
        <v>195790</v>
      </c>
      <c r="K84" s="8">
        <v>433027</v>
      </c>
    </row>
    <row r="85" spans="2:11" x14ac:dyDescent="0.2">
      <c r="B85" s="5" t="s">
        <v>698</v>
      </c>
      <c r="C85" s="5" t="s">
        <v>1558</v>
      </c>
      <c r="D85" s="5">
        <v>2023</v>
      </c>
      <c r="E85" s="9">
        <v>6</v>
      </c>
      <c r="F85" s="9">
        <v>2056</v>
      </c>
      <c r="G85" s="9">
        <v>148032</v>
      </c>
      <c r="H85" s="9">
        <v>640668</v>
      </c>
      <c r="I85" s="9">
        <v>273319</v>
      </c>
      <c r="J85" s="9">
        <v>219317</v>
      </c>
      <c r="K85" s="8">
        <v>431002.76</v>
      </c>
    </row>
    <row r="86" spans="2:11" x14ac:dyDescent="0.2">
      <c r="B86" s="5" t="s">
        <v>698</v>
      </c>
      <c r="C86" s="5" t="s">
        <v>1558</v>
      </c>
      <c r="D86" s="5">
        <v>2024</v>
      </c>
      <c r="E86" s="9">
        <v>6</v>
      </c>
      <c r="F86" s="9">
        <v>1935</v>
      </c>
      <c r="G86" s="9">
        <v>139320</v>
      </c>
      <c r="H86" s="9">
        <v>645283</v>
      </c>
      <c r="I86" s="9">
        <v>283396</v>
      </c>
      <c r="J86" s="9">
        <v>222567</v>
      </c>
      <c r="K86" s="8">
        <v>421794.6</v>
      </c>
    </row>
    <row r="87" spans="2:11" x14ac:dyDescent="0.2">
      <c r="B87" s="5" t="s">
        <v>1590</v>
      </c>
      <c r="C87" s="5" t="s">
        <v>1591</v>
      </c>
      <c r="D87" s="5">
        <v>2019</v>
      </c>
      <c r="E87" s="9"/>
      <c r="F87" s="9"/>
      <c r="G87" s="9"/>
      <c r="H87" s="9">
        <v>0</v>
      </c>
      <c r="I87" s="9">
        <v>0</v>
      </c>
      <c r="J87" s="9">
        <v>0</v>
      </c>
      <c r="K87" s="8">
        <v>0</v>
      </c>
    </row>
    <row r="88" spans="2:11" x14ac:dyDescent="0.2">
      <c r="B88" s="5" t="s">
        <v>1590</v>
      </c>
      <c r="C88" s="5" t="s">
        <v>1591</v>
      </c>
      <c r="D88" s="5">
        <v>2020</v>
      </c>
      <c r="E88" s="9"/>
      <c r="F88" s="9"/>
      <c r="G88" s="9"/>
      <c r="H88" s="9">
        <v>0</v>
      </c>
      <c r="I88" s="9">
        <v>0</v>
      </c>
      <c r="J88" s="9">
        <v>0</v>
      </c>
      <c r="K88" s="8">
        <v>0</v>
      </c>
    </row>
    <row r="89" spans="2:11" x14ac:dyDescent="0.2">
      <c r="B89" s="5" t="s">
        <v>1590</v>
      </c>
      <c r="C89" s="5" t="s">
        <v>1591</v>
      </c>
      <c r="D89" s="5">
        <v>2021</v>
      </c>
      <c r="E89" s="9">
        <v>1</v>
      </c>
      <c r="F89" s="9"/>
      <c r="G89" s="9"/>
      <c r="H89" s="9">
        <v>71239</v>
      </c>
      <c r="I89" s="9">
        <v>0</v>
      </c>
      <c r="J89" s="9">
        <v>8688</v>
      </c>
      <c r="K89" s="8">
        <v>71239</v>
      </c>
    </row>
    <row r="90" spans="2:11" x14ac:dyDescent="0.2">
      <c r="B90" s="5" t="s">
        <v>1590</v>
      </c>
      <c r="C90" s="5" t="s">
        <v>1591</v>
      </c>
      <c r="D90" s="5">
        <v>2022</v>
      </c>
      <c r="E90" s="9">
        <v>2</v>
      </c>
      <c r="F90" s="9"/>
      <c r="G90" s="9"/>
      <c r="H90" s="9">
        <v>187499</v>
      </c>
      <c r="I90" s="9">
        <v>0</v>
      </c>
      <c r="J90" s="9">
        <v>36059</v>
      </c>
      <c r="K90" s="8">
        <v>187499</v>
      </c>
    </row>
    <row r="91" spans="2:11" x14ac:dyDescent="0.2">
      <c r="B91" s="5" t="s">
        <v>1590</v>
      </c>
      <c r="C91" s="5" t="s">
        <v>1591</v>
      </c>
      <c r="D91" s="5">
        <v>2023</v>
      </c>
      <c r="E91" s="9">
        <v>3</v>
      </c>
      <c r="F91" s="9">
        <v>1420</v>
      </c>
      <c r="G91" s="9">
        <v>51120</v>
      </c>
      <c r="H91" s="9">
        <v>239698</v>
      </c>
      <c r="I91" s="9">
        <v>175671</v>
      </c>
      <c r="J91" s="9">
        <v>12907</v>
      </c>
      <c r="K91" s="8">
        <v>86008.6</v>
      </c>
    </row>
    <row r="92" spans="2:11" x14ac:dyDescent="0.2">
      <c r="B92" s="5" t="s">
        <v>1590</v>
      </c>
      <c r="C92" s="5" t="s">
        <v>1591</v>
      </c>
      <c r="D92" s="5">
        <v>2024</v>
      </c>
      <c r="E92" s="9">
        <v>5</v>
      </c>
      <c r="F92" s="9">
        <v>1995</v>
      </c>
      <c r="G92" s="9">
        <v>119700</v>
      </c>
      <c r="H92" s="9">
        <v>407865</v>
      </c>
      <c r="I92" s="9">
        <v>227297</v>
      </c>
      <c r="J92" s="9">
        <v>60868</v>
      </c>
      <c r="K92" s="8">
        <v>232039</v>
      </c>
    </row>
    <row r="93" spans="2:11" x14ac:dyDescent="0.2">
      <c r="B93" s="5" t="s">
        <v>734</v>
      </c>
      <c r="C93" s="5" t="s">
        <v>1593</v>
      </c>
      <c r="D93" s="5">
        <v>2019</v>
      </c>
      <c r="E93" s="9"/>
      <c r="F93" s="9"/>
      <c r="G93" s="9"/>
      <c r="H93" s="9"/>
      <c r="I93" s="9"/>
      <c r="J93" s="9"/>
      <c r="K93" s="8"/>
    </row>
    <row r="94" spans="2:11" x14ac:dyDescent="0.2">
      <c r="B94" s="5" t="s">
        <v>734</v>
      </c>
      <c r="C94" s="5" t="s">
        <v>1593</v>
      </c>
      <c r="D94" s="5">
        <v>2020</v>
      </c>
      <c r="E94" s="9"/>
      <c r="F94" s="9"/>
      <c r="G94" s="9"/>
      <c r="H94" s="9"/>
      <c r="I94" s="9"/>
      <c r="J94" s="9"/>
      <c r="K94" s="8"/>
    </row>
    <row r="95" spans="2:11" x14ac:dyDescent="0.2">
      <c r="B95" s="5" t="s">
        <v>734</v>
      </c>
      <c r="C95" s="5" t="s">
        <v>1593</v>
      </c>
      <c r="D95" s="5">
        <v>2021</v>
      </c>
      <c r="E95" s="9"/>
      <c r="F95" s="9"/>
      <c r="G95" s="9"/>
      <c r="H95" s="9"/>
      <c r="I95" s="9"/>
      <c r="J95" s="9"/>
      <c r="K95" s="8"/>
    </row>
    <row r="96" spans="2:11" x14ac:dyDescent="0.2">
      <c r="B96" s="5" t="s">
        <v>734</v>
      </c>
      <c r="C96" s="5" t="s">
        <v>1593</v>
      </c>
      <c r="D96" s="5">
        <v>2022</v>
      </c>
      <c r="E96" s="9"/>
      <c r="F96" s="9"/>
      <c r="G96" s="9"/>
      <c r="H96" s="9"/>
      <c r="I96" s="9"/>
      <c r="J96" s="9"/>
      <c r="K96" s="8"/>
    </row>
    <row r="97" spans="2:11" x14ac:dyDescent="0.2">
      <c r="B97" s="5" t="s">
        <v>734</v>
      </c>
      <c r="C97" s="5" t="s">
        <v>1593</v>
      </c>
      <c r="D97" s="5">
        <v>2023</v>
      </c>
      <c r="E97" s="9">
        <v>5</v>
      </c>
      <c r="F97" s="9">
        <v>2871</v>
      </c>
      <c r="G97" s="9">
        <v>172260</v>
      </c>
      <c r="H97" s="9">
        <v>133678</v>
      </c>
      <c r="I97" s="9">
        <v>-69443</v>
      </c>
      <c r="J97" s="9">
        <v>30861</v>
      </c>
      <c r="K97" s="8">
        <v>277192.8</v>
      </c>
    </row>
    <row r="98" spans="2:11" x14ac:dyDescent="0.2">
      <c r="B98" s="5" t="s">
        <v>734</v>
      </c>
      <c r="C98" s="5" t="s">
        <v>1593</v>
      </c>
      <c r="D98" s="5">
        <v>2024</v>
      </c>
      <c r="E98" s="9">
        <v>6</v>
      </c>
      <c r="F98" s="9">
        <v>2938</v>
      </c>
      <c r="G98" s="9">
        <v>211536</v>
      </c>
      <c r="H98" s="9">
        <v>474855</v>
      </c>
      <c r="I98" s="9">
        <v>189165</v>
      </c>
      <c r="J98" s="9">
        <v>74154</v>
      </c>
      <c r="K98" s="8">
        <v>376650.48</v>
      </c>
    </row>
    <row r="99" spans="2:11" x14ac:dyDescent="0.2">
      <c r="B99" s="5" t="s">
        <v>834</v>
      </c>
      <c r="C99" s="5" t="s">
        <v>1600</v>
      </c>
      <c r="D99" s="5">
        <v>2019</v>
      </c>
      <c r="E99" s="9"/>
      <c r="F99" s="9"/>
      <c r="G99" s="9"/>
      <c r="H99" s="9"/>
      <c r="I99" s="9"/>
      <c r="J99" s="9"/>
      <c r="K99" s="8"/>
    </row>
    <row r="100" spans="2:11" x14ac:dyDescent="0.2">
      <c r="B100" s="5" t="s">
        <v>834</v>
      </c>
      <c r="C100" s="5" t="s">
        <v>1600</v>
      </c>
      <c r="D100" s="5">
        <v>2020</v>
      </c>
      <c r="E100" s="9"/>
      <c r="F100" s="9"/>
      <c r="G100" s="9"/>
      <c r="H100" s="9"/>
      <c r="I100" s="9"/>
      <c r="J100" s="9"/>
      <c r="K100" s="8"/>
    </row>
    <row r="101" spans="2:11" x14ac:dyDescent="0.2">
      <c r="B101" s="5" t="s">
        <v>834</v>
      </c>
      <c r="C101" s="5" t="s">
        <v>1600</v>
      </c>
      <c r="D101" s="5">
        <v>2021</v>
      </c>
      <c r="E101" s="9"/>
      <c r="F101" s="9"/>
      <c r="G101" s="9"/>
      <c r="H101" s="9"/>
      <c r="I101" s="9"/>
      <c r="J101" s="9"/>
      <c r="K101" s="8"/>
    </row>
    <row r="102" spans="2:11" x14ac:dyDescent="0.2">
      <c r="B102" s="5" t="s">
        <v>834</v>
      </c>
      <c r="C102" s="5" t="s">
        <v>1600</v>
      </c>
      <c r="D102" s="5">
        <v>2022</v>
      </c>
      <c r="E102" s="9"/>
      <c r="F102" s="9"/>
      <c r="G102" s="9"/>
      <c r="H102" s="9"/>
      <c r="I102" s="9"/>
      <c r="J102" s="9"/>
      <c r="K102" s="8"/>
    </row>
    <row r="103" spans="2:11" x14ac:dyDescent="0.2">
      <c r="B103" s="5" t="s">
        <v>834</v>
      </c>
      <c r="C103" s="5" t="s">
        <v>1600</v>
      </c>
      <c r="D103" s="5">
        <v>2023</v>
      </c>
      <c r="E103" s="9"/>
      <c r="F103" s="9"/>
      <c r="G103" s="9"/>
      <c r="H103" s="9"/>
      <c r="I103" s="9"/>
      <c r="J103" s="9"/>
      <c r="K103" s="8"/>
    </row>
    <row r="104" spans="2:11" x14ac:dyDescent="0.2">
      <c r="B104" s="5" t="s">
        <v>834</v>
      </c>
      <c r="C104" s="5" t="s">
        <v>1600</v>
      </c>
      <c r="D104" s="5">
        <v>2024</v>
      </c>
      <c r="E104" s="9"/>
      <c r="F104" s="9"/>
      <c r="G104" s="9"/>
      <c r="H104" s="9">
        <v>168267</v>
      </c>
      <c r="I104" s="9">
        <v>0</v>
      </c>
      <c r="J104" s="9">
        <v>66604</v>
      </c>
      <c r="K104" s="8">
        <v>168267</v>
      </c>
    </row>
    <row r="105" spans="2:11" x14ac:dyDescent="0.2">
      <c r="B105" s="5" t="s">
        <v>1006</v>
      </c>
      <c r="C105" s="5" t="s">
        <v>1601</v>
      </c>
      <c r="D105" s="5">
        <v>2019</v>
      </c>
      <c r="E105" s="9">
        <v>10</v>
      </c>
      <c r="F105" s="9">
        <v>1527</v>
      </c>
      <c r="G105" s="9">
        <v>183240</v>
      </c>
      <c r="H105" s="9">
        <v>387275</v>
      </c>
      <c r="I105" s="9">
        <v>196739</v>
      </c>
      <c r="J105" s="9">
        <v>7296</v>
      </c>
      <c r="K105" s="8">
        <v>269329.2</v>
      </c>
    </row>
    <row r="106" spans="2:11" x14ac:dyDescent="0.2">
      <c r="B106" s="5" t="s">
        <v>1006</v>
      </c>
      <c r="C106" s="5" t="s">
        <v>1601</v>
      </c>
      <c r="D106" s="5">
        <v>2020</v>
      </c>
      <c r="E106" s="9">
        <v>10</v>
      </c>
      <c r="F106" s="9">
        <v>1636</v>
      </c>
      <c r="G106" s="9">
        <v>196320</v>
      </c>
      <c r="H106" s="9">
        <v>339047</v>
      </c>
      <c r="I106" s="9">
        <v>134172</v>
      </c>
      <c r="J106" s="9">
        <v>8555</v>
      </c>
      <c r="K106" s="8">
        <v>289292.59999999998</v>
      </c>
    </row>
    <row r="107" spans="2:11" x14ac:dyDescent="0.2">
      <c r="B107" s="5" t="s">
        <v>1006</v>
      </c>
      <c r="C107" s="5" t="s">
        <v>1601</v>
      </c>
      <c r="D107" s="5">
        <v>2021</v>
      </c>
      <c r="E107" s="9">
        <v>8</v>
      </c>
      <c r="F107" s="9">
        <v>1635</v>
      </c>
      <c r="G107" s="9">
        <v>156960</v>
      </c>
      <c r="H107" s="9">
        <v>394946</v>
      </c>
      <c r="I107" s="9">
        <v>235768</v>
      </c>
      <c r="J107" s="9">
        <v>2218</v>
      </c>
      <c r="K107" s="8">
        <v>226670.8</v>
      </c>
    </row>
    <row r="108" spans="2:11" x14ac:dyDescent="0.2">
      <c r="B108" s="5" t="s">
        <v>1006</v>
      </c>
      <c r="C108" s="5" t="s">
        <v>1601</v>
      </c>
      <c r="D108" s="5">
        <v>2022</v>
      </c>
      <c r="E108" s="9">
        <v>7</v>
      </c>
      <c r="F108" s="9">
        <v>1578</v>
      </c>
      <c r="G108" s="9">
        <v>132552</v>
      </c>
      <c r="H108" s="9">
        <v>363458</v>
      </c>
      <c r="I108" s="9">
        <v>212743</v>
      </c>
      <c r="J108" s="9">
        <v>18163</v>
      </c>
      <c r="K108" s="8">
        <v>207712.36</v>
      </c>
    </row>
    <row r="109" spans="2:11" x14ac:dyDescent="0.2">
      <c r="B109" s="5" t="s">
        <v>1006</v>
      </c>
      <c r="C109" s="5" t="s">
        <v>1601</v>
      </c>
      <c r="D109" s="5">
        <v>2023</v>
      </c>
      <c r="E109" s="9">
        <v>6</v>
      </c>
      <c r="F109" s="9">
        <v>2083</v>
      </c>
      <c r="G109" s="9">
        <v>149976</v>
      </c>
      <c r="H109" s="9">
        <v>698509</v>
      </c>
      <c r="I109" s="9">
        <v>528340</v>
      </c>
      <c r="J109" s="9">
        <v>20193</v>
      </c>
      <c r="K109" s="8">
        <v>234658.68</v>
      </c>
    </row>
    <row r="110" spans="2:11" x14ac:dyDescent="0.2">
      <c r="B110" s="5" t="s">
        <v>1006</v>
      </c>
      <c r="C110" s="5" t="s">
        <v>1601</v>
      </c>
      <c r="D110" s="5">
        <v>2024</v>
      </c>
      <c r="E110" s="9">
        <v>6</v>
      </c>
      <c r="F110" s="9">
        <v>2965</v>
      </c>
      <c r="G110" s="9">
        <v>213480</v>
      </c>
      <c r="H110" s="20">
        <v>0</v>
      </c>
      <c r="I110" s="9">
        <v>-213480</v>
      </c>
      <c r="J110" s="9">
        <v>0</v>
      </c>
      <c r="K110" s="8">
        <v>305276.40000000002</v>
      </c>
    </row>
    <row r="111" spans="2:11" x14ac:dyDescent="0.2">
      <c r="B111" s="5" t="s">
        <v>354</v>
      </c>
      <c r="C111" s="5" t="s">
        <v>1607</v>
      </c>
      <c r="D111" s="5">
        <v>2019</v>
      </c>
      <c r="E111" s="9">
        <v>20</v>
      </c>
      <c r="F111" s="9">
        <v>2883</v>
      </c>
      <c r="G111" s="9">
        <v>691920</v>
      </c>
      <c r="H111" s="9">
        <v>3590407</v>
      </c>
      <c r="I111" s="9">
        <v>2220406</v>
      </c>
      <c r="J111" s="9">
        <v>678081</v>
      </c>
      <c r="K111" s="8">
        <v>1667526.6</v>
      </c>
    </row>
    <row r="112" spans="2:11" x14ac:dyDescent="0.2">
      <c r="B112" s="5" t="s">
        <v>354</v>
      </c>
      <c r="C112" s="5" t="s">
        <v>1607</v>
      </c>
      <c r="D112" s="5">
        <v>2020</v>
      </c>
      <c r="E112" s="9">
        <v>20</v>
      </c>
      <c r="F112" s="9">
        <v>3361</v>
      </c>
      <c r="G112" s="9">
        <v>806640</v>
      </c>
      <c r="H112" s="9">
        <v>3042886</v>
      </c>
      <c r="I112" s="9">
        <v>1874326</v>
      </c>
      <c r="J112" s="9">
        <v>361920</v>
      </c>
      <c r="K112" s="8">
        <v>1515415.2</v>
      </c>
    </row>
    <row r="113" spans="2:11" x14ac:dyDescent="0.2">
      <c r="B113" s="5" t="s">
        <v>354</v>
      </c>
      <c r="C113" s="5" t="s">
        <v>1607</v>
      </c>
      <c r="D113" s="5">
        <v>2021</v>
      </c>
      <c r="E113" s="9">
        <v>22</v>
      </c>
      <c r="F113" s="9">
        <v>3888</v>
      </c>
      <c r="G113" s="9">
        <v>1026432</v>
      </c>
      <c r="H113" s="9">
        <v>4312296</v>
      </c>
      <c r="I113" s="9">
        <v>2557487</v>
      </c>
      <c r="J113" s="9">
        <v>728377</v>
      </c>
      <c r="K113" s="8">
        <v>2196174.7599999998</v>
      </c>
    </row>
    <row r="114" spans="2:11" x14ac:dyDescent="0.2">
      <c r="B114" s="5" t="s">
        <v>354</v>
      </c>
      <c r="C114" s="5" t="s">
        <v>1607</v>
      </c>
      <c r="D114" s="5">
        <v>2022</v>
      </c>
      <c r="E114" s="9">
        <v>25</v>
      </c>
      <c r="F114" s="9">
        <v>3765</v>
      </c>
      <c r="G114" s="9">
        <v>1129500</v>
      </c>
      <c r="H114" s="9">
        <v>4312150</v>
      </c>
      <c r="I114" s="9">
        <v>2423408</v>
      </c>
      <c r="J114" s="9">
        <v>759242</v>
      </c>
      <c r="K114" s="8">
        <v>2374427</v>
      </c>
    </row>
    <row r="115" spans="2:11" x14ac:dyDescent="0.2">
      <c r="B115" s="5" t="s">
        <v>354</v>
      </c>
      <c r="C115" s="5" t="s">
        <v>1607</v>
      </c>
      <c r="D115" s="5">
        <v>2023</v>
      </c>
      <c r="E115" s="9">
        <v>26</v>
      </c>
      <c r="F115" s="9">
        <v>4390</v>
      </c>
      <c r="G115" s="9">
        <v>1369680</v>
      </c>
      <c r="H115" s="9">
        <v>4315944</v>
      </c>
      <c r="I115" s="9">
        <v>2117575</v>
      </c>
      <c r="J115" s="9">
        <v>828689</v>
      </c>
      <c r="K115" s="8">
        <v>2787331.4</v>
      </c>
    </row>
    <row r="116" spans="2:11" x14ac:dyDescent="0.2">
      <c r="B116" s="5" t="s">
        <v>354</v>
      </c>
      <c r="C116" s="5" t="s">
        <v>1607</v>
      </c>
      <c r="D116" s="5">
        <v>2024</v>
      </c>
      <c r="E116" s="9">
        <v>24</v>
      </c>
      <c r="F116" s="9">
        <v>4929</v>
      </c>
      <c r="G116" s="9">
        <v>1419552</v>
      </c>
      <c r="H116" s="9">
        <v>4743413</v>
      </c>
      <c r="I116" s="9">
        <v>2639502</v>
      </c>
      <c r="J116" s="9">
        <v>684359</v>
      </c>
      <c r="K116" s="8">
        <v>2714318.36</v>
      </c>
    </row>
    <row r="117" spans="2:11" x14ac:dyDescent="0.2">
      <c r="B117" s="5" t="s">
        <v>1669</v>
      </c>
      <c r="C117" s="5" t="s">
        <v>1667</v>
      </c>
      <c r="D117" s="5">
        <v>2019</v>
      </c>
      <c r="E117" s="9">
        <v>7</v>
      </c>
      <c r="F117" s="9">
        <v>1630</v>
      </c>
      <c r="G117" s="9">
        <v>136920</v>
      </c>
      <c r="H117" s="9">
        <v>184041</v>
      </c>
      <c r="I117" s="9">
        <v>81266</v>
      </c>
      <c r="J117" s="9">
        <v>-34145</v>
      </c>
      <c r="K117" s="8">
        <v>161650.6</v>
      </c>
    </row>
    <row r="118" spans="2:11" x14ac:dyDescent="0.2">
      <c r="B118" s="5" t="s">
        <v>1669</v>
      </c>
      <c r="C118" s="5" t="s">
        <v>1667</v>
      </c>
      <c r="D118" s="5">
        <v>2020</v>
      </c>
      <c r="E118" s="9">
        <v>8</v>
      </c>
      <c r="F118" s="9">
        <v>1620</v>
      </c>
      <c r="G118" s="9">
        <v>155520</v>
      </c>
      <c r="H118" s="9">
        <v>185268</v>
      </c>
      <c r="I118" s="9">
        <v>75161</v>
      </c>
      <c r="J118" s="9">
        <v>-45413</v>
      </c>
      <c r="K118" s="8">
        <v>176980.6</v>
      </c>
    </row>
    <row r="119" spans="2:11" x14ac:dyDescent="0.2">
      <c r="B119" s="5" t="s">
        <v>1669</v>
      </c>
      <c r="C119" s="5" t="s">
        <v>1667</v>
      </c>
      <c r="D119" s="5">
        <v>2021</v>
      </c>
      <c r="E119" s="9">
        <v>7</v>
      </c>
      <c r="F119" s="9">
        <v>1770</v>
      </c>
      <c r="G119" s="9">
        <v>148680</v>
      </c>
      <c r="H119" s="9">
        <v>137096</v>
      </c>
      <c r="I119" s="9">
        <v>57715</v>
      </c>
      <c r="J119" s="9">
        <v>-69299</v>
      </c>
      <c r="K119" s="8">
        <v>143313.4</v>
      </c>
    </row>
    <row r="120" spans="2:11" x14ac:dyDescent="0.2">
      <c r="B120" s="5" t="s">
        <v>1669</v>
      </c>
      <c r="C120" s="5" t="s">
        <v>1667</v>
      </c>
      <c r="D120" s="5">
        <v>2022</v>
      </c>
      <c r="E120" s="9">
        <v>6</v>
      </c>
      <c r="F120" s="9">
        <v>1272</v>
      </c>
      <c r="G120" s="9">
        <v>91584</v>
      </c>
      <c r="H120" s="9">
        <v>176468</v>
      </c>
      <c r="I120" s="9">
        <v>59283</v>
      </c>
      <c r="J120" s="9">
        <v>25601</v>
      </c>
      <c r="K120" s="8">
        <v>156566.12</v>
      </c>
    </row>
    <row r="121" spans="2:11" x14ac:dyDescent="0.2">
      <c r="B121" s="5" t="s">
        <v>1669</v>
      </c>
      <c r="C121" s="5" t="s">
        <v>1667</v>
      </c>
      <c r="D121" s="5">
        <v>2023</v>
      </c>
      <c r="E121" s="9">
        <v>6</v>
      </c>
      <c r="F121" s="9">
        <v>939</v>
      </c>
      <c r="G121" s="9">
        <v>67608</v>
      </c>
      <c r="H121" s="9">
        <v>145013</v>
      </c>
      <c r="I121" s="9">
        <v>42361</v>
      </c>
      <c r="J121" s="9">
        <v>35044</v>
      </c>
      <c r="K121" s="8">
        <v>131723.44</v>
      </c>
    </row>
    <row r="122" spans="2:11" x14ac:dyDescent="0.2">
      <c r="B122" s="5" t="s">
        <v>1669</v>
      </c>
      <c r="C122" s="5" t="s">
        <v>1667</v>
      </c>
      <c r="D122" s="5">
        <v>2024</v>
      </c>
      <c r="E122" s="9">
        <v>5</v>
      </c>
      <c r="F122" s="9">
        <v>116</v>
      </c>
      <c r="G122" s="9">
        <v>6960</v>
      </c>
      <c r="H122" s="9">
        <v>87681</v>
      </c>
      <c r="I122" s="9">
        <v>-5984</v>
      </c>
      <c r="J122" s="9">
        <v>86705</v>
      </c>
      <c r="K122" s="8">
        <v>96657.8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33387-1D41-4968-8852-D98DCE344D53}">
  <sheetPr>
    <tabColor theme="2" tint="-0.499984740745262"/>
  </sheetPr>
  <dimension ref="B1:AE262"/>
  <sheetViews>
    <sheetView tabSelected="1" topLeftCell="C3" zoomScale="92" zoomScaleNormal="85" workbookViewId="0">
      <selection activeCell="W2" sqref="W2:AE22"/>
    </sheetView>
  </sheetViews>
  <sheetFormatPr baseColWidth="10" defaultColWidth="8.83203125" defaultRowHeight="15" x14ac:dyDescent="0.2"/>
  <cols>
    <col min="2" max="2" width="9.6640625" customWidth="1"/>
    <col min="3" max="3" width="27.5" bestFit="1" customWidth="1"/>
    <col min="4" max="4" width="11.5" bestFit="1" customWidth="1"/>
    <col min="5" max="5" width="6.6640625" customWidth="1"/>
    <col min="6" max="6" width="32.6640625" customWidth="1"/>
    <col min="7" max="7" width="10.5" bestFit="1" customWidth="1"/>
    <col min="8" max="8" width="9.1640625" customWidth="1"/>
    <col min="9" max="9" width="27.5" bestFit="1" customWidth="1"/>
    <col min="10" max="10" width="11.5" customWidth="1"/>
    <col min="11" max="11" width="9.83203125" customWidth="1"/>
    <col min="12" max="12" width="29.6640625" customWidth="1"/>
    <col min="13" max="13" width="19.5" customWidth="1"/>
    <col min="14" max="14" width="6.5" bestFit="1" customWidth="1"/>
    <col min="15" max="15" width="34" bestFit="1" customWidth="1"/>
    <col min="16" max="16" width="19" style="7" bestFit="1" customWidth="1"/>
    <col min="17" max="17" width="10.83203125" style="7" bestFit="1" customWidth="1"/>
    <col min="18" max="20" width="10.83203125" style="7" customWidth="1"/>
    <col min="21" max="21" width="31.5" style="7" customWidth="1"/>
    <col min="22" max="22" width="8" bestFit="1" customWidth="1"/>
    <col min="23" max="24" width="19" bestFit="1" customWidth="1"/>
    <col min="25" max="25" width="11.6640625" bestFit="1" customWidth="1"/>
    <col min="26" max="26" width="11.83203125" bestFit="1" customWidth="1"/>
    <col min="27" max="27" width="16.6640625" bestFit="1" customWidth="1"/>
    <col min="28" max="28" width="17" bestFit="1" customWidth="1"/>
    <col min="29" max="29" width="20.33203125" bestFit="1" customWidth="1"/>
    <col min="30" max="30" width="13.33203125" bestFit="1" customWidth="1"/>
    <col min="31" max="31" width="16.33203125" bestFit="1" customWidth="1"/>
  </cols>
  <sheetData>
    <row r="1" spans="2:31" x14ac:dyDescent="0.2">
      <c r="P1"/>
    </row>
    <row r="2" spans="2:31" ht="16" x14ac:dyDescent="0.2">
      <c r="P2"/>
      <c r="W2" s="28" t="s">
        <v>1700</v>
      </c>
      <c r="X2" s="10" t="s">
        <v>1384</v>
      </c>
      <c r="Y2" s="11" t="s">
        <v>1733</v>
      </c>
      <c r="Z2" t="s">
        <v>1734</v>
      </c>
      <c r="AA2" t="s">
        <v>1735</v>
      </c>
      <c r="AB2" t="s">
        <v>1736</v>
      </c>
      <c r="AC2" t="s">
        <v>1737</v>
      </c>
      <c r="AD2" t="s">
        <v>1738</v>
      </c>
      <c r="AE2" t="s">
        <v>1739</v>
      </c>
    </row>
    <row r="3" spans="2:31" x14ac:dyDescent="0.2">
      <c r="B3" s="16" t="s">
        <v>1740</v>
      </c>
      <c r="C3" s="17"/>
      <c r="D3" s="18"/>
      <c r="E3" s="19" t="s">
        <v>1741</v>
      </c>
      <c r="F3" s="17"/>
      <c r="G3" s="18"/>
      <c r="H3" s="19" t="s">
        <v>1742</v>
      </c>
      <c r="I3" s="17"/>
      <c r="J3" s="18"/>
      <c r="K3" s="19" t="s">
        <v>1743</v>
      </c>
      <c r="L3" s="17"/>
      <c r="M3" s="18"/>
      <c r="P3"/>
      <c r="U3" s="35" t="s">
        <v>1744</v>
      </c>
      <c r="W3" t="s">
        <v>1025</v>
      </c>
      <c r="X3" t="s">
        <v>1411</v>
      </c>
      <c r="Y3" s="13">
        <v>1193265</v>
      </c>
      <c r="Z3" s="8">
        <v>373968</v>
      </c>
      <c r="AA3" s="8">
        <v>2597</v>
      </c>
      <c r="AB3" s="8">
        <v>12</v>
      </c>
      <c r="AC3" s="8">
        <v>699309</v>
      </c>
      <c r="AD3" s="8">
        <v>119988</v>
      </c>
      <c r="AE3" s="8">
        <v>654762.23999999999</v>
      </c>
    </row>
    <row r="4" spans="2:31" x14ac:dyDescent="0.2">
      <c r="B4" s="15">
        <v>1</v>
      </c>
      <c r="C4" s="7" t="str" cm="1">
        <f t="array" ref="C4:C43">INDEX(_xlfn._xlws.SORT(W3:Y115,{3;1},{-1;1}),_xlfn.SEQUENCE(40),1)</f>
        <v>Fabula ir partneriai, UAB</v>
      </c>
      <c r="D4" s="29">
        <f t="shared" ref="D4:D43" si="0">VLOOKUP(C4,W:Y,3,0)</f>
        <v>5231622</v>
      </c>
      <c r="E4" s="15">
        <v>1</v>
      </c>
      <c r="F4" t="str" cm="1">
        <f t="array" ref="F4:F43">INDEX(_xlfn._xlws.SORT(W3:AE115,{9;1},{-1;1}),_xlfn.SEQUENCE(40),1)</f>
        <v>Fabula ir partneriai, UAB</v>
      </c>
      <c r="G4" s="14">
        <f t="shared" ref="G4:G43" si="1">VLOOKUP(F4,W:AE,9,0)</f>
        <v>2943865.52</v>
      </c>
      <c r="H4" s="15">
        <v>1</v>
      </c>
      <c r="I4" t="str" cm="1">
        <f t="array" ref="I4:I43">INDEX(_xlfn._xlws.SORT(W3:AC115,{7;1},{-1;1}),_xlfn.SEQUENCE(40),1)</f>
        <v>Fabula ir partneriai, UAB</v>
      </c>
      <c r="J4" s="14">
        <f t="shared" ref="J4:J43" si="2">VLOOKUP(I4,W:AC,7,0)</f>
        <v>3073996</v>
      </c>
      <c r="K4" s="15">
        <v>1</v>
      </c>
      <c r="L4" t="str" cm="1">
        <f t="array" ref="L4:L43">INDEX(_xlfn._xlws.SORT(W3:AD115,{8;1},{-1;1}),_xlfn.SEQUENCE(40),1)</f>
        <v>Publicum, UAB</v>
      </c>
      <c r="M4" s="14">
        <f t="shared" ref="M4:M43" si="3">VLOOKUP(L4,W:AD,8,0)</f>
        <v>684359</v>
      </c>
      <c r="P4"/>
      <c r="W4" t="s">
        <v>1437</v>
      </c>
      <c r="X4" t="s">
        <v>1438</v>
      </c>
      <c r="Y4" s="13">
        <v>1526769</v>
      </c>
      <c r="Z4" s="8">
        <v>658008</v>
      </c>
      <c r="AA4" s="8">
        <v>2886</v>
      </c>
      <c r="AB4" s="8">
        <v>19</v>
      </c>
      <c r="AC4" s="8">
        <v>916541</v>
      </c>
      <c r="AD4" s="8">
        <v>-47780</v>
      </c>
      <c r="AE4" s="8">
        <v>893171.44</v>
      </c>
    </row>
    <row r="5" spans="2:31" x14ac:dyDescent="0.2">
      <c r="B5" s="15">
        <v>2</v>
      </c>
      <c r="C5" s="7" t="str">
        <v>Publicum, UAB</v>
      </c>
      <c r="D5" s="14">
        <f t="shared" si="0"/>
        <v>4743413</v>
      </c>
      <c r="E5" s="15">
        <v>2</v>
      </c>
      <c r="F5" t="str">
        <v>Publicum, UAB</v>
      </c>
      <c r="G5" s="14">
        <f t="shared" si="1"/>
        <v>2714318.36</v>
      </c>
      <c r="H5" s="15">
        <v>2</v>
      </c>
      <c r="I5" t="str">
        <v>Publicum, UAB</v>
      </c>
      <c r="J5" s="14">
        <f t="shared" si="2"/>
        <v>2639502</v>
      </c>
      <c r="K5" s="15">
        <v>2</v>
      </c>
      <c r="L5" t="str">
        <v>Fabula ir partneriai, UAB</v>
      </c>
      <c r="M5" s="14">
        <f t="shared" si="3"/>
        <v>329162</v>
      </c>
      <c r="P5"/>
      <c r="W5" t="s">
        <v>1439</v>
      </c>
      <c r="X5" t="s">
        <v>1440</v>
      </c>
      <c r="Y5" s="13">
        <v>1566507</v>
      </c>
      <c r="Z5" s="8">
        <v>463584</v>
      </c>
      <c r="AA5" s="8">
        <v>3512</v>
      </c>
      <c r="AB5" s="8">
        <v>11</v>
      </c>
      <c r="AC5" s="8">
        <v>999078</v>
      </c>
      <c r="AD5" s="8">
        <v>103845</v>
      </c>
      <c r="AE5" s="8">
        <v>766770.12</v>
      </c>
    </row>
    <row r="6" spans="2:31" x14ac:dyDescent="0.2">
      <c r="B6" s="15">
        <v>3</v>
      </c>
      <c r="C6" s="7" t="str">
        <v>co:agency, UAB</v>
      </c>
      <c r="D6" s="14">
        <f t="shared" si="0"/>
        <v>3374832</v>
      </c>
      <c r="E6" s="15">
        <v>3</v>
      </c>
      <c r="F6" t="str">
        <v>Idea Prima, UAB</v>
      </c>
      <c r="G6" s="14">
        <f t="shared" si="1"/>
        <v>1768728.2</v>
      </c>
      <c r="H6" s="15">
        <v>3</v>
      </c>
      <c r="I6" t="str">
        <v>co:agency, UAB</v>
      </c>
      <c r="J6" s="14">
        <f t="shared" si="2"/>
        <v>2302493</v>
      </c>
      <c r="K6" s="15">
        <v>3</v>
      </c>
      <c r="L6" t="str">
        <v>co:agency, UAB</v>
      </c>
      <c r="M6" s="14">
        <f t="shared" si="3"/>
        <v>281779</v>
      </c>
      <c r="P6"/>
      <c r="W6" t="s">
        <v>387</v>
      </c>
      <c r="X6" t="s">
        <v>1445</v>
      </c>
      <c r="Y6" s="13">
        <v>3374832</v>
      </c>
      <c r="Z6" s="8">
        <v>790560</v>
      </c>
      <c r="AA6" s="8">
        <v>2745</v>
      </c>
      <c r="AB6" s="8">
        <v>24</v>
      </c>
      <c r="AC6" s="8">
        <v>2302493</v>
      </c>
      <c r="AD6" s="8">
        <v>281779</v>
      </c>
      <c r="AE6" s="8">
        <v>1412279.8</v>
      </c>
    </row>
    <row r="7" spans="2:31" x14ac:dyDescent="0.2">
      <c r="B7" s="15">
        <v>4</v>
      </c>
      <c r="C7" s="7" t="str">
        <v>Idea Prima, UAB</v>
      </c>
      <c r="D7" s="14">
        <f t="shared" si="0"/>
        <v>2912372</v>
      </c>
      <c r="E7" s="15">
        <v>4</v>
      </c>
      <c r="F7" t="str">
        <v>Integrity PR, UAB</v>
      </c>
      <c r="G7" s="14">
        <f t="shared" si="1"/>
        <v>1624823</v>
      </c>
      <c r="H7" s="15">
        <v>4</v>
      </c>
      <c r="I7" t="str">
        <v>INK Agency, UAB</v>
      </c>
      <c r="J7" s="14">
        <f t="shared" si="2"/>
        <v>1869505</v>
      </c>
      <c r="K7" s="15">
        <v>4</v>
      </c>
      <c r="L7" t="str">
        <v>Integrity PR, UAB</v>
      </c>
      <c r="M7" s="14">
        <f t="shared" si="3"/>
        <v>229286</v>
      </c>
      <c r="P7"/>
      <c r="W7" t="s">
        <v>933</v>
      </c>
      <c r="X7" t="s">
        <v>1467</v>
      </c>
      <c r="Y7" s="13">
        <v>16127</v>
      </c>
      <c r="Z7" s="8">
        <v>0</v>
      </c>
      <c r="AA7" s="8">
        <v>0</v>
      </c>
      <c r="AB7" s="8">
        <v>1</v>
      </c>
      <c r="AC7" s="8">
        <v>0</v>
      </c>
      <c r="AD7" s="8">
        <v>-1197</v>
      </c>
      <c r="AE7" s="8">
        <v>16127</v>
      </c>
    </row>
    <row r="8" spans="2:31" x14ac:dyDescent="0.2">
      <c r="B8" s="15">
        <v>5</v>
      </c>
      <c r="C8" s="7" t="str">
        <v>INK Agency, UAB</v>
      </c>
      <c r="D8" s="14">
        <f t="shared" si="0"/>
        <v>2822488</v>
      </c>
      <c r="E8" s="15">
        <v>5</v>
      </c>
      <c r="F8" t="str">
        <v>co:agency, UAB</v>
      </c>
      <c r="G8" s="14">
        <f t="shared" si="1"/>
        <v>1412279.8</v>
      </c>
      <c r="H8" s="15">
        <v>5</v>
      </c>
      <c r="I8" t="str">
        <v>Idea Prima, UAB</v>
      </c>
      <c r="J8" s="14">
        <f t="shared" si="2"/>
        <v>1665939</v>
      </c>
      <c r="K8" s="15">
        <v>5</v>
      </c>
      <c r="L8" t="str">
        <v>Maniac, UAB</v>
      </c>
      <c r="M8" s="14">
        <f t="shared" si="3"/>
        <v>222567</v>
      </c>
      <c r="P8"/>
      <c r="W8" t="s">
        <v>298</v>
      </c>
      <c r="X8" t="s">
        <v>1481</v>
      </c>
      <c r="Y8" s="13">
        <v>5231622</v>
      </c>
      <c r="Z8" s="8">
        <v>1828464</v>
      </c>
      <c r="AA8" s="8">
        <v>3463</v>
      </c>
      <c r="AB8" s="8">
        <v>44</v>
      </c>
      <c r="AC8" s="8">
        <v>3073996</v>
      </c>
      <c r="AD8" s="8">
        <v>329162</v>
      </c>
      <c r="AE8" s="8">
        <v>2943865.52</v>
      </c>
    </row>
    <row r="9" spans="2:31" x14ac:dyDescent="0.2">
      <c r="B9" s="15">
        <v>6</v>
      </c>
      <c r="C9" s="7" t="str">
        <v>Integrity PR, UAB</v>
      </c>
      <c r="D9" s="14">
        <f t="shared" si="0"/>
        <v>2679018</v>
      </c>
      <c r="E9" s="15">
        <v>6</v>
      </c>
      <c r="F9" t="str">
        <v>INK Agency, UAB</v>
      </c>
      <c r="G9" s="14">
        <f t="shared" si="1"/>
        <v>1304946.6000000001</v>
      </c>
      <c r="H9" s="15">
        <v>6</v>
      </c>
      <c r="I9" t="str">
        <v>Integrity PR, UAB</v>
      </c>
      <c r="J9" s="14">
        <f t="shared" si="2"/>
        <v>1473832</v>
      </c>
      <c r="K9" s="15">
        <v>6</v>
      </c>
      <c r="L9" t="str">
        <v>INK Agency, UAB</v>
      </c>
      <c r="M9" s="14">
        <f t="shared" si="3"/>
        <v>134463</v>
      </c>
      <c r="P9"/>
      <c r="W9" t="s">
        <v>566</v>
      </c>
      <c r="X9" t="s">
        <v>1507</v>
      </c>
      <c r="Y9" s="13">
        <v>1572640</v>
      </c>
      <c r="Z9" s="8">
        <v>571680</v>
      </c>
      <c r="AA9" s="8">
        <v>3176</v>
      </c>
      <c r="AB9" s="8">
        <v>15</v>
      </c>
      <c r="AC9" s="8">
        <v>955853</v>
      </c>
      <c r="AD9" s="8">
        <v>45107</v>
      </c>
      <c r="AE9" s="8">
        <v>862609.4</v>
      </c>
    </row>
    <row r="10" spans="2:31" x14ac:dyDescent="0.2">
      <c r="B10" s="15">
        <v>7</v>
      </c>
      <c r="C10" s="7" t="str">
        <v>Headline, UAB</v>
      </c>
      <c r="D10" s="14">
        <f t="shared" si="0"/>
        <v>1572640</v>
      </c>
      <c r="E10" s="15">
        <v>7</v>
      </c>
      <c r="F10" t="str">
        <v>Berta and, UAB</v>
      </c>
      <c r="G10" s="14">
        <f t="shared" si="1"/>
        <v>893171.44</v>
      </c>
      <c r="H10" s="15">
        <v>7</v>
      </c>
      <c r="I10" t="str">
        <v>Bosanova, UAB</v>
      </c>
      <c r="J10" s="14">
        <f t="shared" si="2"/>
        <v>999078</v>
      </c>
      <c r="K10" s="15">
        <v>7</v>
      </c>
      <c r="L10" t="str">
        <v>Adverum, UAB</v>
      </c>
      <c r="M10" s="14">
        <f t="shared" si="3"/>
        <v>119988</v>
      </c>
      <c r="P10"/>
      <c r="W10" t="s">
        <v>762</v>
      </c>
      <c r="X10" t="s">
        <v>1510</v>
      </c>
      <c r="Y10" s="13">
        <v>339411</v>
      </c>
      <c r="Z10" s="8">
        <v>73980</v>
      </c>
      <c r="AA10" s="8">
        <v>2055</v>
      </c>
      <c r="AB10" s="8">
        <v>3</v>
      </c>
      <c r="AC10" s="8">
        <v>264642</v>
      </c>
      <c r="AD10" s="8">
        <v>789</v>
      </c>
      <c r="AE10" s="8">
        <v>106580.4</v>
      </c>
    </row>
    <row r="11" spans="2:31" x14ac:dyDescent="0.2">
      <c r="B11" s="15">
        <v>8</v>
      </c>
      <c r="C11" s="7" t="str">
        <v>Bosanova, UAB</v>
      </c>
      <c r="D11" s="14">
        <f t="shared" si="0"/>
        <v>1566507</v>
      </c>
      <c r="E11" s="15">
        <v>8</v>
      </c>
      <c r="F11" t="str">
        <v>Headline, UAB</v>
      </c>
      <c r="G11" s="14">
        <f t="shared" si="1"/>
        <v>862609.4</v>
      </c>
      <c r="H11" s="15">
        <v>8</v>
      </c>
      <c r="I11" t="str">
        <v>Headline, UAB</v>
      </c>
      <c r="J11" s="14">
        <f t="shared" si="2"/>
        <v>955853</v>
      </c>
      <c r="K11" s="15">
        <v>8</v>
      </c>
      <c r="L11" t="str">
        <v>Bosanova, UAB</v>
      </c>
      <c r="M11" s="14">
        <f t="shared" si="3"/>
        <v>103845</v>
      </c>
      <c r="P11"/>
      <c r="W11" t="s">
        <v>436</v>
      </c>
      <c r="X11" t="s">
        <v>1514</v>
      </c>
      <c r="Y11" s="13">
        <v>2912372</v>
      </c>
      <c r="Z11" s="8">
        <v>1214640</v>
      </c>
      <c r="AA11" s="8">
        <v>3374</v>
      </c>
      <c r="AB11" s="8">
        <v>30</v>
      </c>
      <c r="AC11" s="8">
        <v>1665939</v>
      </c>
      <c r="AD11" s="8">
        <v>31793</v>
      </c>
      <c r="AE11" s="8">
        <v>1768728.2</v>
      </c>
    </row>
    <row r="12" spans="2:31" x14ac:dyDescent="0.2">
      <c r="B12" s="15">
        <v>9</v>
      </c>
      <c r="C12" s="7" t="str">
        <v>Berta and, UAB</v>
      </c>
      <c r="D12" s="14">
        <f t="shared" si="0"/>
        <v>1526769</v>
      </c>
      <c r="E12" s="15">
        <v>9</v>
      </c>
      <c r="F12" t="str">
        <v>Bosanova, UAB</v>
      </c>
      <c r="G12" s="14">
        <f t="shared" si="1"/>
        <v>766770.12</v>
      </c>
      <c r="H12" s="15">
        <v>9</v>
      </c>
      <c r="I12" t="str">
        <v>Berta and, UAB</v>
      </c>
      <c r="J12" s="14">
        <f t="shared" si="2"/>
        <v>916541</v>
      </c>
      <c r="K12" s="15">
        <v>9</v>
      </c>
      <c r="L12" t="str">
        <v>Visetas, UAB</v>
      </c>
      <c r="M12" s="14">
        <f t="shared" si="3"/>
        <v>86705</v>
      </c>
      <c r="P12"/>
      <c r="W12" t="s">
        <v>455</v>
      </c>
      <c r="X12" t="s">
        <v>1525</v>
      </c>
      <c r="Y12" s="13">
        <v>2822488</v>
      </c>
      <c r="Z12" s="8">
        <v>818520</v>
      </c>
      <c r="AA12" s="8">
        <v>3590</v>
      </c>
      <c r="AB12" s="8">
        <v>19</v>
      </c>
      <c r="AC12" s="8">
        <v>1869505</v>
      </c>
      <c r="AD12" s="8">
        <v>134463</v>
      </c>
      <c r="AE12" s="8">
        <v>1304946.6000000001</v>
      </c>
    </row>
    <row r="13" spans="2:31" x14ac:dyDescent="0.2">
      <c r="B13" s="15">
        <v>10</v>
      </c>
      <c r="C13" s="7" t="str">
        <v>Adverum, UAB</v>
      </c>
      <c r="D13" s="14">
        <f t="shared" si="0"/>
        <v>1193265</v>
      </c>
      <c r="E13" s="15">
        <v>10</v>
      </c>
      <c r="F13" t="str">
        <v>Adverum, UAB</v>
      </c>
      <c r="G13" s="14">
        <f t="shared" si="1"/>
        <v>654762.23999999999</v>
      </c>
      <c r="H13" s="15">
        <v>10</v>
      </c>
      <c r="I13" t="str">
        <v>Adverum, UAB</v>
      </c>
      <c r="J13" s="14">
        <f t="shared" si="2"/>
        <v>699309</v>
      </c>
      <c r="K13" s="15">
        <v>10</v>
      </c>
      <c r="L13" t="str">
        <v>Particle PR, UAB</v>
      </c>
      <c r="M13" s="14">
        <f t="shared" si="3"/>
        <v>74154</v>
      </c>
      <c r="P13"/>
      <c r="W13" t="s">
        <v>487</v>
      </c>
      <c r="X13" t="s">
        <v>1531</v>
      </c>
      <c r="Y13" s="13">
        <v>2679018</v>
      </c>
      <c r="Z13" s="8">
        <v>975900</v>
      </c>
      <c r="AA13" s="8">
        <v>3253</v>
      </c>
      <c r="AB13" s="8">
        <v>25</v>
      </c>
      <c r="AC13" s="8">
        <v>1473832</v>
      </c>
      <c r="AD13" s="8">
        <v>229286</v>
      </c>
      <c r="AE13" s="8">
        <v>1624823</v>
      </c>
    </row>
    <row r="14" spans="2:31" x14ac:dyDescent="0.2">
      <c r="B14" s="15">
        <v>11</v>
      </c>
      <c r="C14" s="7" t="str">
        <v>Maniac, UAB</v>
      </c>
      <c r="D14" s="14">
        <f t="shared" si="0"/>
        <v>645283</v>
      </c>
      <c r="E14" s="15">
        <v>11</v>
      </c>
      <c r="F14" t="str">
        <v>Maniac, UAB</v>
      </c>
      <c r="G14" s="14">
        <f t="shared" si="1"/>
        <v>421794.6</v>
      </c>
      <c r="H14" s="15">
        <v>11</v>
      </c>
      <c r="I14" t="str">
        <v>LoveMedia, UAB</v>
      </c>
      <c r="J14" s="14">
        <f t="shared" si="2"/>
        <v>343841</v>
      </c>
      <c r="K14" s="15">
        <v>11</v>
      </c>
      <c r="L14" t="str">
        <v>PR Ace Agency, MB</v>
      </c>
      <c r="M14" s="14">
        <f t="shared" si="3"/>
        <v>66604</v>
      </c>
      <c r="P14"/>
      <c r="W14" t="s">
        <v>1534</v>
      </c>
      <c r="X14" t="s">
        <v>1533</v>
      </c>
      <c r="Y14" s="13">
        <v>193289</v>
      </c>
      <c r="Z14" s="8">
        <v>0</v>
      </c>
      <c r="AA14" s="8">
        <v>0</v>
      </c>
      <c r="AB14" s="8">
        <v>2</v>
      </c>
      <c r="AC14" s="8">
        <v>0</v>
      </c>
      <c r="AD14" s="8">
        <v>9873</v>
      </c>
      <c r="AE14" s="8">
        <v>193289</v>
      </c>
    </row>
    <row r="15" spans="2:31" x14ac:dyDescent="0.2">
      <c r="B15" s="15">
        <v>12</v>
      </c>
      <c r="C15" s="7" t="str">
        <v>Particle PR, UAB</v>
      </c>
      <c r="D15" s="14">
        <f t="shared" si="0"/>
        <v>474855</v>
      </c>
      <c r="E15" s="15">
        <v>12</v>
      </c>
      <c r="F15" t="str">
        <v>Particle PR, UAB</v>
      </c>
      <c r="G15" s="14">
        <f t="shared" si="1"/>
        <v>376650.48</v>
      </c>
      <c r="H15" s="15">
        <v>12</v>
      </c>
      <c r="I15" t="str">
        <v>Maniac, UAB</v>
      </c>
      <c r="J15" s="14">
        <f t="shared" si="2"/>
        <v>283396</v>
      </c>
      <c r="K15" s="15">
        <v>12</v>
      </c>
      <c r="L15" t="str">
        <v>Panama Agency, MB</v>
      </c>
      <c r="M15" s="14">
        <f t="shared" si="3"/>
        <v>60868</v>
      </c>
      <c r="P15"/>
      <c r="W15" t="s">
        <v>1077</v>
      </c>
      <c r="X15" t="s">
        <v>1547</v>
      </c>
      <c r="Y15" s="13">
        <v>448957</v>
      </c>
      <c r="Z15" s="8">
        <v>73488</v>
      </c>
      <c r="AA15" s="8">
        <v>1531</v>
      </c>
      <c r="AB15" s="8">
        <v>4</v>
      </c>
      <c r="AC15" s="8">
        <v>343841</v>
      </c>
      <c r="AD15" s="8">
        <v>31628</v>
      </c>
      <c r="AE15" s="8">
        <v>136715.84</v>
      </c>
    </row>
    <row r="16" spans="2:31" x14ac:dyDescent="0.2">
      <c r="B16" s="15">
        <v>13</v>
      </c>
      <c r="C16" s="7" t="str">
        <v>LoveMedia, UAB</v>
      </c>
      <c r="D16" s="14">
        <f t="shared" si="0"/>
        <v>448957</v>
      </c>
      <c r="E16" s="15">
        <v>13</v>
      </c>
      <c r="F16" t="str">
        <v>PR Service, UAB (PIAR)</v>
      </c>
      <c r="G16" s="14">
        <f t="shared" si="1"/>
        <v>305276.40000000002</v>
      </c>
      <c r="H16" s="15">
        <v>13</v>
      </c>
      <c r="I16" t="str">
        <v>IC Baltic, UAB</v>
      </c>
      <c r="J16" s="14">
        <f t="shared" si="2"/>
        <v>264642</v>
      </c>
      <c r="K16" s="15">
        <v>13</v>
      </c>
      <c r="L16" t="str">
        <v>Headline, UAB</v>
      </c>
      <c r="M16" s="14">
        <f t="shared" si="3"/>
        <v>45107</v>
      </c>
      <c r="P16"/>
      <c r="W16" t="s">
        <v>698</v>
      </c>
      <c r="X16" t="s">
        <v>1558</v>
      </c>
      <c r="Y16" s="13">
        <v>645283</v>
      </c>
      <c r="Z16" s="8">
        <v>139320</v>
      </c>
      <c r="AA16" s="8">
        <v>1935</v>
      </c>
      <c r="AB16" s="8">
        <v>6</v>
      </c>
      <c r="AC16" s="8">
        <v>283396</v>
      </c>
      <c r="AD16" s="8">
        <v>222567</v>
      </c>
      <c r="AE16" s="8">
        <v>421794.6</v>
      </c>
    </row>
    <row r="17" spans="2:31" x14ac:dyDescent="0.2">
      <c r="B17" s="15">
        <v>14</v>
      </c>
      <c r="C17" s="7" t="str">
        <v>Panama Agency, MB</v>
      </c>
      <c r="D17" s="14">
        <f t="shared" si="0"/>
        <v>407865</v>
      </c>
      <c r="E17" s="15">
        <v>14</v>
      </c>
      <c r="F17" t="str">
        <v>Panama Agency, MB</v>
      </c>
      <c r="G17" s="14">
        <f t="shared" si="1"/>
        <v>232039</v>
      </c>
      <c r="H17" s="15">
        <v>14</v>
      </c>
      <c r="I17" t="str">
        <v>Panama Agency, MB</v>
      </c>
      <c r="J17" s="14">
        <f t="shared" si="2"/>
        <v>227297</v>
      </c>
      <c r="K17" s="15">
        <v>14</v>
      </c>
      <c r="L17" t="str">
        <v>Idea Prima, UAB</v>
      </c>
      <c r="M17" s="14">
        <f t="shared" si="3"/>
        <v>31793</v>
      </c>
      <c r="P17"/>
      <c r="W17" t="s">
        <v>1590</v>
      </c>
      <c r="X17" t="s">
        <v>1591</v>
      </c>
      <c r="Y17" s="13">
        <v>407865</v>
      </c>
      <c r="Z17" s="8">
        <v>119700</v>
      </c>
      <c r="AA17" s="8">
        <v>1995</v>
      </c>
      <c r="AB17" s="8">
        <v>5</v>
      </c>
      <c r="AC17" s="8">
        <v>227297</v>
      </c>
      <c r="AD17" s="8">
        <v>60868</v>
      </c>
      <c r="AE17" s="8">
        <v>232039</v>
      </c>
    </row>
    <row r="18" spans="2:31" x14ac:dyDescent="0.2">
      <c r="B18" s="15">
        <v>15</v>
      </c>
      <c r="C18" s="7" t="str">
        <v>IC Baltic, UAB</v>
      </c>
      <c r="D18" s="14">
        <f t="shared" si="0"/>
        <v>339411</v>
      </c>
      <c r="E18" s="15">
        <v>15</v>
      </c>
      <c r="F18" t="str">
        <v>Komunikacija ir konsultantai, UAB</v>
      </c>
      <c r="G18" s="14">
        <f t="shared" si="1"/>
        <v>193289</v>
      </c>
      <c r="H18" s="15">
        <v>15</v>
      </c>
      <c r="I18" t="str">
        <v>Particle PR, UAB</v>
      </c>
      <c r="J18" s="14">
        <f t="shared" si="2"/>
        <v>189165</v>
      </c>
      <c r="K18" s="15">
        <v>15</v>
      </c>
      <c r="L18" t="str">
        <v>LoveMedia, UAB</v>
      </c>
      <c r="M18" s="14">
        <f t="shared" si="3"/>
        <v>31628</v>
      </c>
      <c r="P18"/>
      <c r="W18" t="s">
        <v>734</v>
      </c>
      <c r="X18" t="s">
        <v>1593</v>
      </c>
      <c r="Y18" s="13">
        <v>474855</v>
      </c>
      <c r="Z18" s="8">
        <v>211536</v>
      </c>
      <c r="AA18" s="8">
        <v>2938</v>
      </c>
      <c r="AB18" s="8">
        <v>6</v>
      </c>
      <c r="AC18" s="8">
        <v>189165</v>
      </c>
      <c r="AD18" s="8">
        <v>74154</v>
      </c>
      <c r="AE18" s="8">
        <v>376650.48</v>
      </c>
    </row>
    <row r="19" spans="2:31" x14ac:dyDescent="0.2">
      <c r="B19" s="15">
        <v>16</v>
      </c>
      <c r="C19" s="7" t="str">
        <v>Komunikacija ir konsultantai, UAB</v>
      </c>
      <c r="D19" s="14">
        <f t="shared" si="0"/>
        <v>193289</v>
      </c>
      <c r="E19" s="15">
        <v>16</v>
      </c>
      <c r="F19" t="str">
        <v>PR Ace Agency, MB</v>
      </c>
      <c r="G19" s="14">
        <f t="shared" si="1"/>
        <v>168267</v>
      </c>
      <c r="H19" s="15">
        <v>16</v>
      </c>
      <c r="I19" t="str">
        <v>Efcom, UAB</v>
      </c>
      <c r="J19" s="14">
        <f t="shared" si="2"/>
        <v>0</v>
      </c>
      <c r="K19" s="15">
        <v>16</v>
      </c>
      <c r="L19" t="str">
        <v>Komunikacija ir konsultantai, UAB</v>
      </c>
      <c r="M19" s="14">
        <f t="shared" si="3"/>
        <v>9873</v>
      </c>
      <c r="P19"/>
      <c r="W19" t="s">
        <v>834</v>
      </c>
      <c r="X19" t="s">
        <v>1600</v>
      </c>
      <c r="Y19" s="13">
        <v>168267</v>
      </c>
      <c r="Z19" s="8">
        <v>0</v>
      </c>
      <c r="AA19" s="8">
        <v>0</v>
      </c>
      <c r="AB19" s="8">
        <v>0</v>
      </c>
      <c r="AC19" s="8">
        <v>0</v>
      </c>
      <c r="AD19" s="8">
        <v>66604</v>
      </c>
      <c r="AE19" s="8">
        <v>168267</v>
      </c>
    </row>
    <row r="20" spans="2:31" x14ac:dyDescent="0.2">
      <c r="B20" s="15">
        <v>17</v>
      </c>
      <c r="C20" s="7" t="str">
        <v>PR Ace Agency, MB</v>
      </c>
      <c r="D20" s="14">
        <f t="shared" si="0"/>
        <v>168267</v>
      </c>
      <c r="E20" s="15">
        <v>17</v>
      </c>
      <c r="F20" t="str">
        <v>LoveMedia, UAB</v>
      </c>
      <c r="G20" s="14">
        <f t="shared" si="1"/>
        <v>136715.84</v>
      </c>
      <c r="H20" s="51">
        <v>17</v>
      </c>
      <c r="I20" t="str">
        <v>Komunikacija ir konsultantai, UAB</v>
      </c>
      <c r="J20" s="62">
        <f t="shared" si="2"/>
        <v>0</v>
      </c>
      <c r="K20" s="51">
        <v>17</v>
      </c>
      <c r="L20" t="str">
        <v>IC Baltic, UAB</v>
      </c>
      <c r="M20" s="63">
        <f t="shared" si="3"/>
        <v>789</v>
      </c>
      <c r="P20"/>
      <c r="W20" t="s">
        <v>1006</v>
      </c>
      <c r="X20" t="s">
        <v>1601</v>
      </c>
      <c r="Y20" s="13">
        <v>0</v>
      </c>
      <c r="Z20" s="8">
        <v>213480</v>
      </c>
      <c r="AA20" s="8">
        <v>2965</v>
      </c>
      <c r="AB20" s="8">
        <v>6</v>
      </c>
      <c r="AC20" s="8">
        <v>-213480</v>
      </c>
      <c r="AD20" s="8">
        <v>0</v>
      </c>
      <c r="AE20" s="8">
        <v>305276.40000000002</v>
      </c>
    </row>
    <row r="21" spans="2:31" x14ac:dyDescent="0.2">
      <c r="B21" s="15">
        <v>18</v>
      </c>
      <c r="C21" s="7" t="str">
        <v>Visetas, UAB</v>
      </c>
      <c r="D21" s="14">
        <f t="shared" si="0"/>
        <v>87681</v>
      </c>
      <c r="E21" s="15">
        <v>18</v>
      </c>
      <c r="F21" t="str">
        <v>IC Baltic, UAB</v>
      </c>
      <c r="G21" s="14">
        <f t="shared" si="1"/>
        <v>106580.4</v>
      </c>
      <c r="H21" s="51">
        <v>18</v>
      </c>
      <c r="I21" t="str">
        <v>PR Ace Agency, MB</v>
      </c>
      <c r="J21" s="62">
        <f t="shared" si="2"/>
        <v>0</v>
      </c>
      <c r="K21" s="51">
        <v>18</v>
      </c>
      <c r="L21" t="str">
        <v>PR Service, UAB (PIAR)</v>
      </c>
      <c r="M21" s="63">
        <f t="shared" si="3"/>
        <v>0</v>
      </c>
      <c r="P21"/>
      <c r="W21" t="s">
        <v>354</v>
      </c>
      <c r="X21" t="s">
        <v>1607</v>
      </c>
      <c r="Y21" s="13">
        <v>4743413</v>
      </c>
      <c r="Z21" s="8">
        <v>1419552</v>
      </c>
      <c r="AA21" s="8">
        <v>4929</v>
      </c>
      <c r="AB21" s="8">
        <v>24</v>
      </c>
      <c r="AC21" s="8">
        <v>2639502</v>
      </c>
      <c r="AD21" s="8">
        <v>684359</v>
      </c>
      <c r="AE21" s="8">
        <v>2714318.36</v>
      </c>
    </row>
    <row r="22" spans="2:31" x14ac:dyDescent="0.2">
      <c r="B22" s="15">
        <v>19</v>
      </c>
      <c r="C22" s="7" t="str">
        <v>Efcom, UAB</v>
      </c>
      <c r="D22" s="14">
        <f t="shared" si="0"/>
        <v>16127</v>
      </c>
      <c r="E22" s="15">
        <v>19</v>
      </c>
      <c r="F22" t="str">
        <v>Visetas, UAB</v>
      </c>
      <c r="G22" s="14">
        <f t="shared" si="1"/>
        <v>96657.8</v>
      </c>
      <c r="H22" s="51">
        <v>19</v>
      </c>
      <c r="I22" t="str">
        <v>Visetas, UAB</v>
      </c>
      <c r="J22" s="62">
        <f t="shared" si="2"/>
        <v>-5984</v>
      </c>
      <c r="K22" s="51">
        <v>19</v>
      </c>
      <c r="L22" t="str">
        <v>Efcom, UAB</v>
      </c>
      <c r="M22" s="63">
        <f t="shared" si="3"/>
        <v>-1197</v>
      </c>
      <c r="P22"/>
      <c r="W22" t="s">
        <v>1669</v>
      </c>
      <c r="X22" t="s">
        <v>1667</v>
      </c>
      <c r="Y22" s="13">
        <v>87681</v>
      </c>
      <c r="Z22" s="8">
        <v>6960</v>
      </c>
      <c r="AA22" s="8">
        <v>116</v>
      </c>
      <c r="AB22" s="8">
        <v>5</v>
      </c>
      <c r="AC22" s="8">
        <v>-5984</v>
      </c>
      <c r="AD22" s="8">
        <v>86705</v>
      </c>
      <c r="AE22" s="8">
        <v>96657.8</v>
      </c>
    </row>
    <row r="23" spans="2:31" x14ac:dyDescent="0.2">
      <c r="B23" s="15">
        <v>20</v>
      </c>
      <c r="C23" s="7" t="str">
        <v>PR Service, UAB (PIAR)</v>
      </c>
      <c r="D23" s="14">
        <f t="shared" si="0"/>
        <v>0</v>
      </c>
      <c r="E23" s="15">
        <v>20</v>
      </c>
      <c r="F23" t="str">
        <v>Efcom, UAB</v>
      </c>
      <c r="G23" s="14">
        <f t="shared" si="1"/>
        <v>16127</v>
      </c>
      <c r="H23" s="51">
        <v>20</v>
      </c>
      <c r="I23" t="str">
        <v>PR Service, UAB (PIAR)</v>
      </c>
      <c r="J23" s="62">
        <f t="shared" si="2"/>
        <v>-213480</v>
      </c>
      <c r="K23" s="51">
        <v>20</v>
      </c>
      <c r="L23" t="str">
        <v>Berta and, UAB</v>
      </c>
      <c r="M23" s="63">
        <f t="shared" si="3"/>
        <v>-47780</v>
      </c>
      <c r="P23"/>
    </row>
    <row r="24" spans="2:31" ht="16" x14ac:dyDescent="0.2">
      <c r="B24" s="15">
        <v>21</v>
      </c>
      <c r="C24">
        <v>0</v>
      </c>
      <c r="D24" s="14" t="e">
        <f t="shared" si="0"/>
        <v>#N/A</v>
      </c>
      <c r="E24" s="15">
        <v>21</v>
      </c>
      <c r="F24">
        <v>0</v>
      </c>
      <c r="G24" s="14" t="e">
        <f t="shared" si="1"/>
        <v>#N/A</v>
      </c>
      <c r="H24" s="51">
        <v>21</v>
      </c>
      <c r="I24" s="12">
        <v>0</v>
      </c>
      <c r="J24" s="62" t="e">
        <f t="shared" si="2"/>
        <v>#N/A</v>
      </c>
      <c r="K24" s="51">
        <v>21</v>
      </c>
      <c r="L24" s="12">
        <v>0</v>
      </c>
      <c r="M24" s="63" t="e">
        <f t="shared" si="3"/>
        <v>#N/A</v>
      </c>
      <c r="P24"/>
    </row>
    <row r="25" spans="2:31" x14ac:dyDescent="0.2">
      <c r="B25" s="15">
        <v>22</v>
      </c>
      <c r="C25">
        <v>0</v>
      </c>
      <c r="D25" s="14" t="e">
        <f t="shared" si="0"/>
        <v>#N/A</v>
      </c>
      <c r="E25" s="15">
        <v>22</v>
      </c>
      <c r="F25">
        <v>0</v>
      </c>
      <c r="G25" s="14" t="e">
        <f t="shared" si="1"/>
        <v>#N/A</v>
      </c>
      <c r="H25" s="51">
        <v>22</v>
      </c>
      <c r="I25">
        <v>0</v>
      </c>
      <c r="J25" s="62" t="e">
        <f t="shared" si="2"/>
        <v>#N/A</v>
      </c>
      <c r="K25" s="51">
        <v>22</v>
      </c>
      <c r="L25">
        <v>0</v>
      </c>
      <c r="M25" s="63" t="e">
        <f t="shared" si="3"/>
        <v>#N/A</v>
      </c>
      <c r="P25"/>
    </row>
    <row r="26" spans="2:31" x14ac:dyDescent="0.2">
      <c r="B26" s="15">
        <v>23</v>
      </c>
      <c r="C26">
        <v>0</v>
      </c>
      <c r="D26" s="14" t="e">
        <f t="shared" si="0"/>
        <v>#N/A</v>
      </c>
      <c r="E26" s="15">
        <v>23</v>
      </c>
      <c r="F26">
        <v>0</v>
      </c>
      <c r="G26" s="14" t="e">
        <f t="shared" si="1"/>
        <v>#N/A</v>
      </c>
      <c r="H26" s="51">
        <v>23</v>
      </c>
      <c r="I26">
        <v>0</v>
      </c>
      <c r="J26" s="62" t="e">
        <f t="shared" si="2"/>
        <v>#N/A</v>
      </c>
      <c r="K26" s="51">
        <v>23</v>
      </c>
      <c r="L26">
        <v>0</v>
      </c>
      <c r="M26" s="63" t="e">
        <f t="shared" si="3"/>
        <v>#N/A</v>
      </c>
      <c r="P26"/>
    </row>
    <row r="27" spans="2:31" x14ac:dyDescent="0.2">
      <c r="B27" s="15">
        <v>24</v>
      </c>
      <c r="C27">
        <v>0</v>
      </c>
      <c r="D27" s="14" t="e">
        <f t="shared" si="0"/>
        <v>#N/A</v>
      </c>
      <c r="E27" s="15">
        <v>24</v>
      </c>
      <c r="F27">
        <v>0</v>
      </c>
      <c r="G27" s="14" t="e">
        <f t="shared" si="1"/>
        <v>#N/A</v>
      </c>
      <c r="H27" s="51">
        <v>24</v>
      </c>
      <c r="I27">
        <v>0</v>
      </c>
      <c r="J27" s="62" t="e">
        <f t="shared" si="2"/>
        <v>#N/A</v>
      </c>
      <c r="K27" s="51">
        <v>24</v>
      </c>
      <c r="L27">
        <v>0</v>
      </c>
      <c r="M27" s="63" t="e">
        <f t="shared" si="3"/>
        <v>#N/A</v>
      </c>
      <c r="P27"/>
    </row>
    <row r="28" spans="2:31" x14ac:dyDescent="0.2">
      <c r="B28" s="15">
        <v>25</v>
      </c>
      <c r="C28">
        <v>0</v>
      </c>
      <c r="D28" s="14" t="e">
        <f t="shared" si="0"/>
        <v>#N/A</v>
      </c>
      <c r="E28" s="15">
        <v>25</v>
      </c>
      <c r="F28">
        <v>0</v>
      </c>
      <c r="G28" s="14" t="e">
        <f t="shared" si="1"/>
        <v>#N/A</v>
      </c>
      <c r="H28" s="51">
        <v>25</v>
      </c>
      <c r="I28">
        <v>0</v>
      </c>
      <c r="J28" s="62" t="e">
        <f t="shared" si="2"/>
        <v>#N/A</v>
      </c>
      <c r="K28" s="51">
        <v>25</v>
      </c>
      <c r="L28">
        <v>0</v>
      </c>
      <c r="M28" s="63" t="e">
        <f t="shared" si="3"/>
        <v>#N/A</v>
      </c>
      <c r="P28"/>
    </row>
    <row r="29" spans="2:31" x14ac:dyDescent="0.2">
      <c r="B29" s="15">
        <v>26</v>
      </c>
      <c r="C29">
        <v>0</v>
      </c>
      <c r="D29" s="14" t="e">
        <f t="shared" si="0"/>
        <v>#N/A</v>
      </c>
      <c r="E29" s="15">
        <v>26</v>
      </c>
      <c r="F29">
        <v>0</v>
      </c>
      <c r="G29" s="14" t="e">
        <f t="shared" si="1"/>
        <v>#N/A</v>
      </c>
      <c r="H29" s="51">
        <v>26</v>
      </c>
      <c r="I29">
        <v>0</v>
      </c>
      <c r="J29" s="62" t="e">
        <f t="shared" si="2"/>
        <v>#N/A</v>
      </c>
      <c r="K29" s="51">
        <v>26</v>
      </c>
      <c r="L29">
        <v>0</v>
      </c>
      <c r="M29" s="63" t="e">
        <f t="shared" si="3"/>
        <v>#N/A</v>
      </c>
      <c r="P29"/>
    </row>
    <row r="30" spans="2:31" x14ac:dyDescent="0.2">
      <c r="B30" s="15">
        <v>27</v>
      </c>
      <c r="C30">
        <v>0</v>
      </c>
      <c r="D30" s="14" t="e">
        <f t="shared" si="0"/>
        <v>#N/A</v>
      </c>
      <c r="E30" s="15">
        <v>27</v>
      </c>
      <c r="F30">
        <v>0</v>
      </c>
      <c r="G30" s="14" t="e">
        <f t="shared" si="1"/>
        <v>#N/A</v>
      </c>
      <c r="H30" s="51">
        <v>27</v>
      </c>
      <c r="I30">
        <v>0</v>
      </c>
      <c r="J30" s="62" t="e">
        <f t="shared" si="2"/>
        <v>#N/A</v>
      </c>
      <c r="K30" s="51">
        <v>27</v>
      </c>
      <c r="L30">
        <v>0</v>
      </c>
      <c r="M30" s="63" t="e">
        <f t="shared" si="3"/>
        <v>#N/A</v>
      </c>
      <c r="P30"/>
    </row>
    <row r="31" spans="2:31" x14ac:dyDescent="0.2">
      <c r="B31" s="15">
        <v>28</v>
      </c>
      <c r="C31">
        <v>0</v>
      </c>
      <c r="D31" s="14" t="e">
        <f t="shared" si="0"/>
        <v>#N/A</v>
      </c>
      <c r="E31" s="15">
        <v>28</v>
      </c>
      <c r="F31">
        <v>0</v>
      </c>
      <c r="G31" s="14" t="e">
        <f t="shared" si="1"/>
        <v>#N/A</v>
      </c>
      <c r="H31" s="51">
        <v>28</v>
      </c>
      <c r="I31">
        <v>0</v>
      </c>
      <c r="J31" s="62" t="e">
        <f t="shared" si="2"/>
        <v>#N/A</v>
      </c>
      <c r="K31" s="51">
        <v>28</v>
      </c>
      <c r="L31">
        <v>0</v>
      </c>
      <c r="M31" s="63" t="e">
        <f t="shared" si="3"/>
        <v>#N/A</v>
      </c>
      <c r="P31"/>
    </row>
    <row r="32" spans="2:31" x14ac:dyDescent="0.2">
      <c r="B32" s="15">
        <v>29</v>
      </c>
      <c r="C32">
        <v>0</v>
      </c>
      <c r="D32" s="14" t="e">
        <f t="shared" si="0"/>
        <v>#N/A</v>
      </c>
      <c r="E32" s="15">
        <v>29</v>
      </c>
      <c r="F32">
        <v>0</v>
      </c>
      <c r="G32" s="14" t="e">
        <f t="shared" si="1"/>
        <v>#N/A</v>
      </c>
      <c r="H32" s="51">
        <v>29</v>
      </c>
      <c r="I32">
        <v>0</v>
      </c>
      <c r="J32" s="62" t="e">
        <f t="shared" si="2"/>
        <v>#N/A</v>
      </c>
      <c r="K32" s="51">
        <v>29</v>
      </c>
      <c r="L32">
        <v>0</v>
      </c>
      <c r="M32" s="63" t="e">
        <f t="shared" si="3"/>
        <v>#N/A</v>
      </c>
      <c r="P32"/>
    </row>
    <row r="33" spans="2:16" x14ac:dyDescent="0.2">
      <c r="B33" s="15">
        <v>30</v>
      </c>
      <c r="C33">
        <v>0</v>
      </c>
      <c r="D33" s="14" t="e">
        <f t="shared" si="0"/>
        <v>#N/A</v>
      </c>
      <c r="E33" s="15">
        <v>30</v>
      </c>
      <c r="F33">
        <v>0</v>
      </c>
      <c r="G33" s="14" t="e">
        <f t="shared" si="1"/>
        <v>#N/A</v>
      </c>
      <c r="H33" s="51">
        <v>30</v>
      </c>
      <c r="I33">
        <v>0</v>
      </c>
      <c r="J33" s="62" t="e">
        <f t="shared" si="2"/>
        <v>#N/A</v>
      </c>
      <c r="K33" s="51">
        <v>30</v>
      </c>
      <c r="L33">
        <v>0</v>
      </c>
      <c r="M33" s="63" t="e">
        <f t="shared" si="3"/>
        <v>#N/A</v>
      </c>
      <c r="P33"/>
    </row>
    <row r="34" spans="2:16" x14ac:dyDescent="0.2">
      <c r="B34" s="15">
        <v>31</v>
      </c>
      <c r="C34">
        <v>0</v>
      </c>
      <c r="D34" s="14" t="e">
        <f t="shared" si="0"/>
        <v>#N/A</v>
      </c>
      <c r="E34" s="15">
        <v>31</v>
      </c>
      <c r="F34">
        <v>0</v>
      </c>
      <c r="G34" s="14" t="e">
        <f t="shared" si="1"/>
        <v>#N/A</v>
      </c>
      <c r="H34" s="51">
        <v>31</v>
      </c>
      <c r="I34">
        <v>0</v>
      </c>
      <c r="J34" s="62" t="e">
        <f t="shared" si="2"/>
        <v>#N/A</v>
      </c>
      <c r="K34" s="51">
        <v>31</v>
      </c>
      <c r="L34">
        <v>0</v>
      </c>
      <c r="M34" s="63" t="e">
        <f t="shared" si="3"/>
        <v>#N/A</v>
      </c>
      <c r="P34"/>
    </row>
    <row r="35" spans="2:16" x14ac:dyDescent="0.2">
      <c r="B35" s="15">
        <v>32</v>
      </c>
      <c r="C35">
        <v>0</v>
      </c>
      <c r="D35" s="14" t="e">
        <f t="shared" si="0"/>
        <v>#N/A</v>
      </c>
      <c r="E35" s="15">
        <v>32</v>
      </c>
      <c r="F35">
        <v>0</v>
      </c>
      <c r="G35" s="14" t="e">
        <f t="shared" si="1"/>
        <v>#N/A</v>
      </c>
      <c r="H35" s="51">
        <v>32</v>
      </c>
      <c r="I35">
        <v>0</v>
      </c>
      <c r="J35" s="62" t="e">
        <f t="shared" si="2"/>
        <v>#N/A</v>
      </c>
      <c r="K35" s="51">
        <v>32</v>
      </c>
      <c r="L35">
        <v>0</v>
      </c>
      <c r="M35" s="63" t="e">
        <f t="shared" si="3"/>
        <v>#N/A</v>
      </c>
      <c r="P35"/>
    </row>
    <row r="36" spans="2:16" x14ac:dyDescent="0.2">
      <c r="B36" s="15">
        <v>33</v>
      </c>
      <c r="C36">
        <v>0</v>
      </c>
      <c r="D36" s="14" t="e">
        <f t="shared" si="0"/>
        <v>#N/A</v>
      </c>
      <c r="E36" s="15">
        <v>33</v>
      </c>
      <c r="F36">
        <v>0</v>
      </c>
      <c r="G36" s="14" t="e">
        <f t="shared" si="1"/>
        <v>#N/A</v>
      </c>
      <c r="H36" s="51">
        <v>33</v>
      </c>
      <c r="I36">
        <v>0</v>
      </c>
      <c r="J36" s="62" t="e">
        <f t="shared" si="2"/>
        <v>#N/A</v>
      </c>
      <c r="K36" s="51">
        <v>33</v>
      </c>
      <c r="L36">
        <v>0</v>
      </c>
      <c r="M36" s="63" t="e">
        <f t="shared" si="3"/>
        <v>#N/A</v>
      </c>
      <c r="P36"/>
    </row>
    <row r="37" spans="2:16" x14ac:dyDescent="0.2">
      <c r="B37" s="15">
        <v>34</v>
      </c>
      <c r="C37">
        <v>0</v>
      </c>
      <c r="D37" s="14" t="e">
        <f t="shared" si="0"/>
        <v>#N/A</v>
      </c>
      <c r="E37" s="15">
        <v>34</v>
      </c>
      <c r="F37">
        <v>0</v>
      </c>
      <c r="G37" s="14" t="e">
        <f t="shared" si="1"/>
        <v>#N/A</v>
      </c>
      <c r="H37" s="51">
        <v>34</v>
      </c>
      <c r="I37">
        <v>0</v>
      </c>
      <c r="J37" s="62" t="e">
        <f t="shared" si="2"/>
        <v>#N/A</v>
      </c>
      <c r="K37" s="51">
        <v>34</v>
      </c>
      <c r="L37">
        <v>0</v>
      </c>
      <c r="M37" s="63" t="e">
        <f t="shared" si="3"/>
        <v>#N/A</v>
      </c>
      <c r="P37"/>
    </row>
    <row r="38" spans="2:16" x14ac:dyDescent="0.2">
      <c r="B38" s="15">
        <v>35</v>
      </c>
      <c r="C38">
        <v>0</v>
      </c>
      <c r="D38" s="14" t="e">
        <f t="shared" si="0"/>
        <v>#N/A</v>
      </c>
      <c r="E38" s="15">
        <v>35</v>
      </c>
      <c r="F38">
        <v>0</v>
      </c>
      <c r="G38" s="14" t="e">
        <f t="shared" si="1"/>
        <v>#N/A</v>
      </c>
      <c r="H38" s="51">
        <v>35</v>
      </c>
      <c r="I38">
        <v>0</v>
      </c>
      <c r="J38" s="62" t="e">
        <f t="shared" si="2"/>
        <v>#N/A</v>
      </c>
      <c r="K38" s="51">
        <v>35</v>
      </c>
      <c r="L38">
        <v>0</v>
      </c>
      <c r="M38" s="63" t="e">
        <f t="shared" si="3"/>
        <v>#N/A</v>
      </c>
      <c r="P38"/>
    </row>
    <row r="39" spans="2:16" x14ac:dyDescent="0.2">
      <c r="B39" s="15">
        <v>36</v>
      </c>
      <c r="C39">
        <v>0</v>
      </c>
      <c r="D39" s="14" t="e">
        <f t="shared" si="0"/>
        <v>#N/A</v>
      </c>
      <c r="E39" s="15">
        <v>36</v>
      </c>
      <c r="F39">
        <v>0</v>
      </c>
      <c r="G39" s="14" t="e">
        <f t="shared" si="1"/>
        <v>#N/A</v>
      </c>
      <c r="H39" s="51">
        <v>36</v>
      </c>
      <c r="I39">
        <v>0</v>
      </c>
      <c r="J39" s="62" t="e">
        <f t="shared" si="2"/>
        <v>#N/A</v>
      </c>
      <c r="K39" s="51">
        <v>36</v>
      </c>
      <c r="L39">
        <v>0</v>
      </c>
      <c r="M39" s="63" t="e">
        <f t="shared" si="3"/>
        <v>#N/A</v>
      </c>
      <c r="P39"/>
    </row>
    <row r="40" spans="2:16" x14ac:dyDescent="0.2">
      <c r="B40" s="15">
        <v>37</v>
      </c>
      <c r="C40">
        <v>0</v>
      </c>
      <c r="D40" s="14" t="e">
        <f t="shared" si="0"/>
        <v>#N/A</v>
      </c>
      <c r="E40" s="15">
        <v>37</v>
      </c>
      <c r="F40">
        <v>0</v>
      </c>
      <c r="G40" s="14" t="e">
        <f t="shared" si="1"/>
        <v>#N/A</v>
      </c>
      <c r="H40" s="51">
        <v>37</v>
      </c>
      <c r="I40">
        <v>0</v>
      </c>
      <c r="J40" s="62" t="e">
        <f t="shared" si="2"/>
        <v>#N/A</v>
      </c>
      <c r="K40" s="51">
        <v>37</v>
      </c>
      <c r="L40">
        <v>0</v>
      </c>
      <c r="M40" s="63" t="e">
        <f t="shared" si="3"/>
        <v>#N/A</v>
      </c>
      <c r="P40"/>
    </row>
    <row r="41" spans="2:16" x14ac:dyDescent="0.2">
      <c r="B41" s="15">
        <v>38</v>
      </c>
      <c r="C41">
        <v>0</v>
      </c>
      <c r="D41" s="14" t="e">
        <f t="shared" si="0"/>
        <v>#N/A</v>
      </c>
      <c r="E41" s="15">
        <v>38</v>
      </c>
      <c r="F41">
        <v>0</v>
      </c>
      <c r="G41" s="14" t="e">
        <f t="shared" si="1"/>
        <v>#N/A</v>
      </c>
      <c r="H41" s="51">
        <v>38</v>
      </c>
      <c r="I41">
        <v>0</v>
      </c>
      <c r="J41" s="62" t="e">
        <f t="shared" si="2"/>
        <v>#N/A</v>
      </c>
      <c r="K41" s="51">
        <v>38</v>
      </c>
      <c r="L41">
        <v>0</v>
      </c>
      <c r="M41" s="63" t="e">
        <f t="shared" si="3"/>
        <v>#N/A</v>
      </c>
      <c r="P41"/>
    </row>
    <row r="42" spans="2:16" x14ac:dyDescent="0.2">
      <c r="B42" s="15">
        <v>39</v>
      </c>
      <c r="C42">
        <v>0</v>
      </c>
      <c r="D42" s="14" t="e">
        <f t="shared" si="0"/>
        <v>#N/A</v>
      </c>
      <c r="E42" s="15">
        <v>39</v>
      </c>
      <c r="F42">
        <v>0</v>
      </c>
      <c r="G42" s="14" t="e">
        <f t="shared" si="1"/>
        <v>#N/A</v>
      </c>
      <c r="H42" s="51">
        <v>39</v>
      </c>
      <c r="I42">
        <v>0</v>
      </c>
      <c r="J42" s="62" t="e">
        <f t="shared" si="2"/>
        <v>#N/A</v>
      </c>
      <c r="K42" s="51">
        <v>39</v>
      </c>
      <c r="L42">
        <v>0</v>
      </c>
      <c r="M42" s="63" t="e">
        <f t="shared" si="3"/>
        <v>#N/A</v>
      </c>
      <c r="P42"/>
    </row>
    <row r="43" spans="2:16" x14ac:dyDescent="0.2">
      <c r="B43" s="15">
        <v>40</v>
      </c>
      <c r="C43">
        <v>0</v>
      </c>
      <c r="D43" s="14" t="e">
        <f t="shared" si="0"/>
        <v>#N/A</v>
      </c>
      <c r="E43" s="15">
        <v>40</v>
      </c>
      <c r="F43">
        <v>0</v>
      </c>
      <c r="G43" s="14" t="e">
        <f t="shared" si="1"/>
        <v>#N/A</v>
      </c>
      <c r="H43" s="51">
        <v>40</v>
      </c>
      <c r="I43">
        <v>0</v>
      </c>
      <c r="J43" s="62" t="e">
        <f t="shared" si="2"/>
        <v>#N/A</v>
      </c>
      <c r="K43" s="57">
        <v>40</v>
      </c>
      <c r="L43" s="58">
        <v>0</v>
      </c>
      <c r="M43" s="64" t="e">
        <f t="shared" si="3"/>
        <v>#N/A</v>
      </c>
      <c r="P43"/>
    </row>
    <row r="44" spans="2:16" x14ac:dyDescent="0.2">
      <c r="B44" s="73" t="s">
        <v>1745</v>
      </c>
      <c r="C44" s="82"/>
      <c r="D44" s="83"/>
      <c r="E44" s="84" t="s">
        <v>1746</v>
      </c>
      <c r="F44" s="82"/>
      <c r="G44" s="83"/>
      <c r="H44" s="84" t="s">
        <v>1747</v>
      </c>
      <c r="I44" s="82"/>
      <c r="J44" s="85"/>
      <c r="P44"/>
    </row>
    <row r="45" spans="2:16" x14ac:dyDescent="0.2">
      <c r="B45" s="51">
        <v>1</v>
      </c>
      <c r="C45" t="str" cm="1">
        <f t="array" ref="C45:C84">INDEX(_xlfn._xlws.SORT(W3:Z115,{4;1},{-1;1}),_xlfn.SEQUENCE(40),1)</f>
        <v>Fabula ir partneriai, UAB</v>
      </c>
      <c r="D45" s="14">
        <f t="shared" ref="D45:D65" si="4">VLOOKUP(C45,W:Z,4,0)</f>
        <v>1828464</v>
      </c>
      <c r="E45" s="15">
        <v>1</v>
      </c>
      <c r="F45" t="str" cm="1">
        <f t="array" ref="F45:F84">INDEX(_xlfn._xlws.SORT(W3:AB115,{6;1},{-1;1}),_xlfn.SEQUENCE(40),1)</f>
        <v>Fabula ir partneriai, UAB</v>
      </c>
      <c r="G45" s="14">
        <f t="shared" ref="G45:G84" si="5">VLOOKUP(F45,W:AB,6,0)</f>
        <v>44</v>
      </c>
      <c r="H45" s="15">
        <v>1</v>
      </c>
      <c r="I45" t="str" cm="1">
        <f t="array" ref="I45:I84">INDEX(_xlfn._xlws.SORT(W3:AA115,{5;1},{-1;1}),_xlfn.SEQUENCE(40),1)</f>
        <v>Publicum, UAB</v>
      </c>
      <c r="J45" s="63">
        <f t="shared" ref="J45:J84" si="6">VLOOKUP(I45,W:AA,5,0)</f>
        <v>4929</v>
      </c>
      <c r="P45"/>
    </row>
    <row r="46" spans="2:16" x14ac:dyDescent="0.2">
      <c r="B46" s="51">
        <v>2</v>
      </c>
      <c r="C46" t="str">
        <v>Publicum, UAB</v>
      </c>
      <c r="D46" s="14">
        <f t="shared" si="4"/>
        <v>1419552</v>
      </c>
      <c r="E46" s="15">
        <v>2</v>
      </c>
      <c r="F46" t="str">
        <v>Idea Prima, UAB</v>
      </c>
      <c r="G46" s="14">
        <f t="shared" si="5"/>
        <v>30</v>
      </c>
      <c r="H46" s="15">
        <v>2</v>
      </c>
      <c r="I46" t="str">
        <v>INK Agency, UAB</v>
      </c>
      <c r="J46" s="63">
        <f t="shared" si="6"/>
        <v>3590</v>
      </c>
      <c r="P46"/>
    </row>
    <row r="47" spans="2:16" x14ac:dyDescent="0.2">
      <c r="B47" s="51">
        <v>3</v>
      </c>
      <c r="C47" t="str">
        <v>Idea Prima, UAB</v>
      </c>
      <c r="D47" s="14">
        <f t="shared" si="4"/>
        <v>1214640</v>
      </c>
      <c r="E47" s="15">
        <v>3</v>
      </c>
      <c r="F47" t="str">
        <v>Integrity PR, UAB</v>
      </c>
      <c r="G47" s="14">
        <f t="shared" si="5"/>
        <v>25</v>
      </c>
      <c r="H47" s="15">
        <v>3</v>
      </c>
      <c r="I47" t="str">
        <v>Bosanova, UAB</v>
      </c>
      <c r="J47" s="63">
        <f t="shared" si="6"/>
        <v>3512</v>
      </c>
      <c r="P47"/>
    </row>
    <row r="48" spans="2:16" x14ac:dyDescent="0.2">
      <c r="B48" s="51">
        <v>4</v>
      </c>
      <c r="C48" t="str">
        <v>Integrity PR, UAB</v>
      </c>
      <c r="D48" s="14">
        <f t="shared" si="4"/>
        <v>975900</v>
      </c>
      <c r="E48" s="15">
        <v>4</v>
      </c>
      <c r="F48" t="str">
        <v>co:agency, UAB</v>
      </c>
      <c r="G48" s="14">
        <f t="shared" si="5"/>
        <v>24</v>
      </c>
      <c r="H48" s="15">
        <v>4</v>
      </c>
      <c r="I48" t="str">
        <v>Fabula ir partneriai, UAB</v>
      </c>
      <c r="J48" s="63">
        <f t="shared" si="6"/>
        <v>3463</v>
      </c>
      <c r="P48"/>
    </row>
    <row r="49" spans="2:16" x14ac:dyDescent="0.2">
      <c r="B49" s="51">
        <v>5</v>
      </c>
      <c r="C49" t="str">
        <v>INK Agency, UAB</v>
      </c>
      <c r="D49" s="14">
        <f t="shared" si="4"/>
        <v>818520</v>
      </c>
      <c r="E49" s="15">
        <v>5</v>
      </c>
      <c r="F49" t="str">
        <v>Publicum, UAB</v>
      </c>
      <c r="G49" s="14">
        <f t="shared" si="5"/>
        <v>24</v>
      </c>
      <c r="H49" s="15">
        <v>5</v>
      </c>
      <c r="I49" t="str">
        <v>Idea Prima, UAB</v>
      </c>
      <c r="J49" s="63">
        <f t="shared" si="6"/>
        <v>3374</v>
      </c>
      <c r="P49"/>
    </row>
    <row r="50" spans="2:16" x14ac:dyDescent="0.2">
      <c r="B50" s="51">
        <v>6</v>
      </c>
      <c r="C50" t="str">
        <v>co:agency, UAB</v>
      </c>
      <c r="D50" s="14">
        <f t="shared" si="4"/>
        <v>790560</v>
      </c>
      <c r="E50" s="15">
        <v>6</v>
      </c>
      <c r="F50" t="str">
        <v>Berta and, UAB</v>
      </c>
      <c r="G50" s="14">
        <f t="shared" si="5"/>
        <v>19</v>
      </c>
      <c r="H50" s="15">
        <v>6</v>
      </c>
      <c r="I50" t="str">
        <v>Integrity PR, UAB</v>
      </c>
      <c r="J50" s="63">
        <f t="shared" si="6"/>
        <v>3253</v>
      </c>
      <c r="P50"/>
    </row>
    <row r="51" spans="2:16" x14ac:dyDescent="0.2">
      <c r="B51" s="51">
        <v>7</v>
      </c>
      <c r="C51" t="str">
        <v>Berta and, UAB</v>
      </c>
      <c r="D51" s="14">
        <f t="shared" si="4"/>
        <v>658008</v>
      </c>
      <c r="E51" s="15">
        <v>7</v>
      </c>
      <c r="F51" t="str">
        <v>INK Agency, UAB</v>
      </c>
      <c r="G51" s="14">
        <f t="shared" si="5"/>
        <v>19</v>
      </c>
      <c r="H51" s="15">
        <v>7</v>
      </c>
      <c r="I51" t="str">
        <v>Headline, UAB</v>
      </c>
      <c r="J51" s="63">
        <f t="shared" si="6"/>
        <v>3176</v>
      </c>
      <c r="P51"/>
    </row>
    <row r="52" spans="2:16" x14ac:dyDescent="0.2">
      <c r="B52" s="51">
        <v>8</v>
      </c>
      <c r="C52" t="str">
        <v>Headline, UAB</v>
      </c>
      <c r="D52" s="14">
        <f t="shared" si="4"/>
        <v>571680</v>
      </c>
      <c r="E52" s="15">
        <v>8</v>
      </c>
      <c r="F52" t="str">
        <v>Headline, UAB</v>
      </c>
      <c r="G52" s="14">
        <f t="shared" si="5"/>
        <v>15</v>
      </c>
      <c r="H52" s="15">
        <v>8</v>
      </c>
      <c r="I52" t="str">
        <v>PR Service, UAB (PIAR)</v>
      </c>
      <c r="J52" s="63">
        <f t="shared" si="6"/>
        <v>2965</v>
      </c>
      <c r="P52"/>
    </row>
    <row r="53" spans="2:16" x14ac:dyDescent="0.2">
      <c r="B53" s="51">
        <v>9</v>
      </c>
      <c r="C53" t="str">
        <v>Bosanova, UAB</v>
      </c>
      <c r="D53" s="14">
        <f t="shared" si="4"/>
        <v>463584</v>
      </c>
      <c r="E53" s="15">
        <v>9</v>
      </c>
      <c r="F53" t="str">
        <v>Adverum, UAB</v>
      </c>
      <c r="G53" s="14">
        <f t="shared" si="5"/>
        <v>12</v>
      </c>
      <c r="H53" s="15">
        <v>9</v>
      </c>
      <c r="I53" t="str">
        <v>Particle PR, UAB</v>
      </c>
      <c r="J53" s="63">
        <f t="shared" si="6"/>
        <v>2938</v>
      </c>
      <c r="P53"/>
    </row>
    <row r="54" spans="2:16" x14ac:dyDescent="0.2">
      <c r="B54" s="51">
        <v>10</v>
      </c>
      <c r="C54" t="str">
        <v>Adverum, UAB</v>
      </c>
      <c r="D54" s="14">
        <f t="shared" si="4"/>
        <v>373968</v>
      </c>
      <c r="E54" s="15">
        <v>10</v>
      </c>
      <c r="F54" t="str">
        <v>Bosanova, UAB</v>
      </c>
      <c r="G54" s="14">
        <f t="shared" si="5"/>
        <v>11</v>
      </c>
      <c r="H54" s="15">
        <v>10</v>
      </c>
      <c r="I54" t="str">
        <v>Berta and, UAB</v>
      </c>
      <c r="J54" s="63">
        <f t="shared" si="6"/>
        <v>2886</v>
      </c>
      <c r="P54"/>
    </row>
    <row r="55" spans="2:16" x14ac:dyDescent="0.2">
      <c r="B55" s="51">
        <v>11</v>
      </c>
      <c r="C55" t="str">
        <v>PR Service, UAB (PIAR)</v>
      </c>
      <c r="D55" s="14">
        <f t="shared" si="4"/>
        <v>213480</v>
      </c>
      <c r="E55" s="15">
        <v>11</v>
      </c>
      <c r="F55" t="str">
        <v>Maniac, UAB</v>
      </c>
      <c r="G55" s="14">
        <f t="shared" si="5"/>
        <v>6</v>
      </c>
      <c r="H55" s="15">
        <v>11</v>
      </c>
      <c r="I55" t="str">
        <v>co:agency, UAB</v>
      </c>
      <c r="J55" s="63">
        <f t="shared" si="6"/>
        <v>2745</v>
      </c>
      <c r="P55"/>
    </row>
    <row r="56" spans="2:16" x14ac:dyDescent="0.2">
      <c r="B56" s="51">
        <v>12</v>
      </c>
      <c r="C56" t="str">
        <v>Particle PR, UAB</v>
      </c>
      <c r="D56" s="14">
        <f t="shared" si="4"/>
        <v>211536</v>
      </c>
      <c r="E56" s="15">
        <v>12</v>
      </c>
      <c r="F56" t="str">
        <v>Particle PR, UAB</v>
      </c>
      <c r="G56" s="14">
        <f t="shared" si="5"/>
        <v>6</v>
      </c>
      <c r="H56" s="15">
        <v>12</v>
      </c>
      <c r="I56" t="str">
        <v>Adverum, UAB</v>
      </c>
      <c r="J56" s="63">
        <f t="shared" si="6"/>
        <v>2597</v>
      </c>
      <c r="P56"/>
    </row>
    <row r="57" spans="2:16" x14ac:dyDescent="0.2">
      <c r="B57" s="51">
        <v>13</v>
      </c>
      <c r="C57" t="str">
        <v>Maniac, UAB</v>
      </c>
      <c r="D57" s="14">
        <f t="shared" si="4"/>
        <v>139320</v>
      </c>
      <c r="E57" s="15">
        <v>13</v>
      </c>
      <c r="F57" t="str">
        <v>PR Service, UAB (PIAR)</v>
      </c>
      <c r="G57" s="14">
        <f t="shared" si="5"/>
        <v>6</v>
      </c>
      <c r="H57" s="15">
        <v>13</v>
      </c>
      <c r="I57" t="str">
        <v>IC Baltic, UAB</v>
      </c>
      <c r="J57" s="63">
        <f t="shared" si="6"/>
        <v>2055</v>
      </c>
      <c r="P57"/>
    </row>
    <row r="58" spans="2:16" x14ac:dyDescent="0.2">
      <c r="B58" s="51">
        <v>14</v>
      </c>
      <c r="C58" t="str">
        <v>Panama Agency, MB</v>
      </c>
      <c r="D58" s="14">
        <f t="shared" si="4"/>
        <v>119700</v>
      </c>
      <c r="E58" s="15">
        <v>14</v>
      </c>
      <c r="F58" t="str">
        <v>Panama Agency, MB</v>
      </c>
      <c r="G58" s="14">
        <f t="shared" si="5"/>
        <v>5</v>
      </c>
      <c r="H58" s="15">
        <v>14</v>
      </c>
      <c r="I58" t="str">
        <v>Panama Agency, MB</v>
      </c>
      <c r="J58" s="63">
        <f t="shared" si="6"/>
        <v>1995</v>
      </c>
      <c r="P58"/>
    </row>
    <row r="59" spans="2:16" x14ac:dyDescent="0.2">
      <c r="B59" s="51">
        <v>15</v>
      </c>
      <c r="C59" t="str">
        <v>IC Baltic, UAB</v>
      </c>
      <c r="D59" s="14">
        <f t="shared" si="4"/>
        <v>73980</v>
      </c>
      <c r="E59" s="15">
        <v>15</v>
      </c>
      <c r="F59" t="str">
        <v>Visetas, UAB</v>
      </c>
      <c r="G59" s="14">
        <f t="shared" si="5"/>
        <v>5</v>
      </c>
      <c r="H59" s="15">
        <v>15</v>
      </c>
      <c r="I59" t="str">
        <v>Maniac, UAB</v>
      </c>
      <c r="J59" s="63">
        <f t="shared" si="6"/>
        <v>1935</v>
      </c>
      <c r="P59"/>
    </row>
    <row r="60" spans="2:16" x14ac:dyDescent="0.2">
      <c r="B60" s="51">
        <v>16</v>
      </c>
      <c r="C60" t="str">
        <v>LoveMedia, UAB</v>
      </c>
      <c r="D60" s="14">
        <f t="shared" si="4"/>
        <v>73488</v>
      </c>
      <c r="E60" s="15">
        <v>16</v>
      </c>
      <c r="F60" t="str">
        <v>LoveMedia, UAB</v>
      </c>
      <c r="G60" s="14">
        <f t="shared" si="5"/>
        <v>4</v>
      </c>
      <c r="H60" s="15">
        <v>16</v>
      </c>
      <c r="I60" t="str">
        <v>LoveMedia, UAB</v>
      </c>
      <c r="J60" s="63">
        <f t="shared" si="6"/>
        <v>1531</v>
      </c>
      <c r="P60"/>
    </row>
    <row r="61" spans="2:16" x14ac:dyDescent="0.2">
      <c r="B61" s="51">
        <v>17</v>
      </c>
      <c r="C61" t="str">
        <v>Visetas, UAB</v>
      </c>
      <c r="D61" s="62">
        <f t="shared" si="4"/>
        <v>6960</v>
      </c>
      <c r="E61" s="15">
        <v>17</v>
      </c>
      <c r="F61" t="str">
        <v>IC Baltic, UAB</v>
      </c>
      <c r="G61" s="14">
        <f t="shared" si="5"/>
        <v>3</v>
      </c>
      <c r="H61" s="15">
        <v>17</v>
      </c>
      <c r="I61" t="str">
        <v>Visetas, UAB</v>
      </c>
      <c r="J61" s="63">
        <f t="shared" si="6"/>
        <v>116</v>
      </c>
      <c r="P61"/>
    </row>
    <row r="62" spans="2:16" x14ac:dyDescent="0.2">
      <c r="B62" s="51">
        <v>18</v>
      </c>
      <c r="C62" t="str">
        <v>Efcom, UAB</v>
      </c>
      <c r="D62" s="62">
        <f t="shared" si="4"/>
        <v>0</v>
      </c>
      <c r="E62" s="15">
        <v>18</v>
      </c>
      <c r="F62" t="str">
        <v>Komunikacija ir konsultantai, UAB</v>
      </c>
      <c r="G62" s="14">
        <f t="shared" si="5"/>
        <v>2</v>
      </c>
      <c r="H62" s="15">
        <v>18</v>
      </c>
      <c r="I62" t="str">
        <v>Efcom, UAB</v>
      </c>
      <c r="J62" s="63">
        <f t="shared" si="6"/>
        <v>0</v>
      </c>
      <c r="P62"/>
    </row>
    <row r="63" spans="2:16" x14ac:dyDescent="0.2">
      <c r="B63" s="51">
        <v>19</v>
      </c>
      <c r="C63" t="str">
        <v>Komunikacija ir konsultantai, UAB</v>
      </c>
      <c r="D63" s="62">
        <f t="shared" si="4"/>
        <v>0</v>
      </c>
      <c r="E63" s="15">
        <v>19</v>
      </c>
      <c r="F63" t="str">
        <v>Efcom, UAB</v>
      </c>
      <c r="G63" s="14">
        <f t="shared" si="5"/>
        <v>1</v>
      </c>
      <c r="H63" s="15">
        <v>19</v>
      </c>
      <c r="I63" t="str">
        <v>Komunikacija ir konsultantai, UAB</v>
      </c>
      <c r="J63" s="63">
        <f t="shared" si="6"/>
        <v>0</v>
      </c>
      <c r="P63"/>
    </row>
    <row r="64" spans="2:16" x14ac:dyDescent="0.2">
      <c r="B64" s="51">
        <v>20</v>
      </c>
      <c r="C64" t="str">
        <v>PR Ace Agency, MB</v>
      </c>
      <c r="D64" s="62">
        <f t="shared" si="4"/>
        <v>0</v>
      </c>
      <c r="E64" s="15">
        <v>20</v>
      </c>
      <c r="F64" t="str">
        <v>PR Ace Agency, MB</v>
      </c>
      <c r="G64" s="14">
        <f t="shared" si="5"/>
        <v>0</v>
      </c>
      <c r="H64" s="15">
        <v>20</v>
      </c>
      <c r="I64" t="str">
        <v>PR Ace Agency, MB</v>
      </c>
      <c r="J64" s="63">
        <f t="shared" si="6"/>
        <v>0</v>
      </c>
    </row>
    <row r="65" spans="2:31" s="12" customFormat="1" ht="16" x14ac:dyDescent="0.2">
      <c r="B65" s="51">
        <v>21</v>
      </c>
      <c r="C65" s="12">
        <v>0</v>
      </c>
      <c r="D65" s="62" t="e">
        <f t="shared" si="4"/>
        <v>#N/A</v>
      </c>
      <c r="E65" s="15">
        <v>21</v>
      </c>
      <c r="F65">
        <v>0</v>
      </c>
      <c r="G65" s="14" t="e">
        <f t="shared" si="5"/>
        <v>#N/A</v>
      </c>
      <c r="H65" s="15">
        <v>21</v>
      </c>
      <c r="I65">
        <v>0</v>
      </c>
      <c r="J65" s="63" t="e">
        <f t="shared" si="6"/>
        <v>#N/A</v>
      </c>
      <c r="W65"/>
      <c r="X65"/>
      <c r="Y65"/>
      <c r="Z65"/>
      <c r="AA65"/>
      <c r="AB65"/>
      <c r="AC65"/>
      <c r="AD65"/>
      <c r="AE65"/>
    </row>
    <row r="66" spans="2:31" x14ac:dyDescent="0.2">
      <c r="B66" s="51">
        <v>22</v>
      </c>
      <c r="C66">
        <v>0</v>
      </c>
      <c r="D66" s="62" t="e">
        <f t="shared" ref="D66:D84" si="7">VLOOKUP(C66,W:Z,4,0)</f>
        <v>#N/A</v>
      </c>
      <c r="E66" s="15">
        <v>22</v>
      </c>
      <c r="F66">
        <v>0</v>
      </c>
      <c r="G66" s="14" t="e">
        <f t="shared" si="5"/>
        <v>#N/A</v>
      </c>
      <c r="H66" s="15">
        <v>22</v>
      </c>
      <c r="I66">
        <v>0</v>
      </c>
      <c r="J66" s="63" t="e">
        <f t="shared" si="6"/>
        <v>#N/A</v>
      </c>
    </row>
    <row r="67" spans="2:31" x14ac:dyDescent="0.2">
      <c r="B67" s="51">
        <v>23</v>
      </c>
      <c r="C67">
        <v>0</v>
      </c>
      <c r="D67" s="62" t="e">
        <f t="shared" si="7"/>
        <v>#N/A</v>
      </c>
      <c r="E67" s="15">
        <v>23</v>
      </c>
      <c r="F67">
        <v>0</v>
      </c>
      <c r="G67" s="14" t="e">
        <f t="shared" si="5"/>
        <v>#N/A</v>
      </c>
      <c r="H67" s="15">
        <v>23</v>
      </c>
      <c r="I67">
        <v>0</v>
      </c>
      <c r="J67" s="63" t="e">
        <f t="shared" si="6"/>
        <v>#N/A</v>
      </c>
    </row>
    <row r="68" spans="2:31" x14ac:dyDescent="0.2">
      <c r="B68" s="51">
        <v>24</v>
      </c>
      <c r="C68">
        <v>0</v>
      </c>
      <c r="D68" s="62" t="e">
        <f t="shared" si="7"/>
        <v>#N/A</v>
      </c>
      <c r="E68" s="15">
        <v>24</v>
      </c>
      <c r="F68">
        <v>0</v>
      </c>
      <c r="G68" s="14" t="e">
        <f t="shared" si="5"/>
        <v>#N/A</v>
      </c>
      <c r="H68" s="15">
        <v>24</v>
      </c>
      <c r="I68">
        <v>0</v>
      </c>
      <c r="J68" s="63" t="e">
        <f t="shared" si="6"/>
        <v>#N/A</v>
      </c>
    </row>
    <row r="69" spans="2:31" x14ac:dyDescent="0.2">
      <c r="B69" s="51">
        <v>25</v>
      </c>
      <c r="C69">
        <v>0</v>
      </c>
      <c r="D69" s="62" t="e">
        <f t="shared" si="7"/>
        <v>#N/A</v>
      </c>
      <c r="E69" s="15">
        <v>25</v>
      </c>
      <c r="F69">
        <v>0</v>
      </c>
      <c r="G69" s="14" t="e">
        <f t="shared" si="5"/>
        <v>#N/A</v>
      </c>
      <c r="H69" s="15">
        <v>25</v>
      </c>
      <c r="I69">
        <v>0</v>
      </c>
      <c r="J69" s="63" t="e">
        <f t="shared" si="6"/>
        <v>#N/A</v>
      </c>
    </row>
    <row r="70" spans="2:31" x14ac:dyDescent="0.2">
      <c r="B70" s="51">
        <v>26</v>
      </c>
      <c r="C70">
        <v>0</v>
      </c>
      <c r="D70" s="62" t="e">
        <f t="shared" si="7"/>
        <v>#N/A</v>
      </c>
      <c r="E70" s="15">
        <v>26</v>
      </c>
      <c r="F70">
        <v>0</v>
      </c>
      <c r="G70" s="14" t="e">
        <f t="shared" si="5"/>
        <v>#N/A</v>
      </c>
      <c r="H70" s="15">
        <v>26</v>
      </c>
      <c r="I70">
        <v>0</v>
      </c>
      <c r="J70" s="63" t="e">
        <f t="shared" si="6"/>
        <v>#N/A</v>
      </c>
    </row>
    <row r="71" spans="2:31" x14ac:dyDescent="0.2">
      <c r="B71" s="51">
        <v>27</v>
      </c>
      <c r="C71">
        <v>0</v>
      </c>
      <c r="D71" s="62" t="e">
        <f t="shared" si="7"/>
        <v>#N/A</v>
      </c>
      <c r="E71" s="15">
        <v>27</v>
      </c>
      <c r="F71">
        <v>0</v>
      </c>
      <c r="G71" s="14" t="e">
        <f t="shared" si="5"/>
        <v>#N/A</v>
      </c>
      <c r="H71" s="15">
        <v>27</v>
      </c>
      <c r="I71">
        <v>0</v>
      </c>
      <c r="J71" s="63" t="e">
        <f t="shared" si="6"/>
        <v>#N/A</v>
      </c>
    </row>
    <row r="72" spans="2:31" x14ac:dyDescent="0.2">
      <c r="B72" s="51">
        <v>28</v>
      </c>
      <c r="C72">
        <v>0</v>
      </c>
      <c r="D72" s="62" t="e">
        <f t="shared" si="7"/>
        <v>#N/A</v>
      </c>
      <c r="E72" s="15">
        <v>28</v>
      </c>
      <c r="F72">
        <v>0</v>
      </c>
      <c r="G72" s="14" t="e">
        <f t="shared" si="5"/>
        <v>#N/A</v>
      </c>
      <c r="H72" s="15">
        <v>28</v>
      </c>
      <c r="I72">
        <v>0</v>
      </c>
      <c r="J72" s="63" t="e">
        <f t="shared" si="6"/>
        <v>#N/A</v>
      </c>
    </row>
    <row r="73" spans="2:31" x14ac:dyDescent="0.2">
      <c r="B73" s="51">
        <v>29</v>
      </c>
      <c r="C73">
        <v>0</v>
      </c>
      <c r="D73" s="62" t="e">
        <f t="shared" si="7"/>
        <v>#N/A</v>
      </c>
      <c r="E73" s="15">
        <v>29</v>
      </c>
      <c r="F73">
        <v>0</v>
      </c>
      <c r="G73" s="14" t="e">
        <f t="shared" si="5"/>
        <v>#N/A</v>
      </c>
      <c r="H73" s="15">
        <v>29</v>
      </c>
      <c r="I73">
        <v>0</v>
      </c>
      <c r="J73" s="63" t="e">
        <f t="shared" si="6"/>
        <v>#N/A</v>
      </c>
    </row>
    <row r="74" spans="2:31" x14ac:dyDescent="0.2">
      <c r="B74" s="51">
        <v>30</v>
      </c>
      <c r="C74">
        <v>0</v>
      </c>
      <c r="D74" s="62" t="e">
        <f t="shared" si="7"/>
        <v>#N/A</v>
      </c>
      <c r="E74" s="15">
        <v>30</v>
      </c>
      <c r="F74">
        <v>0</v>
      </c>
      <c r="G74" s="14" t="e">
        <f t="shared" si="5"/>
        <v>#N/A</v>
      </c>
      <c r="H74" s="15">
        <v>30</v>
      </c>
      <c r="I74">
        <v>0</v>
      </c>
      <c r="J74" s="63" t="e">
        <f t="shared" si="6"/>
        <v>#N/A</v>
      </c>
    </row>
    <row r="75" spans="2:31" x14ac:dyDescent="0.2">
      <c r="B75" s="51">
        <v>31</v>
      </c>
      <c r="C75">
        <v>0</v>
      </c>
      <c r="D75" s="62" t="e">
        <f t="shared" si="7"/>
        <v>#N/A</v>
      </c>
      <c r="E75" s="15">
        <v>31</v>
      </c>
      <c r="F75">
        <v>0</v>
      </c>
      <c r="G75" s="14" t="e">
        <f t="shared" si="5"/>
        <v>#N/A</v>
      </c>
      <c r="H75" s="15">
        <v>31</v>
      </c>
      <c r="I75">
        <v>0</v>
      </c>
      <c r="J75" s="63" t="e">
        <f t="shared" si="6"/>
        <v>#N/A</v>
      </c>
    </row>
    <row r="76" spans="2:31" x14ac:dyDescent="0.2">
      <c r="B76" s="51">
        <v>32</v>
      </c>
      <c r="C76">
        <v>0</v>
      </c>
      <c r="D76" s="62" t="e">
        <f t="shared" si="7"/>
        <v>#N/A</v>
      </c>
      <c r="E76" s="15">
        <v>32</v>
      </c>
      <c r="F76">
        <v>0</v>
      </c>
      <c r="G76" s="14" t="e">
        <f t="shared" si="5"/>
        <v>#N/A</v>
      </c>
      <c r="H76" s="15">
        <v>32</v>
      </c>
      <c r="I76">
        <v>0</v>
      </c>
      <c r="J76" s="63" t="e">
        <f t="shared" si="6"/>
        <v>#N/A</v>
      </c>
    </row>
    <row r="77" spans="2:31" x14ac:dyDescent="0.2">
      <c r="B77" s="51">
        <v>33</v>
      </c>
      <c r="C77">
        <v>0</v>
      </c>
      <c r="D77" s="62" t="e">
        <f t="shared" si="7"/>
        <v>#N/A</v>
      </c>
      <c r="E77" s="15">
        <v>33</v>
      </c>
      <c r="F77">
        <v>0</v>
      </c>
      <c r="G77" s="14" t="e">
        <f t="shared" si="5"/>
        <v>#N/A</v>
      </c>
      <c r="H77" s="15">
        <v>33</v>
      </c>
      <c r="I77">
        <v>0</v>
      </c>
      <c r="J77" s="63" t="e">
        <f t="shared" si="6"/>
        <v>#N/A</v>
      </c>
    </row>
    <row r="78" spans="2:31" x14ac:dyDescent="0.2">
      <c r="B78" s="51">
        <v>34</v>
      </c>
      <c r="C78">
        <v>0</v>
      </c>
      <c r="D78" s="62" t="e">
        <f t="shared" si="7"/>
        <v>#N/A</v>
      </c>
      <c r="E78" s="15">
        <v>34</v>
      </c>
      <c r="F78">
        <v>0</v>
      </c>
      <c r="G78" s="14" t="e">
        <f t="shared" si="5"/>
        <v>#N/A</v>
      </c>
      <c r="H78" s="15">
        <v>34</v>
      </c>
      <c r="I78">
        <v>0</v>
      </c>
      <c r="J78" s="63" t="e">
        <f t="shared" si="6"/>
        <v>#N/A</v>
      </c>
    </row>
    <row r="79" spans="2:31" x14ac:dyDescent="0.2">
      <c r="B79" s="51">
        <v>35</v>
      </c>
      <c r="C79">
        <v>0</v>
      </c>
      <c r="D79" s="62" t="e">
        <f t="shared" si="7"/>
        <v>#N/A</v>
      </c>
      <c r="E79" s="15">
        <v>35</v>
      </c>
      <c r="F79">
        <v>0</v>
      </c>
      <c r="G79" s="14" t="e">
        <f t="shared" si="5"/>
        <v>#N/A</v>
      </c>
      <c r="H79" s="15">
        <v>35</v>
      </c>
      <c r="I79">
        <v>0</v>
      </c>
      <c r="J79" s="63" t="e">
        <f t="shared" si="6"/>
        <v>#N/A</v>
      </c>
    </row>
    <row r="80" spans="2:31" x14ac:dyDescent="0.2">
      <c r="B80" s="51">
        <v>36</v>
      </c>
      <c r="C80">
        <v>0</v>
      </c>
      <c r="D80" s="62" t="e">
        <f t="shared" si="7"/>
        <v>#N/A</v>
      </c>
      <c r="E80" s="15">
        <v>36</v>
      </c>
      <c r="F80">
        <v>0</v>
      </c>
      <c r="G80" s="14" t="e">
        <f t="shared" si="5"/>
        <v>#N/A</v>
      </c>
      <c r="H80" s="15">
        <v>36</v>
      </c>
      <c r="I80">
        <v>0</v>
      </c>
      <c r="J80" s="63" t="e">
        <f t="shared" si="6"/>
        <v>#N/A</v>
      </c>
    </row>
    <row r="81" spans="2:10" x14ac:dyDescent="0.2">
      <c r="B81" s="51">
        <v>37</v>
      </c>
      <c r="C81">
        <v>0</v>
      </c>
      <c r="D81" s="62" t="e">
        <f t="shared" si="7"/>
        <v>#N/A</v>
      </c>
      <c r="E81" s="15">
        <v>37</v>
      </c>
      <c r="F81">
        <v>0</v>
      </c>
      <c r="G81" s="14" t="e">
        <f t="shared" si="5"/>
        <v>#N/A</v>
      </c>
      <c r="H81" s="15">
        <v>37</v>
      </c>
      <c r="I81">
        <v>0</v>
      </c>
      <c r="J81" s="63" t="e">
        <f t="shared" si="6"/>
        <v>#N/A</v>
      </c>
    </row>
    <row r="82" spans="2:10" x14ac:dyDescent="0.2">
      <c r="B82" s="51">
        <v>38</v>
      </c>
      <c r="C82">
        <v>0</v>
      </c>
      <c r="D82" s="62" t="e">
        <f t="shared" si="7"/>
        <v>#N/A</v>
      </c>
      <c r="E82" s="15">
        <v>38</v>
      </c>
      <c r="F82">
        <v>0</v>
      </c>
      <c r="G82" s="14" t="e">
        <f t="shared" si="5"/>
        <v>#N/A</v>
      </c>
      <c r="H82" s="15">
        <v>38</v>
      </c>
      <c r="I82">
        <v>0</v>
      </c>
      <c r="J82" s="63" t="e">
        <f t="shared" si="6"/>
        <v>#N/A</v>
      </c>
    </row>
    <row r="83" spans="2:10" x14ac:dyDescent="0.2">
      <c r="B83" s="51">
        <v>39</v>
      </c>
      <c r="C83">
        <v>0</v>
      </c>
      <c r="D83" s="62" t="e">
        <f t="shared" si="7"/>
        <v>#N/A</v>
      </c>
      <c r="E83" s="15">
        <v>39</v>
      </c>
      <c r="F83">
        <v>0</v>
      </c>
      <c r="G83" s="14" t="e">
        <f t="shared" si="5"/>
        <v>#N/A</v>
      </c>
      <c r="H83" s="15">
        <v>39</v>
      </c>
      <c r="I83">
        <v>0</v>
      </c>
      <c r="J83" s="63" t="e">
        <f t="shared" si="6"/>
        <v>#N/A</v>
      </c>
    </row>
    <row r="84" spans="2:10" x14ac:dyDescent="0.2">
      <c r="B84" s="57">
        <v>40</v>
      </c>
      <c r="C84" s="58">
        <v>0</v>
      </c>
      <c r="D84" s="65" t="e">
        <f t="shared" si="7"/>
        <v>#N/A</v>
      </c>
      <c r="E84" s="86">
        <v>40</v>
      </c>
      <c r="F84" s="58">
        <v>0</v>
      </c>
      <c r="G84" s="87" t="e">
        <f t="shared" si="5"/>
        <v>#N/A</v>
      </c>
      <c r="H84" s="86">
        <v>40</v>
      </c>
      <c r="I84" s="58">
        <v>0</v>
      </c>
      <c r="J84" s="64" t="e">
        <f t="shared" si="6"/>
        <v>#N/A</v>
      </c>
    </row>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sheetData>
  <dataConsolid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235C0-B902-994A-9F88-6F71D6217EDE}">
  <sheetPr>
    <tabColor theme="2" tint="-0.499984740745262"/>
  </sheetPr>
  <dimension ref="B2:BS124"/>
  <sheetViews>
    <sheetView zoomScale="91" workbookViewId="0">
      <selection activeCell="Q3" sqref="Q3"/>
    </sheetView>
  </sheetViews>
  <sheetFormatPr baseColWidth="10" defaultColWidth="11.5" defaultRowHeight="15" x14ac:dyDescent="0.2"/>
  <cols>
    <col min="2" max="2" width="5.6640625" customWidth="1"/>
    <col min="3" max="3" width="26.83203125" customWidth="1"/>
    <col min="4" max="8" width="8.1640625" customWidth="1"/>
    <col min="9" max="9" width="7.1640625" customWidth="1"/>
    <col min="10" max="10" width="30.6640625" customWidth="1"/>
    <col min="11" max="16" width="9.33203125" customWidth="1"/>
    <col min="17" max="17" width="36.33203125" customWidth="1"/>
    <col min="18" max="22" width="9.33203125" customWidth="1"/>
    <col min="32" max="32" width="30.1640625" customWidth="1"/>
    <col min="34" max="34" width="35.5" bestFit="1" customWidth="1"/>
    <col min="35" max="35" width="21.5" bestFit="1" customWidth="1"/>
    <col min="36" max="36" width="25.5" bestFit="1" customWidth="1"/>
    <col min="37" max="37" width="26.6640625" bestFit="1" customWidth="1"/>
    <col min="38" max="38" width="26.33203125" bestFit="1" customWidth="1"/>
    <col min="39" max="39" width="27.5" bestFit="1" customWidth="1"/>
    <col min="40" max="40" width="37.33203125" bestFit="1" customWidth="1"/>
    <col min="41" max="41" width="21.83203125" bestFit="1" customWidth="1"/>
    <col min="42" max="42" width="25.5" bestFit="1" customWidth="1"/>
    <col min="43" max="43" width="26.6640625" bestFit="1" customWidth="1"/>
    <col min="44" max="44" width="26.33203125" bestFit="1" customWidth="1"/>
    <col min="45" max="45" width="27.5" bestFit="1" customWidth="1"/>
    <col min="46" max="46" width="37.33203125" bestFit="1" customWidth="1"/>
    <col min="47" max="47" width="21.83203125" bestFit="1" customWidth="1"/>
    <col min="48" max="48" width="25.5" bestFit="1" customWidth="1"/>
    <col min="49" max="49" width="26.6640625" bestFit="1" customWidth="1"/>
    <col min="50" max="50" width="26.33203125" bestFit="1" customWidth="1"/>
    <col min="51" max="51" width="27.5" bestFit="1" customWidth="1"/>
    <col min="52" max="52" width="37.33203125" bestFit="1" customWidth="1"/>
    <col min="53" max="53" width="21.83203125" bestFit="1" customWidth="1"/>
    <col min="54" max="54" width="25.5" bestFit="1" customWidth="1"/>
    <col min="55" max="55" width="26.6640625" bestFit="1" customWidth="1"/>
    <col min="56" max="56" width="26.33203125" bestFit="1" customWidth="1"/>
    <col min="57" max="57" width="27.5" bestFit="1" customWidth="1"/>
    <col min="58" max="58" width="37.33203125" bestFit="1" customWidth="1"/>
    <col min="59" max="59" width="21.83203125" bestFit="1" customWidth="1"/>
    <col min="60" max="60" width="25.5" bestFit="1" customWidth="1"/>
    <col min="61" max="61" width="26.6640625" bestFit="1" customWidth="1"/>
    <col min="62" max="62" width="26.33203125" bestFit="1" customWidth="1"/>
    <col min="63" max="63" width="27.5" bestFit="1" customWidth="1"/>
    <col min="64" max="64" width="37.33203125" bestFit="1" customWidth="1"/>
    <col min="65" max="65" width="21.83203125" bestFit="1" customWidth="1"/>
    <col min="66" max="66" width="25.5" bestFit="1" customWidth="1"/>
    <col min="67" max="67" width="26.6640625" bestFit="1" customWidth="1"/>
    <col min="68" max="68" width="26.33203125" bestFit="1" customWidth="1"/>
    <col min="69" max="69" width="27.5" bestFit="1" customWidth="1"/>
    <col min="70" max="70" width="37.33203125" bestFit="1" customWidth="1"/>
    <col min="71" max="71" width="21.83203125" bestFit="1" customWidth="1"/>
  </cols>
  <sheetData>
    <row r="2" spans="2:71" x14ac:dyDescent="0.2">
      <c r="B2" s="73" t="s">
        <v>1748</v>
      </c>
      <c r="C2" s="74"/>
      <c r="D2" s="74">
        <v>2024</v>
      </c>
      <c r="E2" s="74">
        <v>2023</v>
      </c>
      <c r="F2" s="74">
        <v>2022</v>
      </c>
      <c r="G2" s="74">
        <v>2021</v>
      </c>
      <c r="H2" s="75">
        <v>2020</v>
      </c>
      <c r="I2" s="76" t="s">
        <v>1749</v>
      </c>
      <c r="J2" s="76"/>
      <c r="K2" s="76">
        <v>2024</v>
      </c>
      <c r="L2" s="76">
        <v>2023</v>
      </c>
      <c r="M2" s="76">
        <v>2022</v>
      </c>
      <c r="N2" s="76">
        <v>2021</v>
      </c>
      <c r="O2" s="77">
        <v>2020</v>
      </c>
      <c r="P2" s="76" t="s">
        <v>1750</v>
      </c>
      <c r="Q2" s="76"/>
      <c r="R2" s="76">
        <v>2024</v>
      </c>
      <c r="S2" s="76">
        <v>2023</v>
      </c>
      <c r="T2" s="76">
        <v>2022</v>
      </c>
      <c r="U2" s="76">
        <v>2021</v>
      </c>
      <c r="V2" s="78">
        <v>2020</v>
      </c>
      <c r="AH2">
        <v>1</v>
      </c>
      <c r="AI2">
        <v>2</v>
      </c>
      <c r="AJ2">
        <v>3</v>
      </c>
      <c r="AK2">
        <v>4</v>
      </c>
      <c r="AL2">
        <v>5</v>
      </c>
      <c r="AM2">
        <v>6</v>
      </c>
      <c r="AN2">
        <v>7</v>
      </c>
      <c r="AO2">
        <v>8</v>
      </c>
      <c r="AP2">
        <v>9</v>
      </c>
      <c r="AQ2">
        <v>10</v>
      </c>
      <c r="AR2">
        <v>11</v>
      </c>
      <c r="AS2">
        <v>12</v>
      </c>
      <c r="AT2">
        <v>13</v>
      </c>
      <c r="AU2">
        <v>14</v>
      </c>
      <c r="AV2">
        <v>15</v>
      </c>
      <c r="AW2">
        <v>16</v>
      </c>
      <c r="AX2">
        <v>17</v>
      </c>
      <c r="AY2">
        <v>18</v>
      </c>
      <c r="AZ2">
        <v>19</v>
      </c>
      <c r="BA2">
        <v>20</v>
      </c>
      <c r="BB2">
        <v>21</v>
      </c>
      <c r="BC2">
        <v>22</v>
      </c>
      <c r="BD2">
        <v>23</v>
      </c>
      <c r="BE2">
        <v>24</v>
      </c>
      <c r="BF2">
        <v>25</v>
      </c>
      <c r="BG2">
        <v>26</v>
      </c>
      <c r="BH2">
        <v>27</v>
      </c>
      <c r="BI2">
        <v>28</v>
      </c>
      <c r="BJ2">
        <v>29</v>
      </c>
      <c r="BK2">
        <v>30</v>
      </c>
      <c r="BL2">
        <v>31</v>
      </c>
      <c r="BM2">
        <v>32</v>
      </c>
      <c r="BN2">
        <v>33</v>
      </c>
      <c r="BO2">
        <v>34</v>
      </c>
      <c r="BP2">
        <v>35</v>
      </c>
      <c r="BQ2">
        <v>36</v>
      </c>
      <c r="BR2">
        <v>37</v>
      </c>
      <c r="BS2">
        <v>38</v>
      </c>
    </row>
    <row r="3" spans="2:71" x14ac:dyDescent="0.2">
      <c r="B3" s="51">
        <v>1</v>
      </c>
      <c r="C3" t="str" cm="1">
        <f t="array" ref="C3:C42">INDEX(_xlfn._xlws.SORT(AH6:AL118,{3;1},{-1;1}),_xlfn.SEQUENCE(40),1)</f>
        <v>Wrks, UAB</v>
      </c>
      <c r="D3" s="31">
        <f t="shared" ref="D3:D42" si="0">VLOOKUP(C3,AH:BS,3,0)</f>
        <v>7.6169556500144289</v>
      </c>
      <c r="E3" s="33">
        <f t="shared" ref="E3:E42" si="1">VLOOKUP(C3,AH:BS,9,0)</f>
        <v>15.75298479603611</v>
      </c>
      <c r="F3" s="33">
        <f t="shared" ref="F3:F42" si="2">VLOOKUP(C3,AH:BG,15,0)</f>
        <v>13.989576204747408</v>
      </c>
      <c r="G3" s="33">
        <f t="shared" ref="G3:G42" si="3">VLOOKUP(C3,AH:BS,21,0)</f>
        <v>21.942870114880051</v>
      </c>
      <c r="H3" s="34">
        <f t="shared" ref="H3:H42" si="4">VLOOKUP(C3,AH:BS,27,0)</f>
        <v>0</v>
      </c>
      <c r="I3" s="68">
        <v>1</v>
      </c>
      <c r="J3" s="53" t="str" cm="1">
        <f t="array" ref="J3:J42">INDEX(_xlfn._xlws.SORT(AH6:AN118,{7;1},{-1;1}),_xlfn.SEQUENCE(40),1)</f>
        <v>Dansu, UAB</v>
      </c>
      <c r="K3" s="67">
        <f t="shared" ref="K3:K42" si="5">VLOOKUP(J3,AH:BS,7,0)</f>
        <v>4.6359174086212178</v>
      </c>
      <c r="L3" s="67">
        <f t="shared" ref="L3:L42" si="6">VLOOKUP(J3,AH:BS,13,0)</f>
        <v>-0.66087174452806163</v>
      </c>
      <c r="M3" s="67">
        <f t="shared" ref="M3:M42" si="7">VLOOKUP(J3,AH:BG,19,0)</f>
        <v>-0.1641644694753347</v>
      </c>
      <c r="N3" s="67">
        <f t="shared" ref="N3:N42" si="8">VLOOKUP(J3,AH:BS,25,0)</f>
        <v>-0.17554752831994402</v>
      </c>
      <c r="O3" s="69">
        <f t="shared" ref="O3:O42" si="9">VLOOKUP(J3,AH:BS,31,0)</f>
        <v>8.2930692901811875E-2</v>
      </c>
      <c r="P3" s="52">
        <v>1</v>
      </c>
      <c r="Q3" s="53" t="str" cm="1">
        <f t="array" ref="Q3:Q42">INDEX(_xlfn._xlws.SORT(AH6:AO118,{8;1},{-1;1}),_xlfn.SEQUENCE(40),1)</f>
        <v>100 ačiū, MB</v>
      </c>
      <c r="R3" s="54">
        <f t="shared" ref="R3:R42" si="10">VLOOKUP(Q3,AH:BS,8,0)</f>
        <v>100.02205882352941</v>
      </c>
      <c r="S3" s="54">
        <f t="shared" ref="S3:S42" si="11">VLOOKUP(Q3,AH:BS,14,0)</f>
        <v>-0.99663107830265796</v>
      </c>
      <c r="T3" s="54">
        <f t="shared" ref="T3:T42" si="12">VLOOKUP(Q3,AH:BG,20,0)</f>
        <v>2.4566939247334845</v>
      </c>
      <c r="U3" s="54">
        <f t="shared" ref="U3:U42" si="13">VLOOKUP(Q3,AH:BS,26,0)</f>
        <v>0.91450819672131156</v>
      </c>
      <c r="V3" s="55">
        <f t="shared" ref="V3:V42" si="14">VLOOKUP(Q3,AH:BS,32,0)</f>
        <v>0</v>
      </c>
      <c r="AJ3" s="28" t="s">
        <v>1701</v>
      </c>
      <c r="AK3" s="28" t="s">
        <v>1751</v>
      </c>
    </row>
    <row r="4" spans="2:71" x14ac:dyDescent="0.2">
      <c r="B4" s="51">
        <v>2</v>
      </c>
      <c r="C4" t="str">
        <v>Dansu, UAB</v>
      </c>
      <c r="D4" s="31">
        <f t="shared" si="0"/>
        <v>5.33</v>
      </c>
      <c r="E4" s="33">
        <f t="shared" si="1"/>
        <v>-0.69</v>
      </c>
      <c r="F4" s="33">
        <f t="shared" si="2"/>
        <v>-0.18</v>
      </c>
      <c r="G4" s="33">
        <f t="shared" si="3"/>
        <v>-0.17</v>
      </c>
      <c r="H4" s="34">
        <f t="shared" si="4"/>
        <v>0.02</v>
      </c>
      <c r="I4" s="15">
        <v>2</v>
      </c>
      <c r="J4" t="str">
        <v>LoveMedia, UAB</v>
      </c>
      <c r="K4" s="30">
        <f t="shared" si="5"/>
        <v>0.84938307462269114</v>
      </c>
      <c r="L4" s="30">
        <f t="shared" si="6"/>
        <v>-0.38147437198300671</v>
      </c>
      <c r="M4" s="30">
        <f t="shared" si="7"/>
        <v>4.4959952165086081E-2</v>
      </c>
      <c r="N4" s="30">
        <f t="shared" si="8"/>
        <v>0</v>
      </c>
      <c r="O4" s="70">
        <f t="shared" si="9"/>
        <v>0</v>
      </c>
      <c r="P4" s="51">
        <v>2</v>
      </c>
      <c r="Q4" t="str">
        <v>Kūrybiniai komunikacijos sprendimai, UAB</v>
      </c>
      <c r="R4" s="33">
        <f t="shared" si="10"/>
        <v>35.450000000000003</v>
      </c>
      <c r="S4" s="33">
        <f t="shared" si="11"/>
        <v>-0.97</v>
      </c>
      <c r="T4" s="33">
        <f t="shared" si="12"/>
        <v>-0.76</v>
      </c>
      <c r="U4" s="33">
        <f t="shared" si="13"/>
        <v>0.32</v>
      </c>
      <c r="V4" s="56">
        <f t="shared" si="14"/>
        <v>-0.23</v>
      </c>
      <c r="AJ4">
        <v>2024</v>
      </c>
      <c r="AP4">
        <v>2023</v>
      </c>
      <c r="AV4">
        <v>2022</v>
      </c>
      <c r="BB4">
        <v>2021</v>
      </c>
      <c r="BH4">
        <v>2020</v>
      </c>
      <c r="BN4">
        <v>2019</v>
      </c>
    </row>
    <row r="5" spans="2:71" x14ac:dyDescent="0.2">
      <c r="B5" s="51">
        <v>3</v>
      </c>
      <c r="C5" t="str">
        <v>Particle PR, UAB</v>
      </c>
      <c r="D5" s="31">
        <f t="shared" si="0"/>
        <v>2.5522299854875148</v>
      </c>
      <c r="E5" s="33">
        <f t="shared" si="1"/>
        <v>0</v>
      </c>
      <c r="F5" s="33">
        <f t="shared" si="2"/>
        <v>0</v>
      </c>
      <c r="G5" s="33">
        <f t="shared" si="3"/>
        <v>0</v>
      </c>
      <c r="H5" s="34">
        <f t="shared" si="4"/>
        <v>0</v>
      </c>
      <c r="I5" s="15">
        <v>3</v>
      </c>
      <c r="J5" t="str">
        <v>Bosanova, UAB</v>
      </c>
      <c r="K5" s="30">
        <f t="shared" si="5"/>
        <v>0.8029635591583939</v>
      </c>
      <c r="L5" s="30">
        <f t="shared" si="6"/>
        <v>-0.1088046652856941</v>
      </c>
      <c r="M5" s="30">
        <f t="shared" si="7"/>
        <v>1.162824753814955</v>
      </c>
      <c r="N5" s="30">
        <f t="shared" si="8"/>
        <v>0.4363505553307252</v>
      </c>
      <c r="O5" s="70">
        <f t="shared" si="9"/>
        <v>0.40709625713562603</v>
      </c>
      <c r="P5" s="51">
        <v>3</v>
      </c>
      <c r="Q5" t="str">
        <v>We Are Marketing, UAB</v>
      </c>
      <c r="R5" s="33">
        <f t="shared" si="10"/>
        <v>11.332446218673759</v>
      </c>
      <c r="S5" s="33">
        <f t="shared" si="11"/>
        <v>-1.2897349397590361</v>
      </c>
      <c r="T5" s="33">
        <f t="shared" si="12"/>
        <v>-1.7035647279549719</v>
      </c>
      <c r="U5" s="33">
        <f t="shared" si="13"/>
        <v>-0.52168365967844821</v>
      </c>
      <c r="V5" s="56">
        <f t="shared" si="14"/>
        <v>-27.3126600284495</v>
      </c>
      <c r="AF5" s="35" t="s">
        <v>1752</v>
      </c>
      <c r="AH5" s="28" t="s">
        <v>1700</v>
      </c>
      <c r="AI5" s="28" t="s">
        <v>1384</v>
      </c>
      <c r="AJ5" t="s">
        <v>1753</v>
      </c>
      <c r="AK5" t="s">
        <v>1754</v>
      </c>
      <c r="AL5" t="s">
        <v>1755</v>
      </c>
      <c r="AM5" t="s">
        <v>1756</v>
      </c>
      <c r="AN5" t="s">
        <v>1757</v>
      </c>
      <c r="AO5" t="s">
        <v>1758</v>
      </c>
      <c r="AP5" t="s">
        <v>1753</v>
      </c>
      <c r="AQ5" t="s">
        <v>1754</v>
      </c>
      <c r="AR5" t="s">
        <v>1755</v>
      </c>
      <c r="AS5" t="s">
        <v>1756</v>
      </c>
      <c r="AT5" t="s">
        <v>1757</v>
      </c>
      <c r="AU5" t="s">
        <v>1758</v>
      </c>
      <c r="AV5" t="s">
        <v>1753</v>
      </c>
      <c r="AW5" t="s">
        <v>1754</v>
      </c>
      <c r="AX5" t="s">
        <v>1755</v>
      </c>
      <c r="AY5" t="s">
        <v>1756</v>
      </c>
      <c r="AZ5" t="s">
        <v>1757</v>
      </c>
      <c r="BA5" t="s">
        <v>1758</v>
      </c>
      <c r="BB5" t="s">
        <v>1753</v>
      </c>
      <c r="BC5" t="s">
        <v>1754</v>
      </c>
      <c r="BD5" t="s">
        <v>1755</v>
      </c>
      <c r="BE5" t="s">
        <v>1756</v>
      </c>
      <c r="BF5" t="s">
        <v>1757</v>
      </c>
      <c r="BG5" t="s">
        <v>1758</v>
      </c>
      <c r="BH5" t="s">
        <v>1753</v>
      </c>
      <c r="BI5" t="s">
        <v>1754</v>
      </c>
      <c r="BJ5" t="s">
        <v>1755</v>
      </c>
      <c r="BK5" t="s">
        <v>1756</v>
      </c>
      <c r="BL5" t="s">
        <v>1757</v>
      </c>
      <c r="BM5" t="s">
        <v>1758</v>
      </c>
      <c r="BN5" t="s">
        <v>1753</v>
      </c>
      <c r="BO5" t="s">
        <v>1754</v>
      </c>
      <c r="BP5" t="s">
        <v>1755</v>
      </c>
      <c r="BQ5" t="s">
        <v>1756</v>
      </c>
      <c r="BR5" t="s">
        <v>1757</v>
      </c>
      <c r="BS5" t="s">
        <v>1758</v>
      </c>
    </row>
    <row r="6" spans="2:71" x14ac:dyDescent="0.2">
      <c r="B6" s="51">
        <v>4</v>
      </c>
      <c r="C6" t="str">
        <v>6 Loops, UAB</v>
      </c>
      <c r="D6" s="31">
        <f t="shared" si="0"/>
        <v>1.562763268744735</v>
      </c>
      <c r="E6" s="33">
        <f t="shared" si="1"/>
        <v>0</v>
      </c>
      <c r="F6" s="33">
        <f t="shared" si="2"/>
        <v>-1</v>
      </c>
      <c r="G6" s="33">
        <f t="shared" si="3"/>
        <v>0</v>
      </c>
      <c r="H6" s="34">
        <f t="shared" si="4"/>
        <v>0.40555555555555539</v>
      </c>
      <c r="I6" s="15">
        <v>4</v>
      </c>
      <c r="J6" t="str">
        <v>RAIBEC, UAB</v>
      </c>
      <c r="K6" s="30">
        <f t="shared" si="5"/>
        <v>0.77012187655854758</v>
      </c>
      <c r="L6" s="30">
        <f t="shared" si="6"/>
        <v>-0.15487920608159267</v>
      </c>
      <c r="M6" s="30">
        <f t="shared" si="7"/>
        <v>7.6794716745254066E-2</v>
      </c>
      <c r="N6" s="30">
        <f t="shared" si="8"/>
        <v>0.10014321550195682</v>
      </c>
      <c r="O6" s="70">
        <f t="shared" si="9"/>
        <v>0.17059008819823607</v>
      </c>
      <c r="P6" s="51">
        <v>4</v>
      </c>
      <c r="Q6" t="str">
        <v>LoveMedia, UAB</v>
      </c>
      <c r="R6" s="33">
        <f t="shared" si="10"/>
        <v>10.807131782945699</v>
      </c>
      <c r="S6" s="33">
        <f t="shared" si="11"/>
        <v>-1.0567761698531739</v>
      </c>
      <c r="T6" s="33">
        <f t="shared" si="12"/>
        <v>-9.2155734560797842E-2</v>
      </c>
      <c r="U6" s="33">
        <f t="shared" si="13"/>
        <v>1.364089775561097</v>
      </c>
      <c r="V6" s="56">
        <f t="shared" si="14"/>
        <v>-5.6350262697022764</v>
      </c>
      <c r="AH6" t="s">
        <v>903</v>
      </c>
      <c r="AI6" t="s">
        <v>1402</v>
      </c>
      <c r="AJ6" s="30">
        <v>1.562763268744735</v>
      </c>
      <c r="AK6" s="30">
        <v>0</v>
      </c>
      <c r="AL6" s="30">
        <v>0</v>
      </c>
      <c r="AM6" s="30">
        <v>0</v>
      </c>
      <c r="AN6" s="30">
        <v>0</v>
      </c>
      <c r="AO6" s="30">
        <v>0.68175221714592849</v>
      </c>
      <c r="AP6" s="30">
        <v>0</v>
      </c>
      <c r="AQ6" s="30">
        <v>0</v>
      </c>
      <c r="AR6" s="30">
        <v>0</v>
      </c>
      <c r="AS6" s="30">
        <v>0</v>
      </c>
      <c r="AT6" s="30">
        <v>0</v>
      </c>
      <c r="AU6" s="30">
        <v>0</v>
      </c>
      <c r="AV6" s="30">
        <v>-1</v>
      </c>
      <c r="AW6" s="30">
        <v>0</v>
      </c>
      <c r="AX6" s="30">
        <v>0</v>
      </c>
      <c r="AY6" s="30">
        <v>0</v>
      </c>
      <c r="AZ6" s="30">
        <v>0</v>
      </c>
      <c r="BA6" s="30">
        <v>0</v>
      </c>
      <c r="BB6" s="30">
        <v>0</v>
      </c>
      <c r="BC6" s="30">
        <v>0</v>
      </c>
      <c r="BD6" s="30">
        <v>0</v>
      </c>
      <c r="BE6" s="30">
        <v>0</v>
      </c>
      <c r="BF6" s="30">
        <v>0</v>
      </c>
      <c r="BG6" s="30">
        <v>-1</v>
      </c>
      <c r="BH6" s="30">
        <v>0.40555555555555539</v>
      </c>
      <c r="BI6" s="30">
        <v>0</v>
      </c>
      <c r="BJ6" s="30">
        <v>0</v>
      </c>
      <c r="BK6" s="30">
        <v>0</v>
      </c>
      <c r="BL6" s="30">
        <v>0</v>
      </c>
      <c r="BM6" s="30">
        <v>-1.0003239390994489</v>
      </c>
      <c r="BN6" s="30">
        <v>0</v>
      </c>
      <c r="BO6" s="30">
        <v>0</v>
      </c>
      <c r="BP6" s="30">
        <v>0</v>
      </c>
      <c r="BQ6" s="30">
        <v>0</v>
      </c>
      <c r="BR6" s="30">
        <v>0</v>
      </c>
      <c r="BS6" s="30">
        <v>0</v>
      </c>
    </row>
    <row r="7" spans="2:71" x14ac:dyDescent="0.2">
      <c r="B7" s="51">
        <v>5</v>
      </c>
      <c r="C7" t="str">
        <v>Magnus advisory, MB</v>
      </c>
      <c r="D7" s="31">
        <f t="shared" si="0"/>
        <v>0.93</v>
      </c>
      <c r="E7" s="33">
        <f t="shared" si="1"/>
        <v>-0.33</v>
      </c>
      <c r="F7" s="33">
        <f t="shared" si="2"/>
        <v>0.27</v>
      </c>
      <c r="G7" s="33">
        <f t="shared" si="3"/>
        <v>0</v>
      </c>
      <c r="H7" s="34">
        <f t="shared" si="4"/>
        <v>0</v>
      </c>
      <c r="I7" s="15">
        <v>5</v>
      </c>
      <c r="J7" t="str">
        <v>Wide Wings, UAB</v>
      </c>
      <c r="K7" s="30">
        <f t="shared" si="5"/>
        <v>0.57618020993826002</v>
      </c>
      <c r="L7" s="30">
        <f t="shared" si="6"/>
        <v>-2.4182623015540416E-2</v>
      </c>
      <c r="M7" s="30">
        <f t="shared" si="7"/>
        <v>-0.13526058327253676</v>
      </c>
      <c r="N7" s="30">
        <f t="shared" si="8"/>
        <v>0.12610989983252763</v>
      </c>
      <c r="O7" s="70">
        <f t="shared" si="9"/>
        <v>3.4976698552857455E-2</v>
      </c>
      <c r="P7" s="51">
        <v>5</v>
      </c>
      <c r="Q7" t="str">
        <v>Apg media, UAB</v>
      </c>
      <c r="R7" s="33">
        <f t="shared" si="10"/>
        <v>9.8699999999999992</v>
      </c>
      <c r="S7" s="33">
        <f t="shared" si="11"/>
        <v>-0.83</v>
      </c>
      <c r="T7" s="33">
        <f t="shared" si="12"/>
        <v>0.69</v>
      </c>
      <c r="U7" s="33">
        <f t="shared" si="13"/>
        <v>2.2400000000000002</v>
      </c>
      <c r="V7" s="56">
        <f t="shared" si="14"/>
        <v>-0.14000000000000001</v>
      </c>
      <c r="AH7" t="s">
        <v>1722</v>
      </c>
      <c r="AI7" t="s">
        <v>1723</v>
      </c>
      <c r="AJ7" s="30">
        <v>0</v>
      </c>
      <c r="AK7" s="30">
        <v>-1</v>
      </c>
      <c r="AL7" s="30">
        <v>0</v>
      </c>
      <c r="AM7" s="30">
        <v>0</v>
      </c>
      <c r="AN7" s="30">
        <v>0</v>
      </c>
      <c r="AO7" s="30">
        <v>0</v>
      </c>
      <c r="AP7" s="30">
        <v>0.71919478123352665</v>
      </c>
      <c r="AQ7" s="30">
        <v>0</v>
      </c>
      <c r="AR7" s="30">
        <v>0</v>
      </c>
      <c r="AS7" s="30">
        <v>0</v>
      </c>
      <c r="AT7" s="30">
        <v>0</v>
      </c>
      <c r="AU7" s="30">
        <v>0</v>
      </c>
      <c r="AV7" s="30">
        <v>1.8721938944440764</v>
      </c>
      <c r="AW7" s="30">
        <v>0</v>
      </c>
      <c r="AX7" s="30">
        <v>0</v>
      </c>
      <c r="AY7" s="30">
        <v>0</v>
      </c>
      <c r="AZ7" s="30">
        <v>0</v>
      </c>
      <c r="BA7" s="30">
        <v>0</v>
      </c>
      <c r="BB7" s="30">
        <v>6.7955364291433149</v>
      </c>
      <c r="BC7" s="30">
        <v>0</v>
      </c>
      <c r="BD7" s="30">
        <v>0</v>
      </c>
      <c r="BE7" s="30">
        <v>0</v>
      </c>
      <c r="BF7" s="30">
        <v>0</v>
      </c>
      <c r="BG7" s="30">
        <v>0</v>
      </c>
      <c r="BH7" s="30">
        <v>0</v>
      </c>
      <c r="BI7" s="30">
        <v>0</v>
      </c>
      <c r="BJ7" s="30">
        <v>0</v>
      </c>
      <c r="BK7" s="30">
        <v>0</v>
      </c>
      <c r="BL7" s="30">
        <v>0</v>
      </c>
      <c r="BM7" s="30">
        <v>0</v>
      </c>
      <c r="BN7" s="30">
        <v>0</v>
      </c>
      <c r="BO7" s="30">
        <v>0</v>
      </c>
      <c r="BP7" s="30">
        <v>0</v>
      </c>
      <c r="BQ7" s="30">
        <v>0</v>
      </c>
      <c r="BR7" s="30">
        <v>0</v>
      </c>
      <c r="BS7" s="30">
        <v>0</v>
      </c>
    </row>
    <row r="8" spans="2:71" x14ac:dyDescent="0.2">
      <c r="B8" s="51">
        <v>6</v>
      </c>
      <c r="C8" t="str">
        <v>Kvadratai, MB</v>
      </c>
      <c r="D8" s="31">
        <f t="shared" si="0"/>
        <v>0.81</v>
      </c>
      <c r="E8" s="33">
        <f t="shared" si="1"/>
        <v>0.69</v>
      </c>
      <c r="F8" s="33">
        <f t="shared" si="2"/>
        <v>-0.35</v>
      </c>
      <c r="G8" s="33">
        <f t="shared" si="3"/>
        <v>0.87</v>
      </c>
      <c r="H8" s="34">
        <f t="shared" si="4"/>
        <v>0</v>
      </c>
      <c r="I8" s="15">
        <v>6</v>
      </c>
      <c r="J8" t="str">
        <v>The Critical, UAB</v>
      </c>
      <c r="K8" s="30">
        <f t="shared" si="5"/>
        <v>0.54418411209295092</v>
      </c>
      <c r="L8" s="30">
        <f t="shared" si="6"/>
        <v>1.5971031778930111E-2</v>
      </c>
      <c r="M8" s="30">
        <f t="shared" si="7"/>
        <v>3.4510426925646875E-3</v>
      </c>
      <c r="N8" s="30">
        <f t="shared" si="8"/>
        <v>0.45821876353315005</v>
      </c>
      <c r="O8" s="70">
        <f t="shared" si="9"/>
        <v>0.68888595157843713</v>
      </c>
      <c r="P8" s="51">
        <v>6</v>
      </c>
      <c r="Q8" t="str">
        <v>Be reklamos negerai, UAB</v>
      </c>
      <c r="R8" s="33">
        <f t="shared" si="10"/>
        <v>4.1223836894046197</v>
      </c>
      <c r="S8" s="33">
        <f t="shared" si="11"/>
        <v>-1.667076611444694</v>
      </c>
      <c r="T8" s="33">
        <f t="shared" si="12"/>
        <v>-0.42275489111143588</v>
      </c>
      <c r="U8" s="33">
        <f t="shared" si="13"/>
        <v>6.4880489160644705E-2</v>
      </c>
      <c r="V8" s="56">
        <f t="shared" si="14"/>
        <v>-8.4883449883449877</v>
      </c>
      <c r="AH8" t="s">
        <v>279</v>
      </c>
      <c r="AI8" t="s">
        <v>1404</v>
      </c>
      <c r="AJ8" s="30">
        <v>-2.6697404227598032E-2</v>
      </c>
      <c r="AK8" s="30">
        <v>-8.1632653061224469E-2</v>
      </c>
      <c r="AL8" s="30">
        <v>-0.1046770601336303</v>
      </c>
      <c r="AM8" s="30">
        <v>-0.17776464706149719</v>
      </c>
      <c r="AN8" s="30">
        <v>7.5200069365392475E-2</v>
      </c>
      <c r="AO8" s="30">
        <v>-0.2117467372393266</v>
      </c>
      <c r="AP8" s="30">
        <v>-9.1807857868412612E-2</v>
      </c>
      <c r="AQ8" s="30">
        <v>0</v>
      </c>
      <c r="AR8" s="30">
        <v>0.23843089181734589</v>
      </c>
      <c r="AS8" s="30">
        <v>0.23843089181734589</v>
      </c>
      <c r="AT8" s="30">
        <v>-0.13206986233851292</v>
      </c>
      <c r="AU8" s="30">
        <v>-0.45518078182842109</v>
      </c>
      <c r="AV8" s="30">
        <v>0.20326417050607451</v>
      </c>
      <c r="AW8" s="30">
        <v>-2.0000000000000018E-2</v>
      </c>
      <c r="AX8" s="30">
        <v>5.0547327752736633E-2</v>
      </c>
      <c r="AY8" s="30">
        <v>2.9536381197681871E-2</v>
      </c>
      <c r="AZ8" s="30">
        <v>0</v>
      </c>
      <c r="BA8" s="30">
        <v>0.66575467594606352</v>
      </c>
      <c r="BB8" s="30">
        <v>6.9687112361556336E-2</v>
      </c>
      <c r="BC8" s="30">
        <v>8.6956521739130377E-2</v>
      </c>
      <c r="BD8" s="30">
        <v>5.646258503401369E-2</v>
      </c>
      <c r="BE8" s="30">
        <v>0.14832889677610184</v>
      </c>
      <c r="BF8" s="30">
        <v>3.8042367051636772E-2</v>
      </c>
      <c r="BG8" s="30">
        <v>8.2656770960875647E-2</v>
      </c>
      <c r="BH8" s="30">
        <v>-0.10100678965777379</v>
      </c>
      <c r="BI8" s="30">
        <v>2.2222222222222143E-2</v>
      </c>
      <c r="BJ8" s="30">
        <v>8.5271317829457294E-2</v>
      </c>
      <c r="BK8" s="30">
        <v>0.10938845822566745</v>
      </c>
      <c r="BL8" s="30">
        <v>-0.17247167225747617</v>
      </c>
      <c r="BM8" s="30">
        <v>-2.231901627173793E-3</v>
      </c>
      <c r="BN8" s="30">
        <v>0</v>
      </c>
      <c r="BO8" s="30">
        <v>0</v>
      </c>
      <c r="BP8" s="30">
        <v>0</v>
      </c>
      <c r="BQ8" s="30">
        <v>0</v>
      </c>
      <c r="BR8" s="30">
        <v>0</v>
      </c>
      <c r="BS8" s="30">
        <v>0</v>
      </c>
    </row>
    <row r="9" spans="2:71" x14ac:dyDescent="0.2">
      <c r="B9" s="51">
        <v>7</v>
      </c>
      <c r="C9" t="str">
        <v>Panama Agency, MB</v>
      </c>
      <c r="D9" s="31">
        <f t="shared" si="0"/>
        <v>0.70157865313853263</v>
      </c>
      <c r="E9" s="33">
        <f t="shared" si="1"/>
        <v>0.27839615144614099</v>
      </c>
      <c r="F9" s="33">
        <f t="shared" si="2"/>
        <v>1.6319712517020171</v>
      </c>
      <c r="G9" s="33">
        <f t="shared" si="3"/>
        <v>0</v>
      </c>
      <c r="H9" s="34">
        <f t="shared" si="4"/>
        <v>0</v>
      </c>
      <c r="I9" s="15">
        <v>7</v>
      </c>
      <c r="J9" t="str">
        <v>Galley Group, UAB</v>
      </c>
      <c r="K9" s="30">
        <f t="shared" si="5"/>
        <v>0.46317571683646674</v>
      </c>
      <c r="L9" s="30">
        <f t="shared" si="6"/>
        <v>0.7741319964640343</v>
      </c>
      <c r="M9" s="30">
        <f t="shared" si="7"/>
        <v>0.35742889808472533</v>
      </c>
      <c r="N9" s="30">
        <f t="shared" si="8"/>
        <v>2.1372591165747634E-2</v>
      </c>
      <c r="O9" s="70">
        <f t="shared" si="9"/>
        <v>-0.60391724440536909</v>
      </c>
      <c r="P9" s="51">
        <v>7</v>
      </c>
      <c r="Q9" t="str">
        <v>Galley Group, UAB</v>
      </c>
      <c r="R9" s="33">
        <f t="shared" si="10"/>
        <v>3.99</v>
      </c>
      <c r="S9" s="33">
        <f t="shared" si="11"/>
        <v>12.65</v>
      </c>
      <c r="T9" s="33">
        <f t="shared" si="12"/>
        <v>25.86</v>
      </c>
      <c r="U9" s="33">
        <f t="shared" si="13"/>
        <v>-0.3</v>
      </c>
      <c r="V9" s="56">
        <f t="shared" si="14"/>
        <v>-0.9</v>
      </c>
      <c r="AH9" t="s">
        <v>795</v>
      </c>
      <c r="AI9" t="s">
        <v>1410</v>
      </c>
      <c r="AJ9" s="30">
        <v>-8.9706927403957248E-2</v>
      </c>
      <c r="AK9" s="30">
        <v>0</v>
      </c>
      <c r="AL9" s="30">
        <v>0.20863309352517989</v>
      </c>
      <c r="AM9" s="30">
        <v>0.20863309352517989</v>
      </c>
      <c r="AN9" s="30">
        <v>-0.82779058281198548</v>
      </c>
      <c r="AO9" s="30">
        <v>-0.76411675893306485</v>
      </c>
      <c r="AP9" s="30">
        <v>0.33295671773802388</v>
      </c>
      <c r="AQ9" s="30">
        <v>0.5</v>
      </c>
      <c r="AR9" s="30">
        <v>1.9333333333333421E-2</v>
      </c>
      <c r="AS9" s="30">
        <v>0.52899999999999991</v>
      </c>
      <c r="AT9" s="30">
        <v>0</v>
      </c>
      <c r="AU9" s="30">
        <v>-0.42874392663082539</v>
      </c>
      <c r="AV9" s="30">
        <v>7.7409716330369971E-2</v>
      </c>
      <c r="AW9" s="30">
        <v>0.19999999999999996</v>
      </c>
      <c r="AX9" s="30">
        <v>0.14678899082568811</v>
      </c>
      <c r="AY9" s="30">
        <v>0.37614678899082565</v>
      </c>
      <c r="AZ9" s="30">
        <v>-0.29742013678469392</v>
      </c>
      <c r="BA9" s="30">
        <v>-8.3934685277850973E-2</v>
      </c>
      <c r="BB9" s="30">
        <v>0.46747985817266491</v>
      </c>
      <c r="BC9" s="30">
        <v>0.25</v>
      </c>
      <c r="BD9" s="30">
        <v>0.117948717948718</v>
      </c>
      <c r="BE9" s="30">
        <v>0.39743589743589736</v>
      </c>
      <c r="BF9" s="30">
        <v>9.6807325014751644E-3</v>
      </c>
      <c r="BG9" s="30">
        <v>3.2576810944157879</v>
      </c>
      <c r="BH9" s="30">
        <v>6.9709311303273624E-2</v>
      </c>
      <c r="BI9" s="30">
        <v>0</v>
      </c>
      <c r="BJ9" s="30">
        <v>9.8591549295774739E-2</v>
      </c>
      <c r="BK9" s="30">
        <v>9.8591549295774739E-2</v>
      </c>
      <c r="BL9" s="30">
        <v>-0.10896275093950192</v>
      </c>
      <c r="BM9" s="30">
        <v>6.8296751536435467</v>
      </c>
      <c r="BN9" s="30">
        <v>0</v>
      </c>
      <c r="BO9" s="30">
        <v>0</v>
      </c>
      <c r="BP9" s="30">
        <v>0</v>
      </c>
      <c r="BQ9" s="30">
        <v>0</v>
      </c>
      <c r="BR9" s="30">
        <v>0</v>
      </c>
      <c r="BS9" s="30">
        <v>0</v>
      </c>
    </row>
    <row r="10" spans="2:71" x14ac:dyDescent="0.2">
      <c r="B10" s="51">
        <v>8</v>
      </c>
      <c r="C10" t="str">
        <v>LoveMedia, UAB</v>
      </c>
      <c r="D10" s="31">
        <f t="shared" si="0"/>
        <v>0.58363933304408855</v>
      </c>
      <c r="E10" s="33">
        <f t="shared" si="1"/>
        <v>-0.3494059680872792</v>
      </c>
      <c r="F10" s="33">
        <f t="shared" si="2"/>
        <v>0.11729879693541601</v>
      </c>
      <c r="G10" s="33">
        <f t="shared" si="3"/>
        <v>0.49985386189179631</v>
      </c>
      <c r="H10" s="34">
        <f t="shared" si="4"/>
        <v>-4.4232564636002107E-2</v>
      </c>
      <c r="I10" s="15">
        <v>8</v>
      </c>
      <c r="J10" t="str">
        <v>Whatabout.agency, UAB</v>
      </c>
      <c r="K10" s="30">
        <f t="shared" si="5"/>
        <v>0.45558716092296647</v>
      </c>
      <c r="L10" s="30">
        <f t="shared" si="6"/>
        <v>0.20220298278729887</v>
      </c>
      <c r="M10" s="30">
        <f t="shared" si="7"/>
        <v>-5.7816607436864675E-3</v>
      </c>
      <c r="N10" s="30">
        <f t="shared" si="8"/>
        <v>3.2562672424133385</v>
      </c>
      <c r="O10" s="70">
        <f t="shared" si="9"/>
        <v>0.80255819009298301</v>
      </c>
      <c r="P10" s="51">
        <v>8</v>
      </c>
      <c r="Q10" t="str">
        <v>Panama Agency, MB</v>
      </c>
      <c r="R10" s="33">
        <f t="shared" si="10"/>
        <v>3.715890601998916</v>
      </c>
      <c r="S10" s="33">
        <f t="shared" si="11"/>
        <v>-0.6420588479991125</v>
      </c>
      <c r="T10" s="33">
        <f t="shared" si="12"/>
        <v>3.1504373848987108</v>
      </c>
      <c r="U10" s="33">
        <f t="shared" si="13"/>
        <v>0</v>
      </c>
      <c r="V10" s="56">
        <f t="shared" si="14"/>
        <v>0</v>
      </c>
      <c r="AH10" t="s">
        <v>1025</v>
      </c>
      <c r="AI10" t="s">
        <v>1411</v>
      </c>
      <c r="AJ10" s="30">
        <v>-0.20713289036544846</v>
      </c>
      <c r="AK10" s="30">
        <v>-7.6923076923076872E-2</v>
      </c>
      <c r="AL10" s="30">
        <v>6.347256347256347E-2</v>
      </c>
      <c r="AM10" s="30">
        <v>-1.8333018333018369E-2</v>
      </c>
      <c r="AN10" s="30">
        <v>-0.13187227898904708</v>
      </c>
      <c r="AO10" s="30">
        <v>-0.6232845961363972</v>
      </c>
      <c r="AP10" s="30">
        <v>0.2026145879946302</v>
      </c>
      <c r="AQ10" s="30">
        <v>-7.1428571428571397E-2</v>
      </c>
      <c r="AR10" s="30">
        <v>5.1226861816616509E-2</v>
      </c>
      <c r="AS10" s="30">
        <v>-2.3860771170284734E-2</v>
      </c>
      <c r="AT10" s="30">
        <v>0</v>
      </c>
      <c r="AU10" s="30">
        <v>0.58445053551086201</v>
      </c>
      <c r="AV10" s="30">
        <v>-0.14765920262300619</v>
      </c>
      <c r="AW10" s="30">
        <v>7.6923076923076872E-2</v>
      </c>
      <c r="AX10" s="30">
        <v>2.1570319240724611E-3</v>
      </c>
      <c r="AY10" s="30">
        <v>7.9246034379770292E-2</v>
      </c>
      <c r="AZ10" s="30">
        <v>-0.22097016299191408</v>
      </c>
      <c r="BA10" s="30">
        <v>-0.2245290806898973</v>
      </c>
      <c r="BB10" s="30">
        <v>0.97189433548711168</v>
      </c>
      <c r="BC10" s="30">
        <v>8.3333333333333259E-2</v>
      </c>
      <c r="BD10" s="30">
        <v>0.13906633906633911</v>
      </c>
      <c r="BE10" s="30">
        <v>0.23398853398853392</v>
      </c>
      <c r="BF10" s="30">
        <v>1.0931101088293556</v>
      </c>
      <c r="BG10" s="30">
        <v>4.5522071580029557</v>
      </c>
      <c r="BH10" s="30">
        <v>0.11541999233000171</v>
      </c>
      <c r="BI10" s="30">
        <v>9.0909090909090828E-2</v>
      </c>
      <c r="BJ10" s="30">
        <v>9.3498119290703841E-2</v>
      </c>
      <c r="BK10" s="30">
        <v>0.19290703922622243</v>
      </c>
      <c r="BL10" s="30">
        <v>0.12682618630788189</v>
      </c>
      <c r="BM10" s="30">
        <v>-0.25413358467658198</v>
      </c>
      <c r="BN10" s="30">
        <v>0</v>
      </c>
      <c r="BO10" s="30">
        <v>0</v>
      </c>
      <c r="BP10" s="30">
        <v>0</v>
      </c>
      <c r="BQ10" s="30">
        <v>0</v>
      </c>
      <c r="BR10" s="30">
        <v>0</v>
      </c>
      <c r="BS10" s="30">
        <v>0</v>
      </c>
    </row>
    <row r="11" spans="2:71" x14ac:dyDescent="0.2">
      <c r="B11" s="51">
        <v>9</v>
      </c>
      <c r="C11" t="str">
        <v>RAIBEC, UAB</v>
      </c>
      <c r="D11" s="31">
        <f t="shared" si="0"/>
        <v>0.5616387364647013</v>
      </c>
      <c r="E11" s="33">
        <f t="shared" si="1"/>
        <v>-2.815763234717128E-2</v>
      </c>
      <c r="F11" s="33">
        <f t="shared" si="2"/>
        <v>1.863948446709629E-2</v>
      </c>
      <c r="G11" s="33">
        <f t="shared" si="3"/>
        <v>0.13297509949401379</v>
      </c>
      <c r="H11" s="34">
        <f t="shared" si="4"/>
        <v>0.23916327985648</v>
      </c>
      <c r="I11" s="15">
        <v>9</v>
      </c>
      <c r="J11" t="str">
        <v>BPN LT, UAB</v>
      </c>
      <c r="K11" s="30">
        <f t="shared" si="5"/>
        <v>0.42207619125513762</v>
      </c>
      <c r="L11" s="30">
        <f t="shared" si="6"/>
        <v>0.22971830666133397</v>
      </c>
      <c r="M11" s="30">
        <f t="shared" si="7"/>
        <v>0.2654303669767708</v>
      </c>
      <c r="N11" s="30">
        <f t="shared" si="8"/>
        <v>0.34809795531653376</v>
      </c>
      <c r="O11" s="70">
        <f t="shared" si="9"/>
        <v>7.8775005519982066E-3</v>
      </c>
      <c r="P11" s="51">
        <v>9</v>
      </c>
      <c r="Q11" t="str">
        <v>Dansu, UAB</v>
      </c>
      <c r="R11" s="33">
        <f t="shared" si="10"/>
        <v>3.18</v>
      </c>
      <c r="S11" s="33">
        <f t="shared" si="11"/>
        <v>-4.66</v>
      </c>
      <c r="T11" s="33">
        <f t="shared" si="12"/>
        <v>-0.75</v>
      </c>
      <c r="U11" s="33">
        <f t="shared" si="13"/>
        <v>-0.15</v>
      </c>
      <c r="V11" s="56">
        <f t="shared" si="14"/>
        <v>-0.53</v>
      </c>
      <c r="AH11" t="s">
        <v>982</v>
      </c>
      <c r="AI11" t="s">
        <v>1413</v>
      </c>
      <c r="AJ11" s="30">
        <v>2.125123451043831E-2</v>
      </c>
      <c r="AK11" s="30">
        <v>-2.8571428571428581E-2</v>
      </c>
      <c r="AL11" s="30">
        <v>8.2262210796915092E-2</v>
      </c>
      <c r="AM11" s="30">
        <v>5.1340433345574699E-2</v>
      </c>
      <c r="AN11" s="30">
        <v>0.10608622091907538</v>
      </c>
      <c r="AO11" s="30">
        <v>-0.74767442806800521</v>
      </c>
      <c r="AP11" s="30">
        <v>4.6886783173218927E-3</v>
      </c>
      <c r="AQ11" s="30">
        <v>0</v>
      </c>
      <c r="AR11" s="30">
        <v>6.8192219679633848E-2</v>
      </c>
      <c r="AS11" s="30">
        <v>6.8192219679633848E-2</v>
      </c>
      <c r="AT11" s="30">
        <v>0</v>
      </c>
      <c r="AU11" s="30">
        <v>0.21889352921920111</v>
      </c>
      <c r="AV11" s="30">
        <v>0.1603297053520365</v>
      </c>
      <c r="AW11" s="30">
        <v>6.0606060606060552E-2</v>
      </c>
      <c r="AX11" s="30">
        <v>0.1518186610437533</v>
      </c>
      <c r="AY11" s="30">
        <v>0.22162585262216261</v>
      </c>
      <c r="AZ11" s="30">
        <v>-7.6752266501972644E-3</v>
      </c>
      <c r="BA11" s="30">
        <v>26.13512786002692</v>
      </c>
      <c r="BB11" s="30">
        <v>0.29601150378528862</v>
      </c>
      <c r="BC11" s="30">
        <v>3.125E-2</v>
      </c>
      <c r="BD11" s="30">
        <v>0.19458438287153659</v>
      </c>
      <c r="BE11" s="30">
        <v>0.23191514483627196</v>
      </c>
      <c r="BF11" s="30">
        <v>0.78623926027760649</v>
      </c>
      <c r="BG11" s="30">
        <v>-0.97561968013545397</v>
      </c>
      <c r="BH11" s="30">
        <v>-0.1180726395772992</v>
      </c>
      <c r="BI11" s="30">
        <v>-3.0303030303030276E-2</v>
      </c>
      <c r="BJ11" s="30">
        <v>4.4049967126890133E-2</v>
      </c>
      <c r="BK11" s="30">
        <v>1.2412089335166243E-2</v>
      </c>
      <c r="BL11" s="30">
        <v>-0.24196181633346792</v>
      </c>
      <c r="BM11" s="30">
        <v>-0.1236153447978374</v>
      </c>
      <c r="BN11" s="30">
        <v>0</v>
      </c>
      <c r="BO11" s="30">
        <v>0</v>
      </c>
      <c r="BP11" s="30">
        <v>0</v>
      </c>
      <c r="BQ11" s="30">
        <v>0</v>
      </c>
      <c r="BR11" s="30">
        <v>0</v>
      </c>
      <c r="BS11" s="30">
        <v>0</v>
      </c>
    </row>
    <row r="12" spans="2:71" x14ac:dyDescent="0.2">
      <c r="B12" s="51">
        <v>10</v>
      </c>
      <c r="C12" t="str">
        <v>Bosanova, UAB</v>
      </c>
      <c r="D12" s="31">
        <f t="shared" si="0"/>
        <v>0.54</v>
      </c>
      <c r="E12" s="33">
        <f t="shared" si="1"/>
        <v>0.1</v>
      </c>
      <c r="F12" s="33">
        <f t="shared" si="2"/>
        <v>0.49</v>
      </c>
      <c r="G12" s="33">
        <f t="shared" si="3"/>
        <v>0.44</v>
      </c>
      <c r="H12" s="34">
        <f t="shared" si="4"/>
        <v>0.86</v>
      </c>
      <c r="I12" s="15">
        <v>10</v>
      </c>
      <c r="J12" t="str">
        <v>Synthesis Consulting Group, UAB</v>
      </c>
      <c r="K12" s="30">
        <f t="shared" si="5"/>
        <v>0.3199939314449034</v>
      </c>
      <c r="L12" s="30">
        <f t="shared" si="6"/>
        <v>0.25812062643733014</v>
      </c>
      <c r="M12" s="30">
        <f t="shared" si="7"/>
        <v>0.20048415411623388</v>
      </c>
      <c r="N12" s="30">
        <f t="shared" si="8"/>
        <v>0.19124665398703855</v>
      </c>
      <c r="O12" s="70">
        <f t="shared" si="9"/>
        <v>0</v>
      </c>
      <c r="P12" s="51">
        <v>10</v>
      </c>
      <c r="Q12" t="str">
        <v>Magnus advisory, MB</v>
      </c>
      <c r="R12" s="33">
        <f t="shared" si="10"/>
        <v>3.099128202858787</v>
      </c>
      <c r="S12" s="33">
        <f t="shared" si="11"/>
        <v>-0.35</v>
      </c>
      <c r="T12" s="33">
        <f t="shared" si="12"/>
        <v>0.2</v>
      </c>
      <c r="U12" s="33">
        <f t="shared" si="13"/>
        <v>0</v>
      </c>
      <c r="V12" s="56">
        <f t="shared" si="14"/>
        <v>0</v>
      </c>
      <c r="AH12" t="s">
        <v>1419</v>
      </c>
      <c r="AI12" t="s">
        <v>1420</v>
      </c>
      <c r="AJ12" s="30">
        <v>-0.35</v>
      </c>
      <c r="AK12" s="30">
        <v>-6.6666666666666652E-2</v>
      </c>
      <c r="AL12" s="30">
        <v>-0.11</v>
      </c>
      <c r="AM12" s="30">
        <v>-0.16613756613756614</v>
      </c>
      <c r="AN12" s="30">
        <v>-0.53835917994791904</v>
      </c>
      <c r="AO12" s="30">
        <v>9.8699999999999992</v>
      </c>
      <c r="AP12" s="30">
        <v>-0.14000000000000001</v>
      </c>
      <c r="AQ12" s="30">
        <v>-0.11764705882352944</v>
      </c>
      <c r="AR12" s="30">
        <v>0.23</v>
      </c>
      <c r="AS12" s="30">
        <v>8.2385666366685761E-2</v>
      </c>
      <c r="AT12" s="30">
        <v>-0.20154990018391306</v>
      </c>
      <c r="AU12" s="30">
        <v>-0.83</v>
      </c>
      <c r="AV12" s="30">
        <v>0.2</v>
      </c>
      <c r="AW12" s="30">
        <v>6.25E-2</v>
      </c>
      <c r="AX12" s="30">
        <v>0.11</v>
      </c>
      <c r="AY12" s="30">
        <v>0.17483660130718959</v>
      </c>
      <c r="AZ12" s="30">
        <v>0.19594519536583999</v>
      </c>
      <c r="BA12" s="30">
        <v>0.69</v>
      </c>
      <c r="BB12" s="30">
        <v>0.56999999999999995</v>
      </c>
      <c r="BC12" s="30">
        <v>0.60000000000000009</v>
      </c>
      <c r="BD12" s="30">
        <v>0.19</v>
      </c>
      <c r="BE12" s="30">
        <v>0.89767441860465125</v>
      </c>
      <c r="BF12" s="30">
        <v>0.44806943213933947</v>
      </c>
      <c r="BG12" s="30">
        <v>2.2400000000000002</v>
      </c>
      <c r="BH12" s="30">
        <v>0.47</v>
      </c>
      <c r="BI12" s="30">
        <v>0.66666666666666674</v>
      </c>
      <c r="BJ12" s="30">
        <v>-0.02</v>
      </c>
      <c r="BK12" s="30">
        <v>0.63461538461538458</v>
      </c>
      <c r="BL12" s="30">
        <v>0.43401435866861138</v>
      </c>
      <c r="BM12" s="30">
        <v>-0.14000000000000001</v>
      </c>
      <c r="BN12" s="30">
        <v>0</v>
      </c>
      <c r="BO12" s="30">
        <v>0</v>
      </c>
      <c r="BP12" s="30">
        <v>0</v>
      </c>
      <c r="BQ12" s="30">
        <v>0</v>
      </c>
      <c r="BR12" s="30">
        <v>0</v>
      </c>
      <c r="BS12" s="30">
        <v>0</v>
      </c>
    </row>
    <row r="13" spans="2:71" x14ac:dyDescent="0.2">
      <c r="B13" s="51">
        <v>11</v>
      </c>
      <c r="C13" t="str">
        <v>Galley Group, UAB</v>
      </c>
      <c r="D13" s="31">
        <f t="shared" si="0"/>
        <v>0.46</v>
      </c>
      <c r="E13" s="33">
        <f t="shared" si="1"/>
        <v>0.72</v>
      </c>
      <c r="F13" s="33">
        <f t="shared" si="2"/>
        <v>0.27</v>
      </c>
      <c r="G13" s="33">
        <f t="shared" si="3"/>
        <v>-0.01</v>
      </c>
      <c r="H13" s="34">
        <f t="shared" si="4"/>
        <v>-0.56000000000000005</v>
      </c>
      <c r="I13" s="15">
        <v>11</v>
      </c>
      <c r="J13" t="str">
        <v>INK Agency, UAB</v>
      </c>
      <c r="K13" s="30">
        <f t="shared" si="5"/>
        <v>0.31714182046196715</v>
      </c>
      <c r="L13" s="30">
        <f t="shared" si="6"/>
        <v>-5.706573730588127E-2</v>
      </c>
      <c r="M13" s="30">
        <f t="shared" si="7"/>
        <v>0.37951183926785981</v>
      </c>
      <c r="N13" s="30">
        <f t="shared" si="8"/>
        <v>0.19660152651664697</v>
      </c>
      <c r="O13" s="70">
        <f t="shared" si="9"/>
        <v>0.2279574844566179</v>
      </c>
      <c r="P13" s="51">
        <v>11</v>
      </c>
      <c r="Q13" t="str">
        <v>Dentsu Lithuania, UAB</v>
      </c>
      <c r="R13" s="33">
        <f t="shared" si="10"/>
        <v>2.7471548600879272</v>
      </c>
      <c r="S13" s="33">
        <f t="shared" si="11"/>
        <v>0.27475669253520052</v>
      </c>
      <c r="T13" s="33">
        <f t="shared" si="12"/>
        <v>2.55149164624238</v>
      </c>
      <c r="U13" s="33">
        <f t="shared" si="13"/>
        <v>-0.54770741294178793</v>
      </c>
      <c r="V13" s="56">
        <f t="shared" si="14"/>
        <v>0.53301047022646064</v>
      </c>
      <c r="AH13" t="s">
        <v>212</v>
      </c>
      <c r="AI13" t="s">
        <v>1421</v>
      </c>
      <c r="AJ13" s="30">
        <v>-0.17620828976349251</v>
      </c>
      <c r="AK13" s="30">
        <v>0</v>
      </c>
      <c r="AL13" s="30">
        <v>1.906519065190659E-2</v>
      </c>
      <c r="AM13" s="30">
        <v>1.9065190651906594E-2</v>
      </c>
      <c r="AN13" s="30">
        <v>-0.16587961377923044</v>
      </c>
      <c r="AO13" s="30">
        <v>-0.79248572861681033</v>
      </c>
      <c r="AP13" s="30">
        <v>-0.10661224282329169</v>
      </c>
      <c r="AQ13" s="30">
        <v>7.6923076923076872E-2</v>
      </c>
      <c r="AR13" s="30">
        <v>-1.57384987893463E-2</v>
      </c>
      <c r="AS13" s="30">
        <v>5.9973924380704036E-2</v>
      </c>
      <c r="AT13" s="30">
        <v>-0.10908823947247703</v>
      </c>
      <c r="AU13" s="30">
        <v>-0.215108213385548</v>
      </c>
      <c r="AV13" s="30">
        <v>9.0975792419911272E-2</v>
      </c>
      <c r="AW13" s="30">
        <v>8.3333333333333259E-2</v>
      </c>
      <c r="AX13" s="30">
        <v>7.7977161500815573E-2</v>
      </c>
      <c r="AY13" s="30">
        <v>0.16780859162588357</v>
      </c>
      <c r="AZ13" s="30">
        <v>0</v>
      </c>
      <c r="BA13" s="30">
        <v>0.36563538300486997</v>
      </c>
      <c r="BB13" s="30">
        <v>0.64371188158768122</v>
      </c>
      <c r="BC13" s="30">
        <v>9.0909090909090828E-2</v>
      </c>
      <c r="BD13" s="30">
        <v>0.17613200306983881</v>
      </c>
      <c r="BE13" s="30">
        <v>0.28305309425800607</v>
      </c>
      <c r="BF13" s="30">
        <v>0.6918773528678972</v>
      </c>
      <c r="BG13" s="30">
        <v>-1.5385304835181411E-2</v>
      </c>
      <c r="BH13" s="30">
        <v>-3.8618192842562293E-2</v>
      </c>
      <c r="BI13" s="30">
        <v>-0.3125</v>
      </c>
      <c r="BJ13" s="30">
        <v>9.7725358045492872E-2</v>
      </c>
      <c r="BK13" s="30">
        <v>-0.24531381634372362</v>
      </c>
      <c r="BL13" s="30">
        <v>-2.4569654219973147E-2</v>
      </c>
      <c r="BM13" s="30">
        <v>-7.3015518588813166E-2</v>
      </c>
      <c r="BN13" s="30">
        <v>0</v>
      </c>
      <c r="BO13" s="30">
        <v>0</v>
      </c>
      <c r="BP13" s="30">
        <v>0</v>
      </c>
      <c r="BQ13" s="30">
        <v>0</v>
      </c>
      <c r="BR13" s="30">
        <v>0</v>
      </c>
      <c r="BS13" s="30">
        <v>0</v>
      </c>
    </row>
    <row r="14" spans="2:71" x14ac:dyDescent="0.2">
      <c r="B14" s="51">
        <v>12</v>
      </c>
      <c r="C14" t="str">
        <v>Way Makers, MB</v>
      </c>
      <c r="D14" s="31">
        <f t="shared" si="0"/>
        <v>0.4235412474849094</v>
      </c>
      <c r="E14" s="33">
        <f t="shared" si="1"/>
        <v>-0.2005849022116615</v>
      </c>
      <c r="F14" s="33">
        <f t="shared" si="2"/>
        <v>4.3269071612871821</v>
      </c>
      <c r="G14" s="33">
        <f t="shared" si="3"/>
        <v>0</v>
      </c>
      <c r="H14" s="34">
        <f t="shared" si="4"/>
        <v>0</v>
      </c>
      <c r="I14" s="15">
        <v>12</v>
      </c>
      <c r="J14" t="str">
        <v>Expertmedia, UAB</v>
      </c>
      <c r="K14" s="30">
        <f t="shared" si="5"/>
        <v>0.30617526675113282</v>
      </c>
      <c r="L14" s="30">
        <f t="shared" si="6"/>
        <v>0.38174973142136492</v>
      </c>
      <c r="M14" s="30">
        <f t="shared" si="7"/>
        <v>0.7978126291109775</v>
      </c>
      <c r="N14" s="30">
        <f t="shared" si="8"/>
        <v>0.64706695951889626</v>
      </c>
      <c r="O14" s="70">
        <f t="shared" si="9"/>
        <v>-0.11059991733422558</v>
      </c>
      <c r="P14" s="51">
        <v>12</v>
      </c>
      <c r="Q14" t="str">
        <v>We deliver, UAB</v>
      </c>
      <c r="R14" s="33">
        <f t="shared" si="10"/>
        <v>2.2184655396619002</v>
      </c>
      <c r="S14" s="33">
        <f t="shared" si="11"/>
        <v>-5.2722222222222221</v>
      </c>
      <c r="T14" s="33">
        <f t="shared" si="12"/>
        <v>0.35338345864661652</v>
      </c>
      <c r="U14" s="33">
        <f t="shared" si="13"/>
        <v>-0.46586345381526112</v>
      </c>
      <c r="V14" s="56">
        <f t="shared" si="14"/>
        <v>-0.2044728434504792</v>
      </c>
      <c r="AH14" t="s">
        <v>471</v>
      </c>
      <c r="AI14" t="s">
        <v>1423</v>
      </c>
      <c r="AJ14" s="30">
        <v>-0.23897256301231359</v>
      </c>
      <c r="AK14" s="30">
        <v>8.0000000000000071E-2</v>
      </c>
      <c r="AL14" s="30">
        <v>8.5276482345103322E-2</v>
      </c>
      <c r="AM14" s="30">
        <v>0.17209860093271145</v>
      </c>
      <c r="AN14" s="30">
        <v>-0.31331081461181232</v>
      </c>
      <c r="AO14" s="30">
        <v>-0.97588959349221249</v>
      </c>
      <c r="AP14" s="30">
        <v>0.49865110137857821</v>
      </c>
      <c r="AQ14" s="30">
        <v>-3.8461538461538436E-2</v>
      </c>
      <c r="AR14" s="30">
        <v>8.807538963392525E-2</v>
      </c>
      <c r="AS14" s="30">
        <v>4.6226336186466765E-2</v>
      </c>
      <c r="AT14" s="30">
        <v>0</v>
      </c>
      <c r="AU14" s="30">
        <v>-33.035936927026043</v>
      </c>
      <c r="AV14" s="30">
        <v>2.3923376623376621E-2</v>
      </c>
      <c r="AW14" s="30">
        <v>-3.703703703703709E-2</v>
      </c>
      <c r="AX14" s="30">
        <v>4.1918429003021229E-2</v>
      </c>
      <c r="AY14" s="30">
        <v>3.3288575584649038E-3</v>
      </c>
      <c r="AZ14" s="30">
        <v>7.4714542404600515E-2</v>
      </c>
      <c r="BA14" s="30">
        <v>-1.183549841825402</v>
      </c>
      <c r="BB14" s="30">
        <v>-0.19399579202997921</v>
      </c>
      <c r="BC14" s="30">
        <v>0</v>
      </c>
      <c r="BD14" s="30">
        <v>3.5588580367618361E-2</v>
      </c>
      <c r="BE14" s="30">
        <v>3.5588580367618361E-2</v>
      </c>
      <c r="BF14" s="30">
        <v>-0.22762009811991701</v>
      </c>
      <c r="BG14" s="30">
        <v>-0.79294534102628422</v>
      </c>
      <c r="BH14" s="30">
        <v>-0.1793332130677181</v>
      </c>
      <c r="BI14" s="30">
        <v>-0.12903225806451613</v>
      </c>
      <c r="BJ14" s="30">
        <v>1.9944156362185831E-2</v>
      </c>
      <c r="BK14" s="30">
        <v>-0.11166154123293492</v>
      </c>
      <c r="BL14" s="30">
        <v>-0.23362517590040399</v>
      </c>
      <c r="BM14" s="30">
        <v>0.18340846619021439</v>
      </c>
      <c r="BN14" s="30">
        <v>0</v>
      </c>
      <c r="BO14" s="30">
        <v>0</v>
      </c>
      <c r="BP14" s="30">
        <v>0</v>
      </c>
      <c r="BQ14" s="30">
        <v>0</v>
      </c>
      <c r="BR14" s="30">
        <v>0</v>
      </c>
      <c r="BS14" s="30">
        <v>0</v>
      </c>
    </row>
    <row r="15" spans="2:71" x14ac:dyDescent="0.2">
      <c r="B15" s="51">
        <v>13</v>
      </c>
      <c r="C15" t="str">
        <v>BPN LT, UAB</v>
      </c>
      <c r="D15" s="31">
        <f t="shared" si="0"/>
        <v>0.41171022335913388</v>
      </c>
      <c r="E15" s="33">
        <f t="shared" si="1"/>
        <v>0.21611505730103969</v>
      </c>
      <c r="F15" s="33">
        <f t="shared" si="2"/>
        <v>0.26517064797692402</v>
      </c>
      <c r="G15" s="33">
        <f t="shared" si="3"/>
        <v>0.34891473393038658</v>
      </c>
      <c r="H15" s="34">
        <f t="shared" si="4"/>
        <v>9.1742836379309356E-3</v>
      </c>
      <c r="I15" s="15">
        <v>13</v>
      </c>
      <c r="J15" t="str">
        <v>Panama Agency, MB</v>
      </c>
      <c r="K15" s="30">
        <f t="shared" si="5"/>
        <v>0.2938788986229941</v>
      </c>
      <c r="L15" s="30">
        <f t="shared" si="6"/>
        <v>0</v>
      </c>
      <c r="M15" s="30">
        <f t="shared" si="7"/>
        <v>0</v>
      </c>
      <c r="N15" s="30">
        <f t="shared" si="8"/>
        <v>0</v>
      </c>
      <c r="O15" s="70">
        <f t="shared" si="9"/>
        <v>0</v>
      </c>
      <c r="P15" s="51">
        <v>13</v>
      </c>
      <c r="Q15" t="str">
        <v>Fotokomanda, UAB</v>
      </c>
      <c r="R15" s="33">
        <f t="shared" si="10"/>
        <v>2.12</v>
      </c>
      <c r="S15" s="33">
        <f t="shared" si="11"/>
        <v>-2.19</v>
      </c>
      <c r="T15" s="33">
        <f t="shared" si="12"/>
        <v>0.08</v>
      </c>
      <c r="U15" s="33">
        <f t="shared" si="13"/>
        <v>11.11</v>
      </c>
      <c r="V15" s="56">
        <f t="shared" si="14"/>
        <v>-1.04</v>
      </c>
      <c r="AH15" t="s">
        <v>1429</v>
      </c>
      <c r="AI15" t="s">
        <v>1430</v>
      </c>
      <c r="AJ15" s="30">
        <v>0.1136559125980512</v>
      </c>
      <c r="AK15" s="30">
        <v>0</v>
      </c>
      <c r="AL15" s="30">
        <v>0</v>
      </c>
      <c r="AM15" s="30">
        <v>0</v>
      </c>
      <c r="AN15" s="30">
        <v>0</v>
      </c>
      <c r="AO15" s="30">
        <v>-10.002463054187199</v>
      </c>
      <c r="AP15" s="30">
        <v>0.38960645092232488</v>
      </c>
      <c r="AQ15" s="30">
        <v>0</v>
      </c>
      <c r="AR15" s="30">
        <v>0</v>
      </c>
      <c r="AS15" s="30">
        <v>0</v>
      </c>
      <c r="AT15" s="30">
        <v>0</v>
      </c>
      <c r="AU15" s="30">
        <v>-1.4053919121318019</v>
      </c>
      <c r="AV15" s="30">
        <v>0.32368290551869072</v>
      </c>
      <c r="AW15" s="30">
        <v>0</v>
      </c>
      <c r="AX15" s="30">
        <v>0</v>
      </c>
      <c r="AY15" s="30">
        <v>0</v>
      </c>
      <c r="AZ15" s="30">
        <v>0</v>
      </c>
      <c r="BA15" s="30">
        <v>0.69745762711864412</v>
      </c>
      <c r="BB15" s="30">
        <v>0.79375635377838027</v>
      </c>
      <c r="BC15" s="30">
        <v>0</v>
      </c>
      <c r="BD15" s="30">
        <v>0</v>
      </c>
      <c r="BE15" s="30">
        <v>0</v>
      </c>
      <c r="BF15" s="30">
        <v>0</v>
      </c>
      <c r="BG15" s="30">
        <v>-39.064516129032263</v>
      </c>
      <c r="BH15" s="30">
        <v>-0.38821944077327741</v>
      </c>
      <c r="BI15" s="30">
        <v>0</v>
      </c>
      <c r="BJ15" s="30">
        <v>0</v>
      </c>
      <c r="BK15" s="30">
        <v>0</v>
      </c>
      <c r="BL15" s="30">
        <v>0</v>
      </c>
      <c r="BM15" s="30">
        <v>-1.013680494263018</v>
      </c>
      <c r="BN15" s="30">
        <v>0</v>
      </c>
      <c r="BO15" s="30">
        <v>0</v>
      </c>
      <c r="BP15" s="30">
        <v>0</v>
      </c>
      <c r="BQ15" s="30">
        <v>0</v>
      </c>
      <c r="BR15" s="30">
        <v>0</v>
      </c>
      <c r="BS15" s="30">
        <v>0</v>
      </c>
    </row>
    <row r="16" spans="2:71" x14ac:dyDescent="0.2">
      <c r="B16" s="51">
        <v>14</v>
      </c>
      <c r="C16" t="str">
        <v>Fotokomanda, UAB</v>
      </c>
      <c r="D16" s="31">
        <f t="shared" si="0"/>
        <v>0.4</v>
      </c>
      <c r="E16" s="33">
        <f t="shared" si="1"/>
        <v>-0.35</v>
      </c>
      <c r="F16" s="33">
        <f t="shared" si="2"/>
        <v>0.22</v>
      </c>
      <c r="G16" s="33">
        <f t="shared" si="3"/>
        <v>0.28000000000000003</v>
      </c>
      <c r="H16" s="34">
        <f t="shared" si="4"/>
        <v>-0.28000000000000003</v>
      </c>
      <c r="I16" s="15">
        <v>14</v>
      </c>
      <c r="J16" t="str">
        <v>Enternet, UAB</v>
      </c>
      <c r="K16" s="30">
        <f t="shared" si="5"/>
        <v>0.29335454243975922</v>
      </c>
      <c r="L16" s="30">
        <f t="shared" si="6"/>
        <v>0.16948996562082996</v>
      </c>
      <c r="M16" s="30">
        <f t="shared" si="7"/>
        <v>0.21662667946257197</v>
      </c>
      <c r="N16" s="30">
        <f t="shared" si="8"/>
        <v>0.27117093304597106</v>
      </c>
      <c r="O16" s="70">
        <f t="shared" si="9"/>
        <v>0.41204673997301255</v>
      </c>
      <c r="P16" s="51">
        <v>14</v>
      </c>
      <c r="Q16" t="str">
        <v>The Critical, UAB</v>
      </c>
      <c r="R16" s="33">
        <f t="shared" si="10"/>
        <v>1.90824377486209</v>
      </c>
      <c r="S16" s="33">
        <f t="shared" si="11"/>
        <v>-6.95</v>
      </c>
      <c r="T16" s="33">
        <f t="shared" si="12"/>
        <v>-0.85</v>
      </c>
      <c r="U16" s="33">
        <f t="shared" si="13"/>
        <v>0</v>
      </c>
      <c r="V16" s="56">
        <f t="shared" si="14"/>
        <v>17.84</v>
      </c>
      <c r="AH16" t="s">
        <v>630</v>
      </c>
      <c r="AI16" t="s">
        <v>1431</v>
      </c>
      <c r="AJ16" s="30">
        <v>-0.1457628407406</v>
      </c>
      <c r="AK16" s="30">
        <v>0.19999999999999996</v>
      </c>
      <c r="AL16" s="30">
        <v>6.0296371997956122E-2</v>
      </c>
      <c r="AM16" s="30">
        <v>0.27235564639754717</v>
      </c>
      <c r="AN16" s="30">
        <v>-0.2487727130702303</v>
      </c>
      <c r="AO16" s="30">
        <v>4.1223836894046197</v>
      </c>
      <c r="AP16" s="30">
        <v>0.36237976263983113</v>
      </c>
      <c r="AQ16" s="30">
        <v>0</v>
      </c>
      <c r="AR16" s="30">
        <v>0.44641537324464159</v>
      </c>
      <c r="AS16" s="30">
        <v>0.44641537324464164</v>
      </c>
      <c r="AT16" s="30">
        <v>0</v>
      </c>
      <c r="AU16" s="30">
        <v>-1.667076611444694</v>
      </c>
      <c r="AV16" s="30">
        <v>0.55996810546459708</v>
      </c>
      <c r="AW16" s="30">
        <v>0.875</v>
      </c>
      <c r="AX16" s="30">
        <v>0.1265611990008326</v>
      </c>
      <c r="AY16" s="30">
        <v>1.1123022481265612</v>
      </c>
      <c r="AZ16" s="30">
        <v>0.50586270110806852</v>
      </c>
      <c r="BA16" s="30">
        <v>-0.42275489111143588</v>
      </c>
      <c r="BB16" s="30">
        <v>2.9054649936472869</v>
      </c>
      <c r="BC16" s="30">
        <v>3</v>
      </c>
      <c r="BD16" s="30">
        <v>0</v>
      </c>
      <c r="BE16" s="30">
        <v>0</v>
      </c>
      <c r="BF16" s="30">
        <v>0</v>
      </c>
      <c r="BG16" s="30">
        <v>6.4880489160644705E-2</v>
      </c>
      <c r="BH16" s="30">
        <v>1.30775569651789</v>
      </c>
      <c r="BI16" s="30">
        <v>0</v>
      </c>
      <c r="BJ16" s="30">
        <v>0</v>
      </c>
      <c r="BK16" s="30">
        <v>0</v>
      </c>
      <c r="BL16" s="30">
        <v>0</v>
      </c>
      <c r="BM16" s="30">
        <v>-8.4883449883449877</v>
      </c>
      <c r="BN16" s="30">
        <v>0</v>
      </c>
      <c r="BO16" s="30">
        <v>0</v>
      </c>
      <c r="BP16" s="30">
        <v>0</v>
      </c>
      <c r="BQ16" s="30">
        <v>0</v>
      </c>
      <c r="BR16" s="30">
        <v>0</v>
      </c>
      <c r="BS16" s="30">
        <v>0</v>
      </c>
    </row>
    <row r="17" spans="2:71" x14ac:dyDescent="0.2">
      <c r="B17" s="51">
        <v>15</v>
      </c>
      <c r="C17" t="str">
        <v>The Critical, UAB</v>
      </c>
      <c r="D17" s="31">
        <f t="shared" si="0"/>
        <v>0.38069432355420973</v>
      </c>
      <c r="E17" s="33">
        <f t="shared" si="1"/>
        <v>0.05</v>
      </c>
      <c r="F17" s="33">
        <f t="shared" si="2"/>
        <v>0.12</v>
      </c>
      <c r="G17" s="33">
        <f t="shared" si="3"/>
        <v>0.42</v>
      </c>
      <c r="H17" s="34">
        <f t="shared" si="4"/>
        <v>0.31</v>
      </c>
      <c r="I17" s="15">
        <v>15</v>
      </c>
      <c r="J17" t="str">
        <v>SuperYou, UAB</v>
      </c>
      <c r="K17" s="30">
        <f t="shared" si="5"/>
        <v>0.28970906000382612</v>
      </c>
      <c r="L17" s="30">
        <f t="shared" si="6"/>
        <v>-0.17096399293846642</v>
      </c>
      <c r="M17" s="30">
        <f t="shared" si="7"/>
        <v>3.5602974002915122E-3</v>
      </c>
      <c r="N17" s="30">
        <f t="shared" si="8"/>
        <v>0.39600054637344617</v>
      </c>
      <c r="O17" s="70">
        <f t="shared" si="9"/>
        <v>0.51473770892042103</v>
      </c>
      <c r="P17" s="51">
        <v>15</v>
      </c>
      <c r="Q17" t="str">
        <v>Evo Media, UAB</v>
      </c>
      <c r="R17" s="33">
        <f t="shared" si="10"/>
        <v>1.64</v>
      </c>
      <c r="S17" s="33">
        <f t="shared" si="11"/>
        <v>67.06</v>
      </c>
      <c r="T17" s="33">
        <f t="shared" si="12"/>
        <v>-0.97</v>
      </c>
      <c r="U17" s="33">
        <f t="shared" si="13"/>
        <v>-0.31</v>
      </c>
      <c r="V17" s="56">
        <f t="shared" si="14"/>
        <v>58.46</v>
      </c>
      <c r="AH17" t="s">
        <v>1437</v>
      </c>
      <c r="AI17" t="s">
        <v>1438</v>
      </c>
      <c r="AJ17" s="30">
        <v>-0.08</v>
      </c>
      <c r="AK17" s="30">
        <v>5.555555555555558E-2</v>
      </c>
      <c r="AL17" s="30">
        <v>0.02</v>
      </c>
      <c r="AM17" s="30">
        <v>7.152069410247397E-2</v>
      </c>
      <c r="AN17" s="30">
        <v>-0.12104150723370144</v>
      </c>
      <c r="AO17" s="30">
        <v>-33.090000000000003</v>
      </c>
      <c r="AP17" s="30">
        <v>0.13</v>
      </c>
      <c r="AQ17" s="30">
        <v>-0.21739130434782605</v>
      </c>
      <c r="AR17" s="30">
        <v>0.06</v>
      </c>
      <c r="AS17" s="30">
        <v>-0.17257102203825569</v>
      </c>
      <c r="AT17" s="30">
        <v>0.43790411655931583</v>
      </c>
      <c r="AU17" s="30">
        <v>2.52</v>
      </c>
      <c r="AV17" s="30">
        <v>7.0000000000000007E-2</v>
      </c>
      <c r="AW17" s="30">
        <v>4.5454545454545414E-2</v>
      </c>
      <c r="AX17" s="30">
        <v>0.14000000000000001</v>
      </c>
      <c r="AY17" s="30">
        <v>0.19372707971434089</v>
      </c>
      <c r="AZ17" s="30">
        <v>-3.235219944518497E-2</v>
      </c>
      <c r="BA17" s="30">
        <v>-0.88</v>
      </c>
      <c r="BB17" s="30">
        <v>0.1</v>
      </c>
      <c r="BC17" s="30">
        <v>4.7619047619047672E-2</v>
      </c>
      <c r="BD17" s="30">
        <v>0.04</v>
      </c>
      <c r="BE17" s="30">
        <v>8.9727410398788399E-2</v>
      </c>
      <c r="BF17" s="30">
        <v>2.2132059525210579E-3</v>
      </c>
      <c r="BG17" s="30">
        <v>1.05</v>
      </c>
      <c r="BH17" s="30">
        <v>-0.6</v>
      </c>
      <c r="BI17" s="30">
        <v>-0.36363636363636365</v>
      </c>
      <c r="BJ17" s="30">
        <v>0.18</v>
      </c>
      <c r="BK17" s="30">
        <v>-0.24726892751971119</v>
      </c>
      <c r="BL17" s="30">
        <v>-0.67153387911942142</v>
      </c>
      <c r="BM17" s="30">
        <v>-2.39</v>
      </c>
      <c r="BN17" s="30">
        <v>0</v>
      </c>
      <c r="BO17" s="30">
        <v>0</v>
      </c>
      <c r="BP17" s="30">
        <v>0</v>
      </c>
      <c r="BQ17" s="30">
        <v>0</v>
      </c>
      <c r="BR17" s="30">
        <v>0</v>
      </c>
      <c r="BS17" s="30">
        <v>0</v>
      </c>
    </row>
    <row r="18" spans="2:71" x14ac:dyDescent="0.2">
      <c r="B18" s="51">
        <v>16</v>
      </c>
      <c r="C18" t="str">
        <v>Expertmedia, UAB</v>
      </c>
      <c r="D18" s="31">
        <f t="shared" si="0"/>
        <v>0.36205534014113278</v>
      </c>
      <c r="E18" s="33">
        <f t="shared" si="1"/>
        <v>0.24517353309302339</v>
      </c>
      <c r="F18" s="33">
        <f t="shared" si="2"/>
        <v>0.46359137577284248</v>
      </c>
      <c r="G18" s="33">
        <f t="shared" si="3"/>
        <v>0.67853320292676633</v>
      </c>
      <c r="H18" s="34">
        <f t="shared" si="4"/>
        <v>9.167136119633712E-3</v>
      </c>
      <c r="I18" s="15">
        <v>16</v>
      </c>
      <c r="J18" t="str">
        <v>Influenceriai.lt, UAB</v>
      </c>
      <c r="K18" s="30">
        <f t="shared" si="5"/>
        <v>0.26156766150951283</v>
      </c>
      <c r="L18" s="30">
        <f t="shared" si="6"/>
        <v>4.3258957327235059E-2</v>
      </c>
      <c r="M18" s="30">
        <f t="shared" si="7"/>
        <v>0.20626741554002659</v>
      </c>
      <c r="N18" s="30">
        <f t="shared" si="8"/>
        <v>0.50983756137225567</v>
      </c>
      <c r="O18" s="70">
        <f t="shared" si="9"/>
        <v>0.76468590831918504</v>
      </c>
      <c r="P18" s="51">
        <v>16</v>
      </c>
      <c r="Q18" t="str">
        <v>Visetas, UAB</v>
      </c>
      <c r="R18" s="33">
        <f t="shared" si="10"/>
        <v>1.4741753224517751</v>
      </c>
      <c r="S18" s="33">
        <f t="shared" si="11"/>
        <v>0.36885277918831288</v>
      </c>
      <c r="T18" s="33">
        <f t="shared" si="12"/>
        <v>-1.36942813027605</v>
      </c>
      <c r="U18" s="33">
        <f t="shared" si="13"/>
        <v>0.52597273908352227</v>
      </c>
      <c r="V18" s="56">
        <f t="shared" si="14"/>
        <v>0.33000439302972612</v>
      </c>
      <c r="AH18" t="s">
        <v>1439</v>
      </c>
      <c r="AI18" t="s">
        <v>1440</v>
      </c>
      <c r="AJ18" s="30">
        <v>0.54</v>
      </c>
      <c r="AK18" s="30">
        <v>0</v>
      </c>
      <c r="AL18" s="30">
        <v>0.16</v>
      </c>
      <c r="AM18" s="30">
        <v>0.15678524374176539</v>
      </c>
      <c r="AN18" s="30">
        <v>0.8029635591583939</v>
      </c>
      <c r="AO18" s="30">
        <v>0.64</v>
      </c>
      <c r="AP18" s="30">
        <v>0.1</v>
      </c>
      <c r="AQ18" s="30">
        <v>0.22222222222222232</v>
      </c>
      <c r="AR18" s="30">
        <v>0.01</v>
      </c>
      <c r="AS18" s="30">
        <v>0.23854027592345339</v>
      </c>
      <c r="AT18" s="30">
        <v>-0.1088046652856941</v>
      </c>
      <c r="AU18" s="30">
        <v>3.8</v>
      </c>
      <c r="AV18" s="30">
        <v>0.49</v>
      </c>
      <c r="AW18" s="30">
        <v>0.125</v>
      </c>
      <c r="AX18" s="30">
        <v>0.22</v>
      </c>
      <c r="AY18" s="30">
        <v>0.37067913786091911</v>
      </c>
      <c r="AZ18" s="30">
        <v>1.162824753814955</v>
      </c>
      <c r="BA18" s="30">
        <v>-1.23</v>
      </c>
      <c r="BB18" s="30">
        <v>0.44</v>
      </c>
      <c r="BC18" s="30">
        <v>0.33333333333333326</v>
      </c>
      <c r="BD18" s="30">
        <v>0.41</v>
      </c>
      <c r="BE18" s="30">
        <v>0.88320888378326634</v>
      </c>
      <c r="BF18" s="30">
        <v>0.4363505553307252</v>
      </c>
      <c r="BG18" s="30">
        <v>-7.0000000000000007E-2</v>
      </c>
      <c r="BH18" s="30">
        <v>0.86</v>
      </c>
      <c r="BI18" s="30">
        <v>-0.1428571428571429</v>
      </c>
      <c r="BJ18" s="30">
        <v>0</v>
      </c>
      <c r="BK18" s="30">
        <v>-0.14433158584534733</v>
      </c>
      <c r="BL18" s="30">
        <v>0.40709625713562603</v>
      </c>
      <c r="BM18" s="30">
        <v>2.83</v>
      </c>
      <c r="BN18" s="30">
        <v>0</v>
      </c>
      <c r="BO18" s="30">
        <v>0</v>
      </c>
      <c r="BP18" s="30">
        <v>0</v>
      </c>
      <c r="BQ18" s="30">
        <v>0</v>
      </c>
      <c r="BR18" s="30">
        <v>0</v>
      </c>
      <c r="BS18" s="30">
        <v>0</v>
      </c>
    </row>
    <row r="19" spans="2:71" x14ac:dyDescent="0.2">
      <c r="B19" s="51">
        <v>17</v>
      </c>
      <c r="C19" t="str">
        <v>Whatabout.agency, UAB</v>
      </c>
      <c r="D19" s="31">
        <f t="shared" si="0"/>
        <v>0.36110212139031977</v>
      </c>
      <c r="E19" s="33">
        <f t="shared" si="1"/>
        <v>0.24639479454185589</v>
      </c>
      <c r="F19" s="33">
        <f t="shared" si="2"/>
        <v>6.4296028462424992E-3</v>
      </c>
      <c r="G19" s="33">
        <f t="shared" si="3"/>
        <v>2.5902765647444679</v>
      </c>
      <c r="H19" s="34">
        <f t="shared" si="4"/>
        <v>0.70683311294050788</v>
      </c>
      <c r="I19" s="15">
        <v>17</v>
      </c>
      <c r="J19" t="str">
        <v>Publicum, UAB</v>
      </c>
      <c r="K19" s="30">
        <f t="shared" si="5"/>
        <v>0.24647391473737645</v>
      </c>
      <c r="L19" s="30">
        <f t="shared" si="6"/>
        <v>-0.12619955038524255</v>
      </c>
      <c r="M19" s="30">
        <f t="shared" si="7"/>
        <v>-5.2426072938005164E-2</v>
      </c>
      <c r="N19" s="30">
        <f t="shared" si="8"/>
        <v>0.36448355302119273</v>
      </c>
      <c r="O19" s="70">
        <f t="shared" si="9"/>
        <v>-0.15586338714631465</v>
      </c>
      <c r="P19" s="51">
        <v>17</v>
      </c>
      <c r="Q19" t="str">
        <v>Skaitmeninė reklama, UAB</v>
      </c>
      <c r="R19" s="33">
        <f t="shared" si="10"/>
        <v>1.47</v>
      </c>
      <c r="S19" s="33">
        <f t="shared" si="11"/>
        <v>-0.63</v>
      </c>
      <c r="T19" s="33">
        <f t="shared" si="12"/>
        <v>0.85</v>
      </c>
      <c r="U19" s="33">
        <f t="shared" si="13"/>
        <v>-0.28999999999999998</v>
      </c>
      <c r="V19" s="56">
        <f t="shared" si="14"/>
        <v>0</v>
      </c>
      <c r="AH19" t="s">
        <v>1106</v>
      </c>
      <c r="AI19" t="s">
        <v>1441</v>
      </c>
      <c r="AJ19" s="30">
        <v>0.41171022335913388</v>
      </c>
      <c r="AK19" s="30">
        <v>0.21052631578947367</v>
      </c>
      <c r="AL19" s="30">
        <v>5.659203980099492E-2</v>
      </c>
      <c r="AM19" s="30">
        <v>0.27903246923278346</v>
      </c>
      <c r="AN19" s="30">
        <v>0.42207619125513762</v>
      </c>
      <c r="AO19" s="30">
        <v>0.27967049755559059</v>
      </c>
      <c r="AP19" s="30">
        <v>0.21611505730103969</v>
      </c>
      <c r="AQ19" s="30">
        <v>2.7027027027026973E-2</v>
      </c>
      <c r="AR19" s="30">
        <v>7.2357452484161477E-2</v>
      </c>
      <c r="AS19" s="30">
        <v>0.10134008633508462</v>
      </c>
      <c r="AT19" s="30">
        <v>0.22971830666133397</v>
      </c>
      <c r="AU19" s="30">
        <v>-4.690285231155833E-2</v>
      </c>
      <c r="AV19" s="30">
        <v>0.26517064797692402</v>
      </c>
      <c r="AW19" s="30">
        <v>0.15625</v>
      </c>
      <c r="AX19" s="30">
        <v>0.18070866141732281</v>
      </c>
      <c r="AY19" s="30">
        <v>0.36519438976377949</v>
      </c>
      <c r="AZ19" s="30">
        <v>0.2654303669767708</v>
      </c>
      <c r="BA19" s="30">
        <v>2.1529625426741861E-2</v>
      </c>
      <c r="BB19" s="30">
        <v>0.34891473393038658</v>
      </c>
      <c r="BC19" s="30">
        <v>0.18518518518518512</v>
      </c>
      <c r="BD19" s="30">
        <v>6.1872909698996732E-2</v>
      </c>
      <c r="BE19" s="30">
        <v>0.2585160411247367</v>
      </c>
      <c r="BF19" s="30">
        <v>0.34809795531653376</v>
      </c>
      <c r="BG19" s="30">
        <v>0.66623760278545063</v>
      </c>
      <c r="BH19" s="30">
        <v>9.1742836379309356E-3</v>
      </c>
      <c r="BI19" s="30">
        <v>-3.5714285714285698E-2</v>
      </c>
      <c r="BJ19" s="30">
        <v>0.1012891344383058</v>
      </c>
      <c r="BK19" s="30">
        <v>6.1957379636937704E-2</v>
      </c>
      <c r="BL19" s="30">
        <v>7.8775005519982066E-3</v>
      </c>
      <c r="BM19" s="30">
        <v>-7.862499263362599E-2</v>
      </c>
      <c r="BN19" s="30">
        <v>0</v>
      </c>
      <c r="BO19" s="30">
        <v>0</v>
      </c>
      <c r="BP19" s="30">
        <v>0</v>
      </c>
      <c r="BQ19" s="30">
        <v>0</v>
      </c>
      <c r="BR19" s="30">
        <v>0</v>
      </c>
      <c r="BS19" s="30">
        <v>0</v>
      </c>
    </row>
    <row r="20" spans="2:71" x14ac:dyDescent="0.2">
      <c r="B20" s="51">
        <v>18</v>
      </c>
      <c r="C20" t="str">
        <v>Synthesis Consulting Group, UAB</v>
      </c>
      <c r="D20" s="31">
        <f t="shared" si="0"/>
        <v>0.34218873721592941</v>
      </c>
      <c r="E20" s="33">
        <f t="shared" si="1"/>
        <v>0.37571490445328082</v>
      </c>
      <c r="F20" s="33">
        <f t="shared" si="2"/>
        <v>0.24729237177818281</v>
      </c>
      <c r="G20" s="33">
        <f t="shared" si="3"/>
        <v>0.35996795701637341</v>
      </c>
      <c r="H20" s="34">
        <f t="shared" si="4"/>
        <v>0.37761755963722288</v>
      </c>
      <c r="I20" s="15">
        <v>18</v>
      </c>
      <c r="J20" t="str">
        <v>Totem promo, UAB</v>
      </c>
      <c r="K20" s="30">
        <f t="shared" si="5"/>
        <v>0.24174306177180949</v>
      </c>
      <c r="L20" s="30">
        <f t="shared" si="6"/>
        <v>0.36826517729651109</v>
      </c>
      <c r="M20" s="30">
        <f t="shared" si="7"/>
        <v>0.37937965143980734</v>
      </c>
      <c r="N20" s="30">
        <f t="shared" si="8"/>
        <v>5.7838860473288456E-2</v>
      </c>
      <c r="O20" s="70">
        <f t="shared" si="9"/>
        <v>-0.14476915557903114</v>
      </c>
      <c r="P20" s="51">
        <v>18</v>
      </c>
      <c r="Q20" t="str">
        <v>Particle PR, UAB</v>
      </c>
      <c r="R20" s="33">
        <f t="shared" si="10"/>
        <v>1.4028385340721301</v>
      </c>
      <c r="S20" s="33">
        <f t="shared" si="11"/>
        <v>0</v>
      </c>
      <c r="T20" s="33">
        <f t="shared" si="12"/>
        <v>0</v>
      </c>
      <c r="U20" s="33">
        <f t="shared" si="13"/>
        <v>0</v>
      </c>
      <c r="V20" s="56">
        <f t="shared" si="14"/>
        <v>0</v>
      </c>
      <c r="AH20" t="s">
        <v>1443</v>
      </c>
      <c r="AI20" t="s">
        <v>1444</v>
      </c>
      <c r="AJ20" s="30">
        <v>-0.21</v>
      </c>
      <c r="AK20" s="30">
        <v>0</v>
      </c>
      <c r="AL20" s="30">
        <v>0.06</v>
      </c>
      <c r="AM20" s="30">
        <v>5.6557776694295514E-2</v>
      </c>
      <c r="AN20" s="30">
        <v>-0.25103825986092754</v>
      </c>
      <c r="AO20" s="30">
        <v>-0.34</v>
      </c>
      <c r="AP20" s="30">
        <v>-0.1</v>
      </c>
      <c r="AQ20" s="30">
        <v>0</v>
      </c>
      <c r="AR20" s="30">
        <v>0.09</v>
      </c>
      <c r="AS20" s="30">
        <v>8.7486744432661689E-2</v>
      </c>
      <c r="AT20" s="30">
        <v>-0.14678914059096426</v>
      </c>
      <c r="AU20" s="30">
        <v>0.26</v>
      </c>
      <c r="AV20" s="30">
        <v>-0.23</v>
      </c>
      <c r="AW20" s="30">
        <v>0</v>
      </c>
      <c r="AX20" s="30">
        <v>0.11</v>
      </c>
      <c r="AY20" s="30">
        <v>0.10680751173708924</v>
      </c>
      <c r="AZ20" s="30">
        <v>-0.27421225207933464</v>
      </c>
      <c r="BA20" s="30">
        <v>0.04</v>
      </c>
      <c r="BB20" s="30">
        <v>0.61</v>
      </c>
      <c r="BC20" s="30">
        <v>0.16666666666666674</v>
      </c>
      <c r="BD20" s="30">
        <v>-0.08</v>
      </c>
      <c r="BE20" s="30">
        <v>7.5175770686857657E-2</v>
      </c>
      <c r="BF20" s="30">
        <v>0.71739675070740461</v>
      </c>
      <c r="BG20" s="30">
        <v>0.23</v>
      </c>
      <c r="BH20" s="30">
        <v>0.04</v>
      </c>
      <c r="BI20" s="30">
        <v>0</v>
      </c>
      <c r="BJ20" s="30">
        <v>0.37</v>
      </c>
      <c r="BK20" s="30">
        <v>0.37268002969561986</v>
      </c>
      <c r="BL20" s="30">
        <v>-1.9635169164534672E-3</v>
      </c>
      <c r="BM20" s="30">
        <v>0.08</v>
      </c>
      <c r="BN20" s="30">
        <v>0</v>
      </c>
      <c r="BO20" s="30">
        <v>0</v>
      </c>
      <c r="BP20" s="30">
        <v>0</v>
      </c>
      <c r="BQ20" s="30">
        <v>0</v>
      </c>
      <c r="BR20" s="30">
        <v>0</v>
      </c>
      <c r="BS20" s="30">
        <v>0</v>
      </c>
    </row>
    <row r="21" spans="2:71" x14ac:dyDescent="0.2">
      <c r="B21" s="51">
        <v>19</v>
      </c>
      <c r="C21" t="str">
        <v>Influenceriai.lt, UAB</v>
      </c>
      <c r="D21" s="31">
        <f t="shared" si="0"/>
        <v>0.27481898791106191</v>
      </c>
      <c r="E21" s="33">
        <f t="shared" si="1"/>
        <v>6.9220868209375119E-2</v>
      </c>
      <c r="F21" s="33">
        <f t="shared" si="2"/>
        <v>0.20613023432749039</v>
      </c>
      <c r="G21" s="33">
        <f t="shared" si="3"/>
        <v>0.48935592949836909</v>
      </c>
      <c r="H21" s="34">
        <f t="shared" si="4"/>
        <v>0.71121963209452144</v>
      </c>
      <c r="I21" s="15">
        <v>19</v>
      </c>
      <c r="J21" t="str">
        <v>SEOvoras, UAB</v>
      </c>
      <c r="K21" s="30">
        <f t="shared" si="5"/>
        <v>0.22362422634520285</v>
      </c>
      <c r="L21" s="30">
        <f t="shared" si="6"/>
        <v>-1.9842924781226623E-2</v>
      </c>
      <c r="M21" s="30">
        <f t="shared" si="7"/>
        <v>0.67681937849654461</v>
      </c>
      <c r="N21" s="30">
        <f t="shared" si="8"/>
        <v>0.5580153999688704</v>
      </c>
      <c r="O21" s="70">
        <f t="shared" si="9"/>
        <v>0.28866733526045651</v>
      </c>
      <c r="P21" s="51">
        <v>19</v>
      </c>
      <c r="Q21" t="str">
        <v>Havas Media, UAB</v>
      </c>
      <c r="R21" s="33">
        <f t="shared" si="10"/>
        <v>1.001202146113195</v>
      </c>
      <c r="S21" s="33">
        <f t="shared" si="11"/>
        <v>-8.1752852274410981E-2</v>
      </c>
      <c r="T21" s="33">
        <f t="shared" si="12"/>
        <v>-0.58153392092609413</v>
      </c>
      <c r="U21" s="33">
        <f t="shared" si="13"/>
        <v>0.1599128336611659</v>
      </c>
      <c r="V21" s="56">
        <f t="shared" si="14"/>
        <v>-7.8507261888588031E-2</v>
      </c>
      <c r="AH21" t="s">
        <v>387</v>
      </c>
      <c r="AI21" t="s">
        <v>1445</v>
      </c>
      <c r="AJ21" s="30">
        <v>-0.1865861744581129</v>
      </c>
      <c r="AK21" s="30">
        <v>-7.6923076923076872E-2</v>
      </c>
      <c r="AL21" s="30">
        <v>7.3523660539694946E-2</v>
      </c>
      <c r="AM21" s="30">
        <v>-9.0550825787431011E-3</v>
      </c>
      <c r="AN21" s="30">
        <v>-0.26449296658280319</v>
      </c>
      <c r="AO21" s="30">
        <v>0.2767223216510728</v>
      </c>
      <c r="AP21" s="30">
        <v>0.17558257451709139</v>
      </c>
      <c r="AQ21" s="30">
        <v>-3.703703703703709E-2</v>
      </c>
      <c r="AR21" s="30">
        <v>0.1088464874241111</v>
      </c>
      <c r="AS21" s="30">
        <v>6.777809900099574E-2</v>
      </c>
      <c r="AT21" s="30">
        <v>0.25210645339084392</v>
      </c>
      <c r="AU21" s="30">
        <v>-0.21728321505959791</v>
      </c>
      <c r="AV21" s="30">
        <v>7.1470836021403361E-2</v>
      </c>
      <c r="AW21" s="30">
        <v>3.8461538461538547E-2</v>
      </c>
      <c r="AX21" s="30">
        <v>0.1248780487804879</v>
      </c>
      <c r="AY21" s="30">
        <v>0.1681425891181989</v>
      </c>
      <c r="AZ21" s="30">
        <v>2.6844783087975665E-2</v>
      </c>
      <c r="BA21" s="30">
        <v>0.28483161170675692</v>
      </c>
      <c r="BB21" s="30">
        <v>0.22698021037511859</v>
      </c>
      <c r="BC21" s="30">
        <v>0.23809523809523814</v>
      </c>
      <c r="BD21" s="30">
        <v>7.2175732217573119E-2</v>
      </c>
      <c r="BE21" s="30">
        <v>0.32745566845985263</v>
      </c>
      <c r="BF21" s="30">
        <v>0.21882288159985985</v>
      </c>
      <c r="BG21" s="30">
        <v>7.0347592409248927E-2</v>
      </c>
      <c r="BH21" s="30">
        <v>-6.8945927836267185E-2</v>
      </c>
      <c r="BI21" s="30">
        <v>0</v>
      </c>
      <c r="BJ21" s="30">
        <v>-3.1898734177215227E-2</v>
      </c>
      <c r="BK21" s="30">
        <v>-3.1898734177215227E-2</v>
      </c>
      <c r="BL21" s="30">
        <v>-0.12803627400527362</v>
      </c>
      <c r="BM21" s="30">
        <v>1.1668586525759581</v>
      </c>
      <c r="BN21" s="30">
        <v>0</v>
      </c>
      <c r="BO21" s="30">
        <v>0</v>
      </c>
      <c r="BP21" s="30">
        <v>0</v>
      </c>
      <c r="BQ21" s="30">
        <v>0</v>
      </c>
      <c r="BR21" s="30">
        <v>0</v>
      </c>
      <c r="BS21" s="30">
        <v>0</v>
      </c>
    </row>
    <row r="22" spans="2:71" x14ac:dyDescent="0.2">
      <c r="B22" s="51">
        <v>20</v>
      </c>
      <c r="C22" t="str">
        <v>Totem promo, UAB</v>
      </c>
      <c r="D22" s="31">
        <f t="shared" si="0"/>
        <v>0.23</v>
      </c>
      <c r="E22" s="33">
        <f t="shared" si="1"/>
        <v>0.28999999999999998</v>
      </c>
      <c r="F22" s="33">
        <f t="shared" si="2"/>
        <v>0.27</v>
      </c>
      <c r="G22" s="33">
        <f t="shared" si="3"/>
        <v>0.11</v>
      </c>
      <c r="H22" s="34">
        <f t="shared" si="4"/>
        <v>-0.01</v>
      </c>
      <c r="I22" s="15">
        <v>20</v>
      </c>
      <c r="J22" t="str">
        <v>VRS WPI Vilnius, UAB</v>
      </c>
      <c r="K22" s="30">
        <f t="shared" si="5"/>
        <v>0.21360971780725824</v>
      </c>
      <c r="L22" s="30">
        <f t="shared" si="6"/>
        <v>0</v>
      </c>
      <c r="M22" s="30">
        <f t="shared" si="7"/>
        <v>0</v>
      </c>
      <c r="N22" s="30">
        <f t="shared" si="8"/>
        <v>0</v>
      </c>
      <c r="O22" s="70">
        <f t="shared" si="9"/>
        <v>-1</v>
      </c>
      <c r="P22" s="51">
        <v>20</v>
      </c>
      <c r="Q22" t="str">
        <v>Trendmark, UAB</v>
      </c>
      <c r="R22" s="33">
        <f t="shared" si="10"/>
        <v>0.96961888782358585</v>
      </c>
      <c r="S22" s="33">
        <f t="shared" si="11"/>
        <v>-0.32801127497860771</v>
      </c>
      <c r="T22" s="33">
        <f t="shared" si="12"/>
        <v>-0.7079138340664769</v>
      </c>
      <c r="U22" s="33">
        <f t="shared" si="13"/>
        <v>0.40034587828378498</v>
      </c>
      <c r="V22" s="56">
        <f t="shared" si="14"/>
        <v>3.253314418816442</v>
      </c>
      <c r="AH22" t="s">
        <v>715</v>
      </c>
      <c r="AI22" t="s">
        <v>1449</v>
      </c>
      <c r="AJ22" s="30">
        <v>-3.8703210556237037E-2</v>
      </c>
      <c r="AK22" s="30">
        <v>0</v>
      </c>
      <c r="AL22" s="30">
        <v>4.914640455250896E-2</v>
      </c>
      <c r="AM22" s="30">
        <v>4.914640455250896E-2</v>
      </c>
      <c r="AN22" s="30">
        <v>-1.8579293596726609E-3</v>
      </c>
      <c r="AO22" s="30">
        <v>-0.66245103961650131</v>
      </c>
      <c r="AP22" s="30">
        <v>0.44415517073750399</v>
      </c>
      <c r="AQ22" s="30">
        <v>0.19999999999999996</v>
      </c>
      <c r="AR22" s="30">
        <v>0.36607773851590109</v>
      </c>
      <c r="AS22" s="30">
        <v>0.63929328621908121</v>
      </c>
      <c r="AT22" s="30">
        <v>9.59117144078665E-2</v>
      </c>
      <c r="AU22" s="30">
        <v>2.8422431865828091</v>
      </c>
      <c r="AV22" s="30">
        <v>0.79950040337081929</v>
      </c>
      <c r="AW22" s="30">
        <v>0.25</v>
      </c>
      <c r="AX22" s="30">
        <v>0.2368881118881119</v>
      </c>
      <c r="AY22" s="30">
        <v>0.54611013986013979</v>
      </c>
      <c r="AZ22" s="30">
        <v>1.0060034305317322</v>
      </c>
      <c r="BA22" s="30">
        <v>4.0172802404207362</v>
      </c>
      <c r="BB22" s="30">
        <v>0.84959864807773555</v>
      </c>
      <c r="BC22" s="30">
        <v>0.33333333333333326</v>
      </c>
      <c r="BD22" s="30">
        <v>0.25027322404371583</v>
      </c>
      <c r="BE22" s="30">
        <v>0.6670309653916211</v>
      </c>
      <c r="BF22" s="30">
        <v>1.0560294474200447</v>
      </c>
      <c r="BG22" s="30">
        <v>0</v>
      </c>
      <c r="BH22" s="30">
        <v>0.45408323312594773</v>
      </c>
      <c r="BI22" s="30">
        <v>0.5</v>
      </c>
      <c r="BJ22" s="30">
        <v>0.1090909090909091</v>
      </c>
      <c r="BK22" s="30">
        <v>0.66363636363636358</v>
      </c>
      <c r="BL22" s="30">
        <v>0.14519019612792494</v>
      </c>
      <c r="BM22" s="30">
        <v>-1</v>
      </c>
      <c r="BN22" s="30">
        <v>0</v>
      </c>
      <c r="BO22" s="30">
        <v>0</v>
      </c>
      <c r="BP22" s="30">
        <v>0</v>
      </c>
      <c r="BQ22" s="30">
        <v>0</v>
      </c>
      <c r="BR22" s="30">
        <v>0</v>
      </c>
      <c r="BS22" s="30">
        <v>0</v>
      </c>
    </row>
    <row r="23" spans="2:71" x14ac:dyDescent="0.2">
      <c r="B23" s="51">
        <v>21</v>
      </c>
      <c r="C23" t="str">
        <v>Wide Wings, UAB</v>
      </c>
      <c r="D23" s="31">
        <f t="shared" si="0"/>
        <v>0.21</v>
      </c>
      <c r="E23" s="33">
        <f t="shared" si="1"/>
        <v>-0.02</v>
      </c>
      <c r="F23" s="33">
        <f t="shared" si="2"/>
        <v>-0.09</v>
      </c>
      <c r="G23" s="33">
        <f t="shared" si="3"/>
        <v>0.14000000000000001</v>
      </c>
      <c r="H23" s="34">
        <f t="shared" si="4"/>
        <v>0.21</v>
      </c>
      <c r="I23" s="15">
        <v>21</v>
      </c>
      <c r="J23" t="str">
        <v>Meta advisory Lithuania, UAB</v>
      </c>
      <c r="K23" s="30">
        <f t="shared" si="5"/>
        <v>0.19316795948815413</v>
      </c>
      <c r="L23" s="30">
        <f t="shared" si="6"/>
        <v>0</v>
      </c>
      <c r="M23" s="30">
        <f t="shared" si="7"/>
        <v>0</v>
      </c>
      <c r="N23" s="30">
        <f t="shared" si="8"/>
        <v>0</v>
      </c>
      <c r="O23" s="70">
        <f t="shared" si="9"/>
        <v>0</v>
      </c>
      <c r="P23" s="51">
        <v>21</v>
      </c>
      <c r="Q23" t="str">
        <v>Marios Agency, MB</v>
      </c>
      <c r="R23" s="33">
        <f t="shared" si="10"/>
        <v>0.83595371109337591</v>
      </c>
      <c r="S23" s="33">
        <f t="shared" si="11"/>
        <v>-5.9768131167223237E-2</v>
      </c>
      <c r="T23" s="33">
        <f t="shared" si="12"/>
        <v>0.91969173148948435</v>
      </c>
      <c r="U23" s="33">
        <f t="shared" si="13"/>
        <v>0.34684968715137998</v>
      </c>
      <c r="V23" s="56">
        <f t="shared" si="14"/>
        <v>0</v>
      </c>
      <c r="AH23" t="s">
        <v>1452</v>
      </c>
      <c r="AI23" t="s">
        <v>1453</v>
      </c>
      <c r="AJ23" s="30">
        <v>5.33</v>
      </c>
      <c r="AK23" s="30">
        <v>0</v>
      </c>
      <c r="AL23" s="30">
        <v>0.03</v>
      </c>
      <c r="AM23" s="30">
        <v>2.5364020666979847E-2</v>
      </c>
      <c r="AN23" s="30">
        <v>4.6359174086212178</v>
      </c>
      <c r="AO23" s="30">
        <v>3.18</v>
      </c>
      <c r="AP23" s="30">
        <v>-0.69</v>
      </c>
      <c r="AQ23" s="30">
        <v>0</v>
      </c>
      <c r="AR23" s="30">
        <v>0.04</v>
      </c>
      <c r="AS23" s="30">
        <v>3.8536585365853693E-2</v>
      </c>
      <c r="AT23" s="30">
        <v>-0.66087174452806163</v>
      </c>
      <c r="AU23" s="30">
        <v>-4.66</v>
      </c>
      <c r="AV23" s="30">
        <v>-0.18</v>
      </c>
      <c r="AW23" s="30">
        <v>0</v>
      </c>
      <c r="AX23" s="30">
        <v>0.03</v>
      </c>
      <c r="AY23" s="30">
        <v>2.5512756378189172E-2</v>
      </c>
      <c r="AZ23" s="30">
        <v>-0.1641644694753347</v>
      </c>
      <c r="BA23" s="30">
        <v>-0.75</v>
      </c>
      <c r="BB23" s="30">
        <v>-0.17</v>
      </c>
      <c r="BC23" s="30">
        <v>0</v>
      </c>
      <c r="BD23" s="30">
        <v>0.02</v>
      </c>
      <c r="BE23" s="30">
        <v>1.885830784913356E-2</v>
      </c>
      <c r="BF23" s="30">
        <v>-0.17554752831994402</v>
      </c>
      <c r="BG23" s="30">
        <v>-0.15</v>
      </c>
      <c r="BH23" s="30">
        <v>0.02</v>
      </c>
      <c r="BI23" s="30">
        <v>-0.16666666666666663</v>
      </c>
      <c r="BJ23" s="30">
        <v>0.04</v>
      </c>
      <c r="BK23" s="30">
        <v>-0.13170472650026555</v>
      </c>
      <c r="BL23" s="30">
        <v>8.2930692901811875E-2</v>
      </c>
      <c r="BM23" s="30">
        <v>-0.53</v>
      </c>
      <c r="BN23" s="30">
        <v>0</v>
      </c>
      <c r="BO23" s="30">
        <v>0</v>
      </c>
      <c r="BP23" s="30">
        <v>0</v>
      </c>
      <c r="BQ23" s="30">
        <v>0</v>
      </c>
      <c r="BR23" s="30">
        <v>0</v>
      </c>
      <c r="BS23" s="30">
        <v>0</v>
      </c>
    </row>
    <row r="24" spans="2:71" x14ac:dyDescent="0.2">
      <c r="B24" s="51">
        <v>22</v>
      </c>
      <c r="C24" t="str">
        <v>INK Agency, UAB</v>
      </c>
      <c r="D24" s="31">
        <f t="shared" si="0"/>
        <v>0.197790539175662</v>
      </c>
      <c r="E24" s="33">
        <f t="shared" si="1"/>
        <v>-5.9656291838677038E-2</v>
      </c>
      <c r="F24" s="33">
        <f t="shared" si="2"/>
        <v>0.17193214321123459</v>
      </c>
      <c r="G24" s="33">
        <f t="shared" si="3"/>
        <v>0.28998995526624571</v>
      </c>
      <c r="H24" s="34">
        <f t="shared" si="4"/>
        <v>0.1529983375416484</v>
      </c>
      <c r="I24" s="15">
        <v>22</v>
      </c>
      <c r="J24" t="str">
        <v>Lion Communications Vilnius, UAB</v>
      </c>
      <c r="K24" s="30">
        <f t="shared" si="5"/>
        <v>0.18866722775459421</v>
      </c>
      <c r="L24" s="30">
        <f t="shared" si="6"/>
        <v>0.50416166435318388</v>
      </c>
      <c r="M24" s="30">
        <f t="shared" si="7"/>
        <v>-0.22188094445329121</v>
      </c>
      <c r="N24" s="30">
        <f t="shared" si="8"/>
        <v>0.98950797141009339</v>
      </c>
      <c r="O24" s="70">
        <f t="shared" si="9"/>
        <v>-0.15134363613654411</v>
      </c>
      <c r="P24" s="51">
        <v>22</v>
      </c>
      <c r="Q24" t="str">
        <v>Influenceriai.lt, UAB</v>
      </c>
      <c r="R24" s="33">
        <f t="shared" si="10"/>
        <v>0.70960249679432907</v>
      </c>
      <c r="S24" s="33">
        <f t="shared" si="11"/>
        <v>2.2784453698195519</v>
      </c>
      <c r="T24" s="33">
        <f t="shared" si="12"/>
        <v>-0.70164353413084379</v>
      </c>
      <c r="U24" s="33">
        <f t="shared" si="13"/>
        <v>2.8701844075223581E-2</v>
      </c>
      <c r="V24" s="56">
        <f t="shared" si="14"/>
        <v>0.24707793193478839</v>
      </c>
      <c r="AH24" t="s">
        <v>1233</v>
      </c>
      <c r="AI24" t="s">
        <v>1454</v>
      </c>
      <c r="AJ24" s="30">
        <v>-0.02</v>
      </c>
      <c r="AK24" s="30">
        <v>0</v>
      </c>
      <c r="AL24" s="30">
        <v>-0.02</v>
      </c>
      <c r="AM24" s="30">
        <v>-1.7375400091449444E-2</v>
      </c>
      <c r="AN24" s="30">
        <v>3.8963687560600313E-3</v>
      </c>
      <c r="AO24" s="30">
        <v>-0.35</v>
      </c>
      <c r="AP24" s="30">
        <v>-0.04</v>
      </c>
      <c r="AQ24" s="30">
        <v>-9.9999999999999978E-2</v>
      </c>
      <c r="AR24" s="30">
        <v>0.11</v>
      </c>
      <c r="AS24" s="30">
        <v>1.524390243903273E-4</v>
      </c>
      <c r="AT24" s="30">
        <v>-0.15060462487121895</v>
      </c>
      <c r="AU24" s="30">
        <v>6.47</v>
      </c>
      <c r="AV24" s="30">
        <v>0.35</v>
      </c>
      <c r="AW24" s="30">
        <v>0</v>
      </c>
      <c r="AX24" s="30">
        <v>0.14000000000000001</v>
      </c>
      <c r="AY24" s="30">
        <v>0.14086956521739125</v>
      </c>
      <c r="AZ24" s="30">
        <v>1.2034741614266293</v>
      </c>
      <c r="BA24" s="30">
        <v>-0.94</v>
      </c>
      <c r="BB24" s="30">
        <v>0.28999999999999998</v>
      </c>
      <c r="BC24" s="30">
        <v>0</v>
      </c>
      <c r="BD24" s="30">
        <v>0.16</v>
      </c>
      <c r="BE24" s="30">
        <v>0.16318273769386371</v>
      </c>
      <c r="BF24" s="30">
        <v>0.51288675460458322</v>
      </c>
      <c r="BG24" s="30">
        <v>0.32</v>
      </c>
      <c r="BH24" s="30">
        <v>0.13</v>
      </c>
      <c r="BI24" s="30">
        <v>0.25</v>
      </c>
      <c r="BJ24" s="30">
        <v>0.2</v>
      </c>
      <c r="BK24" s="30">
        <v>0.50466720779220786</v>
      </c>
      <c r="BL24" s="30">
        <v>-0.19046994176986798</v>
      </c>
      <c r="BM24" s="30">
        <v>0.03</v>
      </c>
      <c r="BN24" s="30">
        <v>0</v>
      </c>
      <c r="BO24" s="30">
        <v>0</v>
      </c>
      <c r="BP24" s="30">
        <v>0</v>
      </c>
      <c r="BQ24" s="30">
        <v>0</v>
      </c>
      <c r="BR24" s="30">
        <v>0</v>
      </c>
      <c r="BS24" s="30">
        <v>0</v>
      </c>
    </row>
    <row r="25" spans="2:71" x14ac:dyDescent="0.2">
      <c r="B25" s="51">
        <v>23</v>
      </c>
      <c r="C25" t="str">
        <v>Lion Communications Vilnius, UAB</v>
      </c>
      <c r="D25" s="31">
        <f t="shared" si="0"/>
        <v>0.19023364198789539</v>
      </c>
      <c r="E25" s="33">
        <f t="shared" si="1"/>
        <v>0.45851269817187967</v>
      </c>
      <c r="F25" s="33">
        <f t="shared" si="2"/>
        <v>-0.20345309655617891</v>
      </c>
      <c r="G25" s="33">
        <f t="shared" si="3"/>
        <v>0.87781181257318708</v>
      </c>
      <c r="H25" s="34">
        <f t="shared" si="4"/>
        <v>-0.12412114626891881</v>
      </c>
      <c r="I25" s="15">
        <v>23</v>
      </c>
      <c r="J25" t="str">
        <v>Fabula ir partneriai, UAB</v>
      </c>
      <c r="K25" s="30">
        <f t="shared" si="5"/>
        <v>0.1677372838410629</v>
      </c>
      <c r="L25" s="30">
        <f t="shared" si="6"/>
        <v>0.13616619794660911</v>
      </c>
      <c r="M25" s="30">
        <f t="shared" si="7"/>
        <v>0.201794484899946</v>
      </c>
      <c r="N25" s="30">
        <f t="shared" si="8"/>
        <v>0.4860414816733265</v>
      </c>
      <c r="O25" s="70">
        <f t="shared" si="9"/>
        <v>-0.12021868669983682</v>
      </c>
      <c r="P25" s="51">
        <v>23</v>
      </c>
      <c r="Q25" t="str">
        <v>6 Loops, UAB</v>
      </c>
      <c r="R25" s="33">
        <f t="shared" si="10"/>
        <v>0.68175221714592849</v>
      </c>
      <c r="S25" s="33">
        <f t="shared" si="11"/>
        <v>0</v>
      </c>
      <c r="T25" s="33">
        <f t="shared" si="12"/>
        <v>0</v>
      </c>
      <c r="U25" s="33">
        <f t="shared" si="13"/>
        <v>-1</v>
      </c>
      <c r="V25" s="56">
        <f t="shared" si="14"/>
        <v>-1.0003239390994489</v>
      </c>
      <c r="AH25" t="s">
        <v>71</v>
      </c>
      <c r="AI25" t="s">
        <v>1455</v>
      </c>
      <c r="AJ25" s="30">
        <v>0.16367007663130459</v>
      </c>
      <c r="AK25" s="30">
        <v>-7.3529411764705843E-2</v>
      </c>
      <c r="AL25" s="30">
        <v>9.2434501030320915E-2</v>
      </c>
      <c r="AM25" s="30">
        <v>1.2108434778091315E-2</v>
      </c>
      <c r="AN25" s="30">
        <v>0.13237969859124288</v>
      </c>
      <c r="AO25" s="30">
        <v>2.7471548600879272</v>
      </c>
      <c r="AP25" s="30">
        <v>7.9046062974923004E-2</v>
      </c>
      <c r="AQ25" s="30">
        <v>7.9365079365079305E-2</v>
      </c>
      <c r="AR25" s="30">
        <v>9.1580976863753216E-2</v>
      </c>
      <c r="AS25" s="30">
        <v>0.17821438772595588</v>
      </c>
      <c r="AT25" s="30">
        <v>6.7289644098348367E-2</v>
      </c>
      <c r="AU25" s="30">
        <v>0.27475669253520052</v>
      </c>
      <c r="AV25" s="30">
        <v>2.3421270254699231</v>
      </c>
      <c r="AW25" s="30">
        <v>2.3157894736842106</v>
      </c>
      <c r="AX25" s="30">
        <v>-7.2981829014000632E-2</v>
      </c>
      <c r="AY25" s="30">
        <v>2.0737970932693663</v>
      </c>
      <c r="AZ25" s="30">
        <v>2.3653076105943196</v>
      </c>
      <c r="BA25" s="30">
        <v>2.55149164624238</v>
      </c>
      <c r="BB25" s="30">
        <v>-1.319523830299274E-2</v>
      </c>
      <c r="BC25" s="30">
        <v>5.555555555555558E-2</v>
      </c>
      <c r="BD25" s="30">
        <v>2.6881720430107499E-3</v>
      </c>
      <c r="BE25" s="30">
        <v>5.8393070489844767E-2</v>
      </c>
      <c r="BF25" s="30">
        <v>-3.0575042326764779E-3</v>
      </c>
      <c r="BG25" s="30">
        <v>-0.54770741294178793</v>
      </c>
      <c r="BH25" s="30">
        <v>-5.6048451541826916E-3</v>
      </c>
      <c r="BI25" s="30">
        <v>0</v>
      </c>
      <c r="BJ25" s="30">
        <v>3.9751552795030953E-2</v>
      </c>
      <c r="BK25" s="30">
        <v>3.9751552795030953E-2</v>
      </c>
      <c r="BL25" s="30">
        <v>-2.0288426908834811E-2</v>
      </c>
      <c r="BM25" s="30">
        <v>0.53301047022646064</v>
      </c>
      <c r="BN25" s="30">
        <v>0</v>
      </c>
      <c r="BO25" s="30">
        <v>0</v>
      </c>
      <c r="BP25" s="30">
        <v>0</v>
      </c>
      <c r="BQ25" s="30">
        <v>0</v>
      </c>
      <c r="BR25" s="30">
        <v>0</v>
      </c>
      <c r="BS25" s="30">
        <v>0</v>
      </c>
    </row>
    <row r="26" spans="2:71" x14ac:dyDescent="0.2">
      <c r="B26" s="51">
        <v>24</v>
      </c>
      <c r="C26" t="str">
        <v>SEOvoras, UAB</v>
      </c>
      <c r="D26" s="31">
        <f t="shared" si="0"/>
        <v>0.19</v>
      </c>
      <c r="E26" s="33">
        <f t="shared" si="1"/>
        <v>0.03</v>
      </c>
      <c r="F26" s="33">
        <f t="shared" si="2"/>
        <v>0.66</v>
      </c>
      <c r="G26" s="33">
        <f t="shared" si="3"/>
        <v>0.53</v>
      </c>
      <c r="H26" s="34">
        <f t="shared" si="4"/>
        <v>0.36</v>
      </c>
      <c r="I26" s="15">
        <v>24</v>
      </c>
      <c r="J26" t="str">
        <v>Partizanas, UAB</v>
      </c>
      <c r="K26" s="30">
        <f t="shared" si="5"/>
        <v>0.15300679590580035</v>
      </c>
      <c r="L26" s="30">
        <f t="shared" si="6"/>
        <v>0.35237114714233919</v>
      </c>
      <c r="M26" s="30">
        <f t="shared" si="7"/>
        <v>1.7688927892825221</v>
      </c>
      <c r="N26" s="30">
        <f t="shared" si="8"/>
        <v>-0.20430983350844356</v>
      </c>
      <c r="O26" s="70">
        <f t="shared" si="9"/>
        <v>-0.5289079108153818</v>
      </c>
      <c r="P26" s="51">
        <v>24</v>
      </c>
      <c r="Q26" t="str">
        <v>Bosanova, UAB</v>
      </c>
      <c r="R26" s="33">
        <f t="shared" si="10"/>
        <v>0.64</v>
      </c>
      <c r="S26" s="33">
        <f t="shared" si="11"/>
        <v>3.8</v>
      </c>
      <c r="T26" s="33">
        <f t="shared" si="12"/>
        <v>-1.23</v>
      </c>
      <c r="U26" s="33">
        <f t="shared" si="13"/>
        <v>-7.0000000000000007E-2</v>
      </c>
      <c r="V26" s="56">
        <f t="shared" si="14"/>
        <v>2.83</v>
      </c>
      <c r="AH26" t="s">
        <v>1457</v>
      </c>
      <c r="AI26" t="s">
        <v>1458</v>
      </c>
      <c r="AJ26" s="30">
        <v>-0.22</v>
      </c>
      <c r="AK26" s="30">
        <v>-7.999999999999996E-2</v>
      </c>
      <c r="AL26" s="30">
        <v>0.12</v>
      </c>
      <c r="AM26" s="30">
        <v>2.9001490312965617E-2</v>
      </c>
      <c r="AN26" s="30">
        <v>-0.20480858220369835</v>
      </c>
      <c r="AO26" s="30">
        <v>-3.93</v>
      </c>
      <c r="AP26" s="30">
        <v>-0.34</v>
      </c>
      <c r="AQ26" s="30">
        <v>0.19047619047619047</v>
      </c>
      <c r="AR26" s="30">
        <v>0.06</v>
      </c>
      <c r="AS26" s="30">
        <v>0.26644395372100482</v>
      </c>
      <c r="AT26" s="30">
        <v>-0.38652417671201122</v>
      </c>
      <c r="AU26" s="30">
        <v>-0.71</v>
      </c>
      <c r="AV26" s="30">
        <v>0.55000000000000004</v>
      </c>
      <c r="AW26" s="30">
        <v>0.39999999999999991</v>
      </c>
      <c r="AX26" s="30">
        <v>0.1</v>
      </c>
      <c r="AY26" s="30">
        <v>0.53440486533449172</v>
      </c>
      <c r="AZ26" s="30">
        <v>0.55379878964998475</v>
      </c>
      <c r="BA26" s="30">
        <v>0.49</v>
      </c>
      <c r="BB26" s="30">
        <v>0.12</v>
      </c>
      <c r="BC26" s="30">
        <v>7.1428571428571397E-2</v>
      </c>
      <c r="BD26" s="30">
        <v>0.12</v>
      </c>
      <c r="BE26" s="30">
        <v>0.19497508305647848</v>
      </c>
      <c r="BF26" s="30">
        <v>0.10781731392430727</v>
      </c>
      <c r="BG26" s="30">
        <v>0.24</v>
      </c>
      <c r="BH26" s="30">
        <v>0.06</v>
      </c>
      <c r="BI26" s="30">
        <v>0</v>
      </c>
      <c r="BJ26" s="30">
        <v>0.18</v>
      </c>
      <c r="BK26" s="30">
        <v>0.18077803203661325</v>
      </c>
      <c r="BL26" s="30">
        <v>8.3575984143423598E-2</v>
      </c>
      <c r="BM26" s="30">
        <v>-0.39</v>
      </c>
      <c r="BN26" s="30">
        <v>0</v>
      </c>
      <c r="BO26" s="30">
        <v>0</v>
      </c>
      <c r="BP26" s="30">
        <v>0</v>
      </c>
      <c r="BQ26" s="30">
        <v>0</v>
      </c>
      <c r="BR26" s="30">
        <v>0</v>
      </c>
      <c r="BS26" s="30">
        <v>0</v>
      </c>
    </row>
    <row r="27" spans="2:71" x14ac:dyDescent="0.2">
      <c r="B27" s="51">
        <v>25</v>
      </c>
      <c r="C27" t="str">
        <v>Dentsu Lithuania, UAB</v>
      </c>
      <c r="D27" s="31">
        <f t="shared" si="0"/>
        <v>0.16367007663130459</v>
      </c>
      <c r="E27" s="33">
        <f t="shared" si="1"/>
        <v>7.9046062974923004E-2</v>
      </c>
      <c r="F27" s="33">
        <f t="shared" si="2"/>
        <v>2.3421270254699231</v>
      </c>
      <c r="G27" s="33">
        <f t="shared" si="3"/>
        <v>-1.319523830299274E-2</v>
      </c>
      <c r="H27" s="34">
        <f t="shared" si="4"/>
        <v>-5.6048451541826916E-3</v>
      </c>
      <c r="I27" s="15">
        <v>25</v>
      </c>
      <c r="J27" t="str">
        <v>Kubrik, UAB</v>
      </c>
      <c r="K27" s="30">
        <f t="shared" si="5"/>
        <v>0.14758000730104648</v>
      </c>
      <c r="L27" s="30">
        <f t="shared" si="6"/>
        <v>-5.4757197800222812E-2</v>
      </c>
      <c r="M27" s="30">
        <f t="shared" si="7"/>
        <v>-0.14948059650388557</v>
      </c>
      <c r="N27" s="30">
        <f t="shared" si="8"/>
        <v>0</v>
      </c>
      <c r="O27" s="70">
        <f t="shared" si="9"/>
        <v>-1</v>
      </c>
      <c r="P27" s="51">
        <v>25</v>
      </c>
      <c r="Q27" t="str">
        <v>Kvadratai, MB</v>
      </c>
      <c r="R27" s="33">
        <f t="shared" si="10"/>
        <v>0.56000000000000005</v>
      </c>
      <c r="S27" s="33">
        <f t="shared" si="11"/>
        <v>2.64</v>
      </c>
      <c r="T27" s="33">
        <f t="shared" si="12"/>
        <v>-0.62</v>
      </c>
      <c r="U27" s="33">
        <f t="shared" si="13"/>
        <v>1.17</v>
      </c>
      <c r="V27" s="56">
        <f t="shared" si="14"/>
        <v>0</v>
      </c>
      <c r="AH27" t="s">
        <v>941</v>
      </c>
      <c r="AI27" t="s">
        <v>1459</v>
      </c>
      <c r="AJ27" s="30">
        <v>9.2383714684713736E-2</v>
      </c>
      <c r="AK27" s="30">
        <v>0</v>
      </c>
      <c r="AL27" s="30">
        <v>0</v>
      </c>
      <c r="AM27" s="30">
        <v>0</v>
      </c>
      <c r="AN27" s="30">
        <v>0</v>
      </c>
      <c r="AO27" s="30">
        <v>-7.1550895587592844</v>
      </c>
      <c r="AP27" s="30">
        <v>0</v>
      </c>
      <c r="AQ27" s="30">
        <v>0</v>
      </c>
      <c r="AR27" s="30">
        <v>0</v>
      </c>
      <c r="AS27" s="30">
        <v>0</v>
      </c>
      <c r="AT27" s="30">
        <v>0</v>
      </c>
      <c r="AU27" s="30">
        <v>0</v>
      </c>
      <c r="AV27" s="30">
        <v>0</v>
      </c>
      <c r="AW27" s="30">
        <v>0</v>
      </c>
      <c r="AX27" s="30">
        <v>0</v>
      </c>
      <c r="AY27" s="30">
        <v>0</v>
      </c>
      <c r="AZ27" s="30">
        <v>0</v>
      </c>
      <c r="BA27" s="30">
        <v>0</v>
      </c>
      <c r="BB27" s="30">
        <v>0</v>
      </c>
      <c r="BC27" s="30">
        <v>0</v>
      </c>
      <c r="BD27" s="30">
        <v>0</v>
      </c>
      <c r="BE27" s="30">
        <v>0</v>
      </c>
      <c r="BF27" s="30">
        <v>0</v>
      </c>
      <c r="BG27" s="30">
        <v>0</v>
      </c>
      <c r="BH27" s="30">
        <v>0</v>
      </c>
      <c r="BI27" s="30">
        <v>0</v>
      </c>
      <c r="BJ27" s="30">
        <v>0</v>
      </c>
      <c r="BK27" s="30">
        <v>0</v>
      </c>
      <c r="BL27" s="30">
        <v>0</v>
      </c>
      <c r="BM27" s="30">
        <v>0</v>
      </c>
      <c r="BN27" s="30">
        <v>0</v>
      </c>
      <c r="BO27" s="30">
        <v>0</v>
      </c>
      <c r="BP27" s="30">
        <v>0</v>
      </c>
      <c r="BQ27" s="30">
        <v>0</v>
      </c>
      <c r="BR27" s="30">
        <v>0</v>
      </c>
      <c r="BS27" s="30">
        <v>0</v>
      </c>
    </row>
    <row r="28" spans="2:71" x14ac:dyDescent="0.2">
      <c r="B28" s="51">
        <v>26</v>
      </c>
      <c r="C28" t="str">
        <v>Fabula ir partneriai, UAB</v>
      </c>
      <c r="D28" s="31">
        <f t="shared" si="0"/>
        <v>0.15801878596243471</v>
      </c>
      <c r="E28" s="33">
        <f t="shared" si="1"/>
        <v>0.1475145632153019</v>
      </c>
      <c r="F28" s="33">
        <f t="shared" si="2"/>
        <v>0.1240471446244524</v>
      </c>
      <c r="G28" s="33">
        <f t="shared" si="3"/>
        <v>0.37040396116307323</v>
      </c>
      <c r="H28" s="34">
        <f t="shared" si="4"/>
        <v>-8.3606520346232505E-2</v>
      </c>
      <c r="I28" s="15">
        <v>26</v>
      </c>
      <c r="J28" t="str">
        <v>Dentsu Lithuania, UAB</v>
      </c>
      <c r="K28" s="30">
        <f t="shared" si="5"/>
        <v>0.13237969859124288</v>
      </c>
      <c r="L28" s="30">
        <f t="shared" si="6"/>
        <v>6.7289644098348367E-2</v>
      </c>
      <c r="M28" s="30">
        <f t="shared" si="7"/>
        <v>2.3653076105943196</v>
      </c>
      <c r="N28" s="30">
        <f t="shared" si="8"/>
        <v>-3.0575042326764779E-3</v>
      </c>
      <c r="O28" s="70">
        <f t="shared" si="9"/>
        <v>-2.0288426908834811E-2</v>
      </c>
      <c r="P28" s="51">
        <v>26</v>
      </c>
      <c r="Q28" t="str">
        <v>Komunikacija ir konsultantai, UAB</v>
      </c>
      <c r="R28" s="33">
        <f t="shared" si="10"/>
        <v>0.5140315902468946</v>
      </c>
      <c r="S28" s="33">
        <f t="shared" si="11"/>
        <v>-2.609328726554788</v>
      </c>
      <c r="T28" s="33">
        <f t="shared" si="12"/>
        <v>-2.6260032102728732</v>
      </c>
      <c r="U28" s="33">
        <f t="shared" si="13"/>
        <v>-0.83198489751887816</v>
      </c>
      <c r="V28" s="56">
        <f t="shared" si="14"/>
        <v>-2.6772588488069662</v>
      </c>
      <c r="AH28" t="s">
        <v>614</v>
      </c>
      <c r="AI28" t="s">
        <v>1463</v>
      </c>
      <c r="AJ28" s="30">
        <v>-5.192952233628656E-2</v>
      </c>
      <c r="AK28" s="30">
        <v>-0.33333333333333337</v>
      </c>
      <c r="AL28" s="30">
        <v>6.8901876345739854E-2</v>
      </c>
      <c r="AM28" s="30">
        <v>-0.28739874910284013</v>
      </c>
      <c r="AN28" s="30">
        <v>-0.24821406126387235</v>
      </c>
      <c r="AO28" s="30">
        <v>-1.1912394557192849</v>
      </c>
      <c r="AP28" s="30">
        <v>-0.26923011047358059</v>
      </c>
      <c r="AQ28" s="30">
        <v>-0.31818181818181823</v>
      </c>
      <c r="AR28" s="30">
        <v>0.13433356594556869</v>
      </c>
      <c r="AS28" s="30">
        <v>-0.22659075049165767</v>
      </c>
      <c r="AT28" s="30">
        <v>0.12750320533661452</v>
      </c>
      <c r="AU28" s="30">
        <v>-6.2961079513772722</v>
      </c>
      <c r="AV28" s="30">
        <v>-0.1096437469381375</v>
      </c>
      <c r="AW28" s="30">
        <v>0.15789473684210531</v>
      </c>
      <c r="AX28" s="30">
        <v>-7.6177285318559376E-3</v>
      </c>
      <c r="AY28" s="30">
        <v>0.14907420906837721</v>
      </c>
      <c r="AZ28" s="30">
        <v>-0.27410576509957463</v>
      </c>
      <c r="BA28" s="30">
        <v>-0.49662055957246148</v>
      </c>
      <c r="BB28" s="30">
        <v>0.60343652414889237</v>
      </c>
      <c r="BC28" s="30">
        <v>5.555555555555558E-2</v>
      </c>
      <c r="BD28" s="30">
        <v>0.31631722880583402</v>
      </c>
      <c r="BE28" s="30">
        <v>0.38944596373949159</v>
      </c>
      <c r="BF28" s="30">
        <v>0.45386002727312724</v>
      </c>
      <c r="BG28" s="30">
        <v>-2.467009256514149</v>
      </c>
      <c r="BH28" s="30">
        <v>-0.44171483923737648</v>
      </c>
      <c r="BI28" s="30">
        <v>-9.9999999999999978E-2</v>
      </c>
      <c r="BJ28" s="30">
        <v>-0.17332328560663149</v>
      </c>
      <c r="BK28" s="30">
        <v>-0.2559909570459683</v>
      </c>
      <c r="BL28" s="30">
        <v>-0.49191416471698901</v>
      </c>
      <c r="BM28" s="30">
        <v>-24.642523364485982</v>
      </c>
      <c r="BN28" s="30">
        <v>0</v>
      </c>
      <c r="BO28" s="30">
        <v>0</v>
      </c>
      <c r="BP28" s="30">
        <v>0</v>
      </c>
      <c r="BQ28" s="30">
        <v>0</v>
      </c>
      <c r="BR28" s="30">
        <v>0</v>
      </c>
      <c r="BS28" s="30">
        <v>0</v>
      </c>
    </row>
    <row r="29" spans="2:71" x14ac:dyDescent="0.2">
      <c r="B29" s="51">
        <v>27</v>
      </c>
      <c r="C29" t="str">
        <v>We Are Marketing, UAB</v>
      </c>
      <c r="D29" s="31">
        <f t="shared" si="0"/>
        <v>0.13662709353993391</v>
      </c>
      <c r="E29" s="33">
        <f t="shared" si="1"/>
        <v>0.13499172905651241</v>
      </c>
      <c r="F29" s="33">
        <f t="shared" si="2"/>
        <v>0.29275863544692488</v>
      </c>
      <c r="G29" s="33">
        <f t="shared" si="3"/>
        <v>0.45342795663811247</v>
      </c>
      <c r="H29" s="34">
        <f t="shared" si="4"/>
        <v>0.51794676604144363</v>
      </c>
      <c r="I29" s="15">
        <v>27</v>
      </c>
      <c r="J29" t="str">
        <v>Good one, UAB</v>
      </c>
      <c r="K29" s="30">
        <f t="shared" si="5"/>
        <v>0.11266565858282251</v>
      </c>
      <c r="L29" s="30">
        <f t="shared" si="6"/>
        <v>1.172432728912165E-2</v>
      </c>
      <c r="M29" s="30">
        <f t="shared" si="7"/>
        <v>-0.14013638264157824</v>
      </c>
      <c r="N29" s="30">
        <f t="shared" si="8"/>
        <v>0.75563149201717228</v>
      </c>
      <c r="O29" s="70">
        <f t="shared" si="9"/>
        <v>4.4888004852979391E-2</v>
      </c>
      <c r="P29" s="51">
        <v>27</v>
      </c>
      <c r="Q29" t="str">
        <v>SEOvoras, UAB</v>
      </c>
      <c r="R29" s="33">
        <f t="shared" si="10"/>
        <v>0.4</v>
      </c>
      <c r="S29" s="33">
        <f t="shared" si="11"/>
        <v>-0.28000000000000003</v>
      </c>
      <c r="T29" s="33">
        <f t="shared" si="12"/>
        <v>0.93</v>
      </c>
      <c r="U29" s="33">
        <f t="shared" si="13"/>
        <v>0.22</v>
      </c>
      <c r="V29" s="56">
        <f t="shared" si="14"/>
        <v>1.42</v>
      </c>
      <c r="AH29" t="s">
        <v>933</v>
      </c>
      <c r="AI29" t="s">
        <v>1467</v>
      </c>
      <c r="AJ29" s="30">
        <v>-0.37509202929437752</v>
      </c>
      <c r="AK29" s="30">
        <v>0</v>
      </c>
      <c r="AL29" s="30">
        <v>0</v>
      </c>
      <c r="AM29" s="30">
        <v>0</v>
      </c>
      <c r="AN29" s="30">
        <v>0</v>
      </c>
      <c r="AO29" s="30">
        <v>-1.728102189781022</v>
      </c>
      <c r="AP29" s="30">
        <v>-0.28831834978765652</v>
      </c>
      <c r="AQ29" s="30">
        <v>0</v>
      </c>
      <c r="AR29" s="30">
        <v>0</v>
      </c>
      <c r="AS29" s="30">
        <v>0</v>
      </c>
      <c r="AT29" s="30">
        <v>0</v>
      </c>
      <c r="AU29" s="30">
        <v>-2.4972677595628419</v>
      </c>
      <c r="AV29" s="30">
        <v>0.1504806624575652</v>
      </c>
      <c r="AW29" s="30">
        <v>0</v>
      </c>
      <c r="AX29" s="30">
        <v>0</v>
      </c>
      <c r="AY29" s="30">
        <v>0</v>
      </c>
      <c r="AZ29" s="30">
        <v>0</v>
      </c>
      <c r="BA29" s="30">
        <v>-1.0967486122125301</v>
      </c>
      <c r="BB29" s="30">
        <v>0.77202451228425262</v>
      </c>
      <c r="BC29" s="30">
        <v>-0.5</v>
      </c>
      <c r="BD29" s="30">
        <v>0</v>
      </c>
      <c r="BE29" s="30">
        <v>0</v>
      </c>
      <c r="BF29" s="30">
        <v>0</v>
      </c>
      <c r="BG29" s="30">
        <v>-3.7526073247635221</v>
      </c>
      <c r="BH29" s="30">
        <v>-0.72555584700128062</v>
      </c>
      <c r="BI29" s="30">
        <v>1</v>
      </c>
      <c r="BJ29" s="30">
        <v>0</v>
      </c>
      <c r="BK29" s="30">
        <v>0</v>
      </c>
      <c r="BL29" s="30">
        <v>0</v>
      </c>
      <c r="BM29" s="30">
        <v>-1.789241960183767</v>
      </c>
      <c r="BN29" s="30">
        <v>0</v>
      </c>
      <c r="BO29" s="30">
        <v>0</v>
      </c>
      <c r="BP29" s="30">
        <v>0</v>
      </c>
      <c r="BQ29" s="30">
        <v>0</v>
      </c>
      <c r="BR29" s="30">
        <v>0</v>
      </c>
      <c r="BS29" s="30">
        <v>0</v>
      </c>
    </row>
    <row r="30" spans="2:71" x14ac:dyDescent="0.2">
      <c r="B30" s="51">
        <v>28</v>
      </c>
      <c r="C30" t="str">
        <v>Enternet, UAB</v>
      </c>
      <c r="D30" s="31">
        <f t="shared" si="0"/>
        <v>0.13</v>
      </c>
      <c r="E30" s="33">
        <f t="shared" si="1"/>
        <v>0.17</v>
      </c>
      <c r="F30" s="33">
        <f t="shared" si="2"/>
        <v>0.06</v>
      </c>
      <c r="G30" s="33">
        <f t="shared" si="3"/>
        <v>0.21</v>
      </c>
      <c r="H30" s="34">
        <f t="shared" si="4"/>
        <v>0.22</v>
      </c>
      <c r="I30" s="15">
        <v>28</v>
      </c>
      <c r="J30" t="str">
        <v>Open Agency, UAB</v>
      </c>
      <c r="K30" s="30">
        <f t="shared" si="5"/>
        <v>0.11230520788582221</v>
      </c>
      <c r="L30" s="30">
        <f t="shared" si="6"/>
        <v>-2.8888182822939368E-2</v>
      </c>
      <c r="M30" s="30">
        <f t="shared" si="7"/>
        <v>-4.0865053271079144E-2</v>
      </c>
      <c r="N30" s="30">
        <f t="shared" si="8"/>
        <v>0.22889820811220885</v>
      </c>
      <c r="O30" s="70">
        <f t="shared" si="9"/>
        <v>-0.12599602830638779</v>
      </c>
      <c r="P30" s="51">
        <v>28</v>
      </c>
      <c r="Q30" t="str">
        <v>Expertmedia, UAB</v>
      </c>
      <c r="R30" s="33">
        <f t="shared" si="10"/>
        <v>0.34096030967468249</v>
      </c>
      <c r="S30" s="33">
        <f t="shared" si="11"/>
        <v>-2.5141418169465472E-2</v>
      </c>
      <c r="T30" s="33">
        <f t="shared" si="12"/>
        <v>2.9318090257455021E-2</v>
      </c>
      <c r="U30" s="33">
        <f t="shared" si="13"/>
        <v>0.84365825117543602</v>
      </c>
      <c r="V30" s="56">
        <f t="shared" si="14"/>
        <v>-0.19138194798572161</v>
      </c>
      <c r="AH30" t="s">
        <v>912</v>
      </c>
      <c r="AI30" t="s">
        <v>1471</v>
      </c>
      <c r="AJ30" s="30">
        <v>-0.76448705325876221</v>
      </c>
      <c r="AK30" s="30">
        <v>-0.5</v>
      </c>
      <c r="AL30" s="30">
        <v>0</v>
      </c>
      <c r="AM30" s="30">
        <v>-1</v>
      </c>
      <c r="AN30" s="30">
        <v>-1</v>
      </c>
      <c r="AO30" s="30">
        <v>-33.769959404600812</v>
      </c>
      <c r="AP30" s="30">
        <v>-0.25781311797742218</v>
      </c>
      <c r="AQ30" s="30">
        <v>-0.33333333333333337</v>
      </c>
      <c r="AR30" s="30">
        <v>0.13029315960912061</v>
      </c>
      <c r="AS30" s="30">
        <v>-0.24647122692725298</v>
      </c>
      <c r="AT30" s="30">
        <v>-0.26848178045332238</v>
      </c>
      <c r="AU30" s="30">
        <v>2.7137042062415069E-3</v>
      </c>
      <c r="AV30" s="30">
        <v>-0.3623393436598541</v>
      </c>
      <c r="AW30" s="30">
        <v>-0.1428571428571429</v>
      </c>
      <c r="AX30" s="30">
        <v>0.15153788447111771</v>
      </c>
      <c r="AY30" s="30">
        <v>-1.2967527596184802E-2</v>
      </c>
      <c r="AZ30" s="30">
        <v>-0.48150687939357295</v>
      </c>
      <c r="BA30" s="30">
        <v>-0.82321899736147763</v>
      </c>
      <c r="BB30" s="30">
        <v>3.1753733214325108</v>
      </c>
      <c r="BC30" s="30">
        <v>0.39999999999999991</v>
      </c>
      <c r="BD30" s="30">
        <v>0.21624087591240879</v>
      </c>
      <c r="BE30" s="30">
        <v>0.70273722627737234</v>
      </c>
      <c r="BF30" s="30">
        <v>4.3706277213352687</v>
      </c>
      <c r="BG30" s="30">
        <v>-1.393915056455804</v>
      </c>
      <c r="BH30" s="30">
        <v>-0.49184613659759668</v>
      </c>
      <c r="BI30" s="30">
        <v>0</v>
      </c>
      <c r="BJ30" s="30">
        <v>-0.22544169611307421</v>
      </c>
      <c r="BK30" s="30">
        <v>-0.22544169611307419</v>
      </c>
      <c r="BL30" s="30">
        <v>-0.50248217348136115</v>
      </c>
      <c r="BM30" s="30">
        <v>-40.490671641791053</v>
      </c>
      <c r="BN30" s="30">
        <v>0</v>
      </c>
      <c r="BO30" s="30">
        <v>0</v>
      </c>
      <c r="BP30" s="30">
        <v>0</v>
      </c>
      <c r="BQ30" s="30">
        <v>0</v>
      </c>
      <c r="BR30" s="30">
        <v>0</v>
      </c>
      <c r="BS30" s="30">
        <v>0</v>
      </c>
    </row>
    <row r="31" spans="2:71" x14ac:dyDescent="0.2">
      <c r="B31" s="51">
        <v>29</v>
      </c>
      <c r="C31" t="str">
        <v>Evo Media, UAB</v>
      </c>
      <c r="D31" s="31">
        <f t="shared" si="0"/>
        <v>0.12</v>
      </c>
      <c r="E31" s="33">
        <f t="shared" si="1"/>
        <v>0.85</v>
      </c>
      <c r="F31" s="33">
        <f t="shared" si="2"/>
        <v>-0.1</v>
      </c>
      <c r="G31" s="33">
        <f t="shared" si="3"/>
        <v>0.13</v>
      </c>
      <c r="H31" s="34">
        <f t="shared" si="4"/>
        <v>0.44</v>
      </c>
      <c r="I31" s="15">
        <v>29</v>
      </c>
      <c r="J31" t="str">
        <v>ALL CAPS, UAB</v>
      </c>
      <c r="K31" s="30">
        <f t="shared" si="5"/>
        <v>0.10608622091907538</v>
      </c>
      <c r="L31" s="30">
        <f t="shared" si="6"/>
        <v>0</v>
      </c>
      <c r="M31" s="30">
        <f t="shared" si="7"/>
        <v>-7.6752266501972644E-3</v>
      </c>
      <c r="N31" s="30">
        <f t="shared" si="8"/>
        <v>0.78623926027760649</v>
      </c>
      <c r="O31" s="70">
        <f t="shared" si="9"/>
        <v>-0.24196181633346792</v>
      </c>
      <c r="P31" s="51">
        <v>29</v>
      </c>
      <c r="Q31" t="str">
        <v>Wrks, UAB</v>
      </c>
      <c r="R31" s="33">
        <f t="shared" si="10"/>
        <v>0.31691385643660075</v>
      </c>
      <c r="S31" s="33">
        <f t="shared" si="11"/>
        <v>11.485918802646324</v>
      </c>
      <c r="T31" s="33">
        <f t="shared" si="12"/>
        <v>-26.660449065175609</v>
      </c>
      <c r="U31" s="33">
        <f t="shared" si="13"/>
        <v>29.915205063958854</v>
      </c>
      <c r="V31" s="56">
        <f t="shared" si="14"/>
        <v>0</v>
      </c>
      <c r="AH31" t="s">
        <v>1474</v>
      </c>
      <c r="AI31" t="s">
        <v>1475</v>
      </c>
      <c r="AJ31" s="30">
        <v>0.13</v>
      </c>
      <c r="AK31" s="30">
        <v>0</v>
      </c>
      <c r="AL31" s="30">
        <v>0.1</v>
      </c>
      <c r="AM31" s="30">
        <v>9.7010372178157445E-2</v>
      </c>
      <c r="AN31" s="30">
        <v>0.29335454243975922</v>
      </c>
      <c r="AO31" s="30">
        <v>0.01</v>
      </c>
      <c r="AP31" s="30">
        <v>0.17</v>
      </c>
      <c r="AQ31" s="30">
        <v>5.2631578947368363E-2</v>
      </c>
      <c r="AR31" s="30">
        <v>0.11</v>
      </c>
      <c r="AS31" s="30">
        <v>0.16650653001672544</v>
      </c>
      <c r="AT31" s="30">
        <v>0.16948996562082996</v>
      </c>
      <c r="AU31" s="30">
        <v>0.39</v>
      </c>
      <c r="AV31" s="30">
        <v>0.06</v>
      </c>
      <c r="AW31" s="30">
        <v>-5.0000000000000044E-2</v>
      </c>
      <c r="AX31" s="30">
        <v>0.09</v>
      </c>
      <c r="AY31" s="30">
        <v>3.7320044296788479E-2</v>
      </c>
      <c r="AZ31" s="30">
        <v>0.21662667946257197</v>
      </c>
      <c r="BA31" s="30">
        <v>-0.46</v>
      </c>
      <c r="BB31" s="30">
        <v>0.21</v>
      </c>
      <c r="BC31" s="30">
        <v>0.11111111111111116</v>
      </c>
      <c r="BD31" s="30">
        <v>0.09</v>
      </c>
      <c r="BE31" s="30">
        <v>0.20592948717948723</v>
      </c>
      <c r="BF31" s="30">
        <v>0.27117093304597106</v>
      </c>
      <c r="BG31" s="30">
        <v>-0.1</v>
      </c>
      <c r="BH31" s="30">
        <v>0.22</v>
      </c>
      <c r="BI31" s="30">
        <v>0.125</v>
      </c>
      <c r="BJ31" s="30">
        <v>0.09</v>
      </c>
      <c r="BK31" s="30">
        <v>0.23157894736842111</v>
      </c>
      <c r="BL31" s="30">
        <v>0.41204673997301255</v>
      </c>
      <c r="BM31" s="30">
        <v>-0.56000000000000005</v>
      </c>
      <c r="BN31" s="30">
        <v>0</v>
      </c>
      <c r="BO31" s="30">
        <v>0</v>
      </c>
      <c r="BP31" s="30">
        <v>0</v>
      </c>
      <c r="BQ31" s="30">
        <v>0</v>
      </c>
      <c r="BR31" s="30">
        <v>0</v>
      </c>
      <c r="BS31" s="30">
        <v>0</v>
      </c>
    </row>
    <row r="32" spans="2:71" x14ac:dyDescent="0.2">
      <c r="B32" s="51">
        <v>30</v>
      </c>
      <c r="C32" t="str">
        <v>Ave Media, MB</v>
      </c>
      <c r="D32" s="31">
        <f t="shared" si="0"/>
        <v>0.1136559125980512</v>
      </c>
      <c r="E32" s="33">
        <f t="shared" si="1"/>
        <v>0.38960645092232488</v>
      </c>
      <c r="F32" s="33">
        <f t="shared" si="2"/>
        <v>0.32368290551869072</v>
      </c>
      <c r="G32" s="33">
        <f t="shared" si="3"/>
        <v>0.79375635377838027</v>
      </c>
      <c r="H32" s="34">
        <f t="shared" si="4"/>
        <v>-0.38821944077327741</v>
      </c>
      <c r="I32" s="15">
        <v>30</v>
      </c>
      <c r="J32" t="str">
        <v>New Agency, UAB</v>
      </c>
      <c r="K32" s="30">
        <f t="shared" si="5"/>
        <v>0.10286726119878487</v>
      </c>
      <c r="L32" s="30">
        <f t="shared" si="6"/>
        <v>4.6337477989111253E-2</v>
      </c>
      <c r="M32" s="30">
        <f t="shared" si="7"/>
        <v>0.28221796613013006</v>
      </c>
      <c r="N32" s="30">
        <f t="shared" si="8"/>
        <v>-0.11011714990503896</v>
      </c>
      <c r="O32" s="70">
        <f t="shared" si="9"/>
        <v>0.39069426504267346</v>
      </c>
      <c r="P32" s="51">
        <v>30</v>
      </c>
      <c r="Q32" t="str">
        <v>Via Media, UAB</v>
      </c>
      <c r="R32" s="33">
        <f t="shared" si="10"/>
        <v>0.30485206415378369</v>
      </c>
      <c r="S32" s="33">
        <f t="shared" si="11"/>
        <v>-7.2244694051858849E-2</v>
      </c>
      <c r="T32" s="33">
        <f t="shared" si="12"/>
        <v>-3.0133946015223231E-2</v>
      </c>
      <c r="U32" s="33">
        <f t="shared" si="13"/>
        <v>1.012867300069213</v>
      </c>
      <c r="V32" s="56">
        <f t="shared" si="14"/>
        <v>-0.15050822695161831</v>
      </c>
      <c r="AH32" t="s">
        <v>1476</v>
      </c>
      <c r="AI32" t="s">
        <v>1477</v>
      </c>
      <c r="AJ32" s="30">
        <v>0.12</v>
      </c>
      <c r="AK32" s="30">
        <v>0.10000000000000009</v>
      </c>
      <c r="AL32" s="30">
        <v>0.17</v>
      </c>
      <c r="AM32" s="30">
        <v>0.2852233676975946</v>
      </c>
      <c r="AN32" s="30">
        <v>-0.23151821988503329</v>
      </c>
      <c r="AO32" s="30">
        <v>1.64</v>
      </c>
      <c r="AP32" s="30">
        <v>0.85</v>
      </c>
      <c r="AQ32" s="30">
        <v>0.11111111111111116</v>
      </c>
      <c r="AR32" s="30">
        <v>0.22</v>
      </c>
      <c r="AS32" s="30">
        <v>0.36099418721186605</v>
      </c>
      <c r="AT32" s="30">
        <v>1.0822153975443518</v>
      </c>
      <c r="AU32" s="30">
        <v>67.06</v>
      </c>
      <c r="AV32" s="30">
        <v>-0.1</v>
      </c>
      <c r="AW32" s="30">
        <v>0.125</v>
      </c>
      <c r="AX32" s="30">
        <v>0.08</v>
      </c>
      <c r="AY32" s="30">
        <v>0.21960560625814862</v>
      </c>
      <c r="AZ32" s="30">
        <v>-0.21102693110240056</v>
      </c>
      <c r="BA32" s="30">
        <v>-0.97</v>
      </c>
      <c r="BB32" s="30">
        <v>0.13</v>
      </c>
      <c r="BC32" s="30">
        <v>0.33333333333333326</v>
      </c>
      <c r="BD32" s="30">
        <v>-0.02</v>
      </c>
      <c r="BE32" s="30">
        <v>0.31195210605088741</v>
      </c>
      <c r="BF32" s="30">
        <v>0.12421897266130277</v>
      </c>
      <c r="BG32" s="30">
        <v>-0.31</v>
      </c>
      <c r="BH32" s="30">
        <v>0.44</v>
      </c>
      <c r="BI32" s="30">
        <v>0</v>
      </c>
      <c r="BJ32" s="30">
        <v>0.09</v>
      </c>
      <c r="BK32" s="30">
        <v>8.8687150837988726E-2</v>
      </c>
      <c r="BL32" s="30">
        <v>0.3851082566578603</v>
      </c>
      <c r="BM32" s="30">
        <v>58.46</v>
      </c>
      <c r="BN32" s="30">
        <v>0</v>
      </c>
      <c r="BO32" s="30">
        <v>0</v>
      </c>
      <c r="BP32" s="30">
        <v>0</v>
      </c>
      <c r="BQ32" s="30">
        <v>0</v>
      </c>
      <c r="BR32" s="30">
        <v>0</v>
      </c>
      <c r="BS32" s="30">
        <v>0</v>
      </c>
    </row>
    <row r="33" spans="2:71" x14ac:dyDescent="0.2">
      <c r="B33" s="51">
        <v>31</v>
      </c>
      <c r="C33" t="str">
        <v>Open Agency, UAB</v>
      </c>
      <c r="D33" s="31">
        <f t="shared" si="0"/>
        <v>0.1063618581401788</v>
      </c>
      <c r="E33" s="33">
        <f t="shared" si="1"/>
        <v>-3.0635388625171789E-2</v>
      </c>
      <c r="F33" s="33">
        <f t="shared" si="2"/>
        <v>-2.5503117772406329E-2</v>
      </c>
      <c r="G33" s="33">
        <f t="shared" si="3"/>
        <v>0.23100427620433231</v>
      </c>
      <c r="H33" s="34">
        <f t="shared" si="4"/>
        <v>-0.1133531379984232</v>
      </c>
      <c r="I33" s="15">
        <v>31</v>
      </c>
      <c r="J33" t="str">
        <v>Turinio rinkodara, UAB</v>
      </c>
      <c r="K33" s="30">
        <f t="shared" si="5"/>
        <v>0.10125182427090129</v>
      </c>
      <c r="L33" s="30">
        <f t="shared" si="6"/>
        <v>0.19384657607158906</v>
      </c>
      <c r="M33" s="30">
        <f t="shared" si="7"/>
        <v>0.33566307726144751</v>
      </c>
      <c r="N33" s="30">
        <f t="shared" si="8"/>
        <v>2.4416538435806516</v>
      </c>
      <c r="O33" s="70">
        <f t="shared" si="9"/>
        <v>0.75230952684008501</v>
      </c>
      <c r="P33" s="51">
        <v>31</v>
      </c>
      <c r="Q33" t="str">
        <v>BPN LT, UAB</v>
      </c>
      <c r="R33" s="33">
        <f t="shared" si="10"/>
        <v>0.27967049755559059</v>
      </c>
      <c r="S33" s="33">
        <f t="shared" si="11"/>
        <v>-4.690285231155833E-2</v>
      </c>
      <c r="T33" s="33">
        <f t="shared" si="12"/>
        <v>2.1529625426741861E-2</v>
      </c>
      <c r="U33" s="33">
        <f t="shared" si="13"/>
        <v>0.66623760278545063</v>
      </c>
      <c r="V33" s="56">
        <f t="shared" si="14"/>
        <v>-7.862499263362599E-2</v>
      </c>
      <c r="AH33" t="s">
        <v>1059</v>
      </c>
      <c r="AI33" t="s">
        <v>1478</v>
      </c>
      <c r="AJ33" s="30">
        <v>4.1508266155335205E-2</v>
      </c>
      <c r="AK33" s="30">
        <v>0</v>
      </c>
      <c r="AL33" s="30">
        <v>0.2200647249190939</v>
      </c>
      <c r="AM33" s="30">
        <v>0.2200647249190939</v>
      </c>
      <c r="AN33" s="30">
        <v>-0.18052115610737629</v>
      </c>
      <c r="AO33" s="30">
        <v>-0.64043939029924457</v>
      </c>
      <c r="AP33" s="30">
        <v>-0.2190495822730224</v>
      </c>
      <c r="AQ33" s="30">
        <v>-0.20833333333333337</v>
      </c>
      <c r="AR33" s="30">
        <v>6.8793235972328892E-2</v>
      </c>
      <c r="AS33" s="30">
        <v>-0.15387202152190627</v>
      </c>
      <c r="AT33" s="30">
        <v>-0.44753256446253087</v>
      </c>
      <c r="AU33" s="30">
        <v>6.2704512372634644</v>
      </c>
      <c r="AV33" s="30">
        <v>-0.21759635461886079</v>
      </c>
      <c r="AW33" s="30">
        <v>-4.0000000000000036E-2</v>
      </c>
      <c r="AX33" s="30">
        <v>5.1313131313131422E-2</v>
      </c>
      <c r="AY33" s="30">
        <v>9.2606060606059692E-3</v>
      </c>
      <c r="AZ33" s="30">
        <v>-0.39859355128301044</v>
      </c>
      <c r="BA33" s="30">
        <v>-0.6937228793913095</v>
      </c>
      <c r="BB33" s="30">
        <v>0.31810432809355199</v>
      </c>
      <c r="BC33" s="30">
        <v>0</v>
      </c>
      <c r="BD33" s="30">
        <v>0.22889771598808339</v>
      </c>
      <c r="BE33" s="30">
        <v>0.22889771598808339</v>
      </c>
      <c r="BF33" s="30">
        <v>0.66508354868878672</v>
      </c>
      <c r="BG33" s="30">
        <v>-0.71430754861170076</v>
      </c>
      <c r="BH33" s="30">
        <v>-3.6037408302783902E-2</v>
      </c>
      <c r="BI33" s="30">
        <v>-0.13793103448275867</v>
      </c>
      <c r="BJ33" s="30">
        <v>9.9945385035499656E-2</v>
      </c>
      <c r="BK33" s="30">
        <v>-5.1771219796982959E-2</v>
      </c>
      <c r="BL33" s="30">
        <v>-0.18745662176751843</v>
      </c>
      <c r="BM33" s="30">
        <v>7.4115420327119486</v>
      </c>
      <c r="BN33" s="30">
        <v>0</v>
      </c>
      <c r="BO33" s="30">
        <v>0</v>
      </c>
      <c r="BP33" s="30">
        <v>0</v>
      </c>
      <c r="BQ33" s="30">
        <v>0</v>
      </c>
      <c r="BR33" s="30">
        <v>0</v>
      </c>
      <c r="BS33" s="30">
        <v>0</v>
      </c>
    </row>
    <row r="34" spans="2:71" x14ac:dyDescent="0.2">
      <c r="B34" s="51">
        <v>32</v>
      </c>
      <c r="C34" t="str">
        <v>VRS WPI Vilnius, UAB</v>
      </c>
      <c r="D34" s="31">
        <f t="shared" si="0"/>
        <v>0.10079089655599804</v>
      </c>
      <c r="E34" s="33">
        <f t="shared" si="1"/>
        <v>-8.9277525767377575E-2</v>
      </c>
      <c r="F34" s="33">
        <f t="shared" si="2"/>
        <v>-0.14447723720026318</v>
      </c>
      <c r="G34" s="33">
        <f t="shared" si="3"/>
        <v>7.3935257429256218E-2</v>
      </c>
      <c r="H34" s="34">
        <f t="shared" si="4"/>
        <v>0</v>
      </c>
      <c r="I34" s="15">
        <v>32</v>
      </c>
      <c r="J34" t="str">
        <v>Caption, UAB</v>
      </c>
      <c r="K34" s="30">
        <f t="shared" si="5"/>
        <v>9.4802892389011628E-2</v>
      </c>
      <c r="L34" s="30">
        <f t="shared" si="6"/>
        <v>9.297462336509815</v>
      </c>
      <c r="M34" s="30">
        <f t="shared" si="7"/>
        <v>-0.85206429187661759</v>
      </c>
      <c r="N34" s="30">
        <f t="shared" si="8"/>
        <v>0.35408448319647845</v>
      </c>
      <c r="O34" s="70">
        <f t="shared" si="9"/>
        <v>0.53859178410482178</v>
      </c>
      <c r="P34" s="51">
        <v>32</v>
      </c>
      <c r="Q34" t="str">
        <v>co:agency, UAB</v>
      </c>
      <c r="R34" s="33">
        <f t="shared" si="10"/>
        <v>0.2767223216510728</v>
      </c>
      <c r="S34" s="33">
        <f t="shared" si="11"/>
        <v>-0.21728321505959791</v>
      </c>
      <c r="T34" s="33">
        <f t="shared" si="12"/>
        <v>0.28483161170675692</v>
      </c>
      <c r="U34" s="33">
        <f t="shared" si="13"/>
        <v>7.0347592409248927E-2</v>
      </c>
      <c r="V34" s="56">
        <f t="shared" si="14"/>
        <v>1.1668586525759581</v>
      </c>
      <c r="AH34" t="s">
        <v>527</v>
      </c>
      <c r="AI34" t="s">
        <v>1479</v>
      </c>
      <c r="AJ34" s="30">
        <v>0.36205534014113278</v>
      </c>
      <c r="AK34" s="30">
        <v>0.33333333333333326</v>
      </c>
      <c r="AL34" s="30">
        <v>0.13058035714285721</v>
      </c>
      <c r="AM34" s="30">
        <v>0.50744047619047628</v>
      </c>
      <c r="AN34" s="30">
        <v>0.30617526675113282</v>
      </c>
      <c r="AO34" s="30">
        <v>0.34096030967468249</v>
      </c>
      <c r="AP34" s="30">
        <v>0.24517353309302339</v>
      </c>
      <c r="AQ34" s="30">
        <v>0.15384615384615374</v>
      </c>
      <c r="AR34" s="30">
        <v>7.9518072289156638E-2</v>
      </c>
      <c r="AS34" s="30">
        <v>0.24559777571825769</v>
      </c>
      <c r="AT34" s="30">
        <v>0.38174973142136492</v>
      </c>
      <c r="AU34" s="30">
        <v>-2.5141418169465472E-2</v>
      </c>
      <c r="AV34" s="30">
        <v>0.46359137577284248</v>
      </c>
      <c r="AW34" s="30">
        <v>0.18181818181818188</v>
      </c>
      <c r="AX34" s="30">
        <v>0.31329113924050622</v>
      </c>
      <c r="AY34" s="30">
        <v>0.55207134637514388</v>
      </c>
      <c r="AZ34" s="30">
        <v>0.7978126291109775</v>
      </c>
      <c r="BA34" s="30">
        <v>2.9318090257455021E-2</v>
      </c>
      <c r="BB34" s="30">
        <v>0.67853320292676633</v>
      </c>
      <c r="BC34" s="30">
        <v>0.22222222222222232</v>
      </c>
      <c r="BD34" s="30">
        <v>0.24043179587831201</v>
      </c>
      <c r="BE34" s="30">
        <v>0.51608330607349262</v>
      </c>
      <c r="BF34" s="30">
        <v>0.64706695951889626</v>
      </c>
      <c r="BG34" s="30">
        <v>0.84365825117543602</v>
      </c>
      <c r="BH34" s="30">
        <v>9.167136119633712E-3</v>
      </c>
      <c r="BI34" s="30">
        <v>0.8</v>
      </c>
      <c r="BJ34" s="30">
        <v>0.22623345367027681</v>
      </c>
      <c r="BK34" s="30">
        <v>1.207220216606498</v>
      </c>
      <c r="BL34" s="30">
        <v>-0.11059991733422558</v>
      </c>
      <c r="BM34" s="30">
        <v>-0.19138194798572161</v>
      </c>
      <c r="BN34" s="30">
        <v>0</v>
      </c>
      <c r="BO34" s="30">
        <v>0</v>
      </c>
      <c r="BP34" s="30">
        <v>0</v>
      </c>
      <c r="BQ34" s="30">
        <v>0</v>
      </c>
      <c r="BR34" s="30">
        <v>0</v>
      </c>
      <c r="BS34" s="30">
        <v>0</v>
      </c>
    </row>
    <row r="35" spans="2:71" x14ac:dyDescent="0.2">
      <c r="B35" s="51">
        <v>33</v>
      </c>
      <c r="C35" t="str">
        <v>Good one, UAB</v>
      </c>
      <c r="D35" s="31">
        <f t="shared" si="0"/>
        <v>0.1</v>
      </c>
      <c r="E35" s="33">
        <f t="shared" si="1"/>
        <v>0.01</v>
      </c>
      <c r="F35" s="33">
        <f t="shared" si="2"/>
        <v>-0.12</v>
      </c>
      <c r="G35" s="33">
        <f t="shared" si="3"/>
        <v>0.72</v>
      </c>
      <c r="H35" s="34">
        <f t="shared" si="4"/>
        <v>0.03</v>
      </c>
      <c r="I35" s="15">
        <v>33</v>
      </c>
      <c r="J35" t="str">
        <v>Trendmark, UAB</v>
      </c>
      <c r="K35" s="30">
        <f t="shared" si="5"/>
        <v>9.2172523204170131E-2</v>
      </c>
      <c r="L35" s="30">
        <f t="shared" si="6"/>
        <v>-7.5179344755197386E-3</v>
      </c>
      <c r="M35" s="30">
        <f t="shared" si="7"/>
        <v>9.870228374856449E-2</v>
      </c>
      <c r="N35" s="30">
        <f t="shared" si="8"/>
        <v>0.22703580995207751</v>
      </c>
      <c r="O35" s="70">
        <f t="shared" si="9"/>
        <v>-0.12740399587540396</v>
      </c>
      <c r="P35" s="51">
        <v>33</v>
      </c>
      <c r="Q35" t="str">
        <v>Indiana.lt, UAB</v>
      </c>
      <c r="R35" s="33">
        <f t="shared" si="10"/>
        <v>0.27</v>
      </c>
      <c r="S35" s="33">
        <f t="shared" si="11"/>
        <v>-0.61</v>
      </c>
      <c r="T35" s="33">
        <f t="shared" si="12"/>
        <v>0.43</v>
      </c>
      <c r="U35" s="33">
        <f t="shared" si="13"/>
        <v>0.51</v>
      </c>
      <c r="V35" s="56">
        <f t="shared" si="14"/>
        <v>0.24</v>
      </c>
      <c r="AH35" t="s">
        <v>298</v>
      </c>
      <c r="AI35" t="s">
        <v>1481</v>
      </c>
      <c r="AJ35" s="30">
        <v>0.15801878596243471</v>
      </c>
      <c r="AK35" s="30">
        <v>4.7619047619047672E-2</v>
      </c>
      <c r="AL35" s="30">
        <v>0.11278920308483301</v>
      </c>
      <c r="AM35" s="30">
        <v>0.16577916513649171</v>
      </c>
      <c r="AN35" s="30">
        <v>0.1677372838410629</v>
      </c>
      <c r="AO35" s="30">
        <v>3.8860782265369258E-2</v>
      </c>
      <c r="AP35" s="30">
        <v>0.1475145632153019</v>
      </c>
      <c r="AQ35" s="30">
        <v>5.0000000000000044E-2</v>
      </c>
      <c r="AR35" s="30">
        <v>0.1062922147173835</v>
      </c>
      <c r="AS35" s="30">
        <v>0.16160682545325278</v>
      </c>
      <c r="AT35" s="30">
        <v>0.13616619794660911</v>
      </c>
      <c r="AU35" s="30">
        <v>0.17444567175465009</v>
      </c>
      <c r="AV35" s="30">
        <v>0.1240471446244524</v>
      </c>
      <c r="AW35" s="30">
        <v>0</v>
      </c>
      <c r="AX35" s="30">
        <v>5.5138784696173948E-2</v>
      </c>
      <c r="AY35" s="30">
        <v>5.5138784696173948E-2</v>
      </c>
      <c r="AZ35" s="30">
        <v>0.201794484899946</v>
      </c>
      <c r="BA35" s="30">
        <v>-8.519829644097221E-2</v>
      </c>
      <c r="BB35" s="30">
        <v>0.37040396116307323</v>
      </c>
      <c r="BC35" s="30">
        <v>0.17647058823529416</v>
      </c>
      <c r="BD35" s="30">
        <v>7.4999999999999956E-2</v>
      </c>
      <c r="BE35" s="30">
        <v>0.26470588235294112</v>
      </c>
      <c r="BF35" s="30">
        <v>0.4860414816733265</v>
      </c>
      <c r="BG35" s="30">
        <v>0.1957620899238133</v>
      </c>
      <c r="BH35" s="30">
        <v>-8.3606520346232505E-2</v>
      </c>
      <c r="BI35" s="30">
        <v>-8.108108108108103E-2</v>
      </c>
      <c r="BJ35" s="30">
        <v>-1.7432646592709929E-2</v>
      </c>
      <c r="BK35" s="30">
        <v>-9.7100269841949749E-2</v>
      </c>
      <c r="BL35" s="30">
        <v>-0.12021868669983682</v>
      </c>
      <c r="BM35" s="30">
        <v>0.27315761217452361</v>
      </c>
      <c r="BN35" s="30">
        <v>0</v>
      </c>
      <c r="BO35" s="30">
        <v>0</v>
      </c>
      <c r="BP35" s="30">
        <v>0</v>
      </c>
      <c r="BQ35" s="30">
        <v>0</v>
      </c>
      <c r="BR35" s="30">
        <v>0</v>
      </c>
      <c r="BS35" s="30">
        <v>0</v>
      </c>
    </row>
    <row r="36" spans="2:71" x14ac:dyDescent="0.2">
      <c r="B36" s="51">
        <v>34</v>
      </c>
      <c r="C36" t="str">
        <v>Publicum, UAB</v>
      </c>
      <c r="D36" s="31">
        <f t="shared" si="0"/>
        <v>9.9044148858279835E-2</v>
      </c>
      <c r="E36" s="33">
        <f t="shared" si="1"/>
        <v>8.7983952320769276E-4</v>
      </c>
      <c r="F36" s="33">
        <f t="shared" si="2"/>
        <v>-3.3856674031662592E-5</v>
      </c>
      <c r="G36" s="33">
        <f t="shared" si="3"/>
        <v>0.4171730390162498</v>
      </c>
      <c r="H36" s="34">
        <f t="shared" si="4"/>
        <v>-0.1524955248806055</v>
      </c>
      <c r="I36" s="15">
        <v>34</v>
      </c>
      <c r="J36" t="str">
        <v>Verslo idėjų partneriai, UAB</v>
      </c>
      <c r="K36" s="30">
        <f t="shared" si="5"/>
        <v>8.0629668460756365E-2</v>
      </c>
      <c r="L36" s="30">
        <f t="shared" si="6"/>
        <v>-2.3991288323002125E-2</v>
      </c>
      <c r="M36" s="30">
        <f t="shared" si="7"/>
        <v>5.7901169451344714E-2</v>
      </c>
      <c r="N36" s="30">
        <f t="shared" si="8"/>
        <v>0.15302955373089788</v>
      </c>
      <c r="O36" s="70">
        <f t="shared" si="9"/>
        <v>0.26247000851371216</v>
      </c>
      <c r="P36" s="51">
        <v>34</v>
      </c>
      <c r="Q36" t="str">
        <v>SuperYou, UAB</v>
      </c>
      <c r="R36" s="33">
        <f t="shared" si="10"/>
        <v>0.17707965643016821</v>
      </c>
      <c r="S36" s="33">
        <f t="shared" si="11"/>
        <v>-0.81059035902921706</v>
      </c>
      <c r="T36" s="33">
        <f t="shared" si="12"/>
        <v>0.59876719161975345</v>
      </c>
      <c r="U36" s="33">
        <f t="shared" si="13"/>
        <v>-0.63304743475759628</v>
      </c>
      <c r="V36" s="56">
        <f t="shared" si="14"/>
        <v>3.9501003171315769</v>
      </c>
      <c r="AH36" t="s">
        <v>813</v>
      </c>
      <c r="AI36" t="s">
        <v>1485</v>
      </c>
      <c r="AJ36" s="30">
        <v>4.0309177983852702E-2</v>
      </c>
      <c r="AK36" s="30">
        <v>0</v>
      </c>
      <c r="AL36" s="30">
        <v>0</v>
      </c>
      <c r="AM36" s="30">
        <v>0</v>
      </c>
      <c r="AN36" s="30">
        <v>0</v>
      </c>
      <c r="AO36" s="30">
        <v>-0.9624655527261311</v>
      </c>
      <c r="AP36" s="30">
        <v>7.2007289871436342E-3</v>
      </c>
      <c r="AQ36" s="30">
        <v>0</v>
      </c>
      <c r="AR36" s="30">
        <v>0</v>
      </c>
      <c r="AS36" s="30">
        <v>0</v>
      </c>
      <c r="AT36" s="30">
        <v>0</v>
      </c>
      <c r="AU36" s="30">
        <v>0.14038507438937059</v>
      </c>
      <c r="AV36" s="30">
        <v>1.0956908003985391</v>
      </c>
      <c r="AW36" s="30">
        <v>0</v>
      </c>
      <c r="AX36" s="30">
        <v>0</v>
      </c>
      <c r="AY36" s="30">
        <v>0</v>
      </c>
      <c r="AZ36" s="30">
        <v>0</v>
      </c>
      <c r="BA36" s="30">
        <v>1.564317045802305</v>
      </c>
      <c r="BB36" s="30">
        <v>1.2946962299649909</v>
      </c>
      <c r="BC36" s="30">
        <v>0</v>
      </c>
      <c r="BD36" s="30">
        <v>0</v>
      </c>
      <c r="BE36" s="30">
        <v>0</v>
      </c>
      <c r="BF36" s="30">
        <v>0</v>
      </c>
      <c r="BG36" s="30">
        <v>-18.474153297682712</v>
      </c>
      <c r="BH36" s="30">
        <v>-3.5843857634902387E-2</v>
      </c>
      <c r="BI36" s="30">
        <v>0</v>
      </c>
      <c r="BJ36" s="30">
        <v>0</v>
      </c>
      <c r="BK36" s="30">
        <v>0</v>
      </c>
      <c r="BL36" s="30">
        <v>0</v>
      </c>
      <c r="BM36" s="30">
        <v>-1.0458520637515329</v>
      </c>
      <c r="BN36" s="30">
        <v>0</v>
      </c>
      <c r="BO36" s="30">
        <v>0</v>
      </c>
      <c r="BP36" s="30">
        <v>0</v>
      </c>
      <c r="BQ36" s="30">
        <v>0</v>
      </c>
      <c r="BR36" s="30">
        <v>0</v>
      </c>
      <c r="BS36" s="30">
        <v>0</v>
      </c>
    </row>
    <row r="37" spans="2:71" x14ac:dyDescent="0.2">
      <c r="B37" s="51">
        <v>35</v>
      </c>
      <c r="C37" t="str">
        <v>Trendmark, UAB</v>
      </c>
      <c r="D37" s="31">
        <f t="shared" si="0"/>
        <v>9.6559763532628962E-2</v>
      </c>
      <c r="E37" s="33">
        <f t="shared" si="1"/>
        <v>-7.2884994740346487E-3</v>
      </c>
      <c r="F37" s="33">
        <f t="shared" si="2"/>
        <v>6.3965560624919426E-2</v>
      </c>
      <c r="G37" s="33">
        <f t="shared" si="3"/>
        <v>0.20967882907527649</v>
      </c>
      <c r="H37" s="34">
        <f t="shared" si="4"/>
        <v>-7.54012546907602E-2</v>
      </c>
      <c r="I37" s="15">
        <v>35</v>
      </c>
      <c r="J37" t="str">
        <v>Protingi sprendimai, UAB</v>
      </c>
      <c r="K37" s="30">
        <f t="shared" si="5"/>
        <v>7.7116667705930064E-2</v>
      </c>
      <c r="L37" s="30">
        <f t="shared" si="6"/>
        <v>-7.1741631956583674E-2</v>
      </c>
      <c r="M37" s="30">
        <f t="shared" si="7"/>
        <v>8.3735845174499834E-2</v>
      </c>
      <c r="N37" s="30">
        <f t="shared" si="8"/>
        <v>0.70833422635249543</v>
      </c>
      <c r="O37" s="70">
        <f t="shared" si="9"/>
        <v>-0.20832965705404471</v>
      </c>
      <c r="P37" s="51">
        <v>35</v>
      </c>
      <c r="Q37" t="str">
        <v>Open Agency, UAB</v>
      </c>
      <c r="R37" s="33">
        <f t="shared" si="10"/>
        <v>0.16313974763636899</v>
      </c>
      <c r="S37" s="33">
        <f t="shared" si="11"/>
        <v>-6.803760920664681E-2</v>
      </c>
      <c r="T37" s="33">
        <f t="shared" si="12"/>
        <v>-0.11986431057093989</v>
      </c>
      <c r="U37" s="33">
        <f t="shared" si="13"/>
        <v>0.17532660715080511</v>
      </c>
      <c r="V37" s="56">
        <f t="shared" si="14"/>
        <v>-4.5872605400379518E-2</v>
      </c>
      <c r="AH37" t="s">
        <v>1493</v>
      </c>
      <c r="AI37" t="s">
        <v>1494</v>
      </c>
      <c r="AJ37" s="30">
        <v>0.4</v>
      </c>
      <c r="AK37" s="30">
        <v>0.5</v>
      </c>
      <c r="AL37" s="30">
        <v>0</v>
      </c>
      <c r="AM37" s="30">
        <v>0</v>
      </c>
      <c r="AN37" s="30">
        <v>0</v>
      </c>
      <c r="AO37" s="30">
        <v>2.12</v>
      </c>
      <c r="AP37" s="30">
        <v>-0.35</v>
      </c>
      <c r="AQ37" s="30">
        <v>1</v>
      </c>
      <c r="AR37" s="30">
        <v>0</v>
      </c>
      <c r="AS37" s="30">
        <v>0</v>
      </c>
      <c r="AT37" s="30">
        <v>0</v>
      </c>
      <c r="AU37" s="30">
        <v>-2.19</v>
      </c>
      <c r="AV37" s="30">
        <v>0.22</v>
      </c>
      <c r="AW37" s="30">
        <v>0</v>
      </c>
      <c r="AX37" s="30">
        <v>0</v>
      </c>
      <c r="AY37" s="30">
        <v>0</v>
      </c>
      <c r="AZ37" s="30">
        <v>0</v>
      </c>
      <c r="BA37" s="30">
        <v>0.08</v>
      </c>
      <c r="BB37" s="30">
        <v>0.28000000000000003</v>
      </c>
      <c r="BC37" s="30">
        <v>0</v>
      </c>
      <c r="BD37" s="30">
        <v>0</v>
      </c>
      <c r="BE37" s="30">
        <v>0</v>
      </c>
      <c r="BF37" s="30">
        <v>0</v>
      </c>
      <c r="BG37" s="30">
        <v>11.11</v>
      </c>
      <c r="BH37" s="30">
        <v>-0.28000000000000003</v>
      </c>
      <c r="BI37" s="30">
        <v>0</v>
      </c>
      <c r="BJ37" s="30">
        <v>0</v>
      </c>
      <c r="BK37" s="30">
        <v>0</v>
      </c>
      <c r="BL37" s="30">
        <v>0</v>
      </c>
      <c r="BM37" s="30">
        <v>-1.04</v>
      </c>
      <c r="BN37" s="30">
        <v>0</v>
      </c>
      <c r="BO37" s="30">
        <v>0</v>
      </c>
      <c r="BP37" s="30">
        <v>0</v>
      </c>
      <c r="BQ37" s="30">
        <v>0</v>
      </c>
      <c r="BR37" s="30">
        <v>0</v>
      </c>
      <c r="BS37" s="30">
        <v>0</v>
      </c>
    </row>
    <row r="38" spans="2:71" x14ac:dyDescent="0.2">
      <c r="B38" s="51">
        <v>36</v>
      </c>
      <c r="C38" t="str">
        <v>SuperYou, UAB</v>
      </c>
      <c r="D38" s="31">
        <f t="shared" si="0"/>
        <v>9.5397101192182587E-2</v>
      </c>
      <c r="E38" s="33">
        <f t="shared" si="1"/>
        <v>-1.025482493777286E-2</v>
      </c>
      <c r="F38" s="33">
        <f t="shared" si="2"/>
        <v>0.16180033861163401</v>
      </c>
      <c r="G38" s="33">
        <f t="shared" si="3"/>
        <v>0.45903756479850683</v>
      </c>
      <c r="H38" s="34">
        <f t="shared" si="4"/>
        <v>0.61973045840664698</v>
      </c>
      <c r="I38" s="15">
        <v>36</v>
      </c>
      <c r="J38" t="str">
        <v>Adell reklama, UAB</v>
      </c>
      <c r="K38" s="30">
        <f t="shared" si="5"/>
        <v>7.5200069365392475E-2</v>
      </c>
      <c r="L38" s="30">
        <f t="shared" si="6"/>
        <v>-0.13206986233851292</v>
      </c>
      <c r="M38" s="30">
        <f t="shared" si="7"/>
        <v>0</v>
      </c>
      <c r="N38" s="30">
        <f t="shared" si="8"/>
        <v>3.8042367051636772E-2</v>
      </c>
      <c r="O38" s="70">
        <f t="shared" si="9"/>
        <v>-0.17247167225747617</v>
      </c>
      <c r="P38" s="51">
        <v>36</v>
      </c>
      <c r="Q38" t="str">
        <v>Totem promo, UAB</v>
      </c>
      <c r="R38" s="33">
        <f t="shared" si="10"/>
        <v>0.13</v>
      </c>
      <c r="S38" s="33">
        <f t="shared" si="11"/>
        <v>-0.11</v>
      </c>
      <c r="T38" s="33">
        <f t="shared" si="12"/>
        <v>0.16</v>
      </c>
      <c r="U38" s="33">
        <f t="shared" si="13"/>
        <v>0.34</v>
      </c>
      <c r="V38" s="56">
        <f t="shared" si="14"/>
        <v>81.62</v>
      </c>
      <c r="AH38" t="s">
        <v>1495</v>
      </c>
      <c r="AI38" t="s">
        <v>1496</v>
      </c>
      <c r="AJ38" s="30">
        <v>0.46</v>
      </c>
      <c r="AK38" s="30">
        <v>-0.15384615384615385</v>
      </c>
      <c r="AL38" s="30">
        <v>0.19</v>
      </c>
      <c r="AM38" s="30">
        <v>1.0757906656960303E-2</v>
      </c>
      <c r="AN38" s="30">
        <v>0.46317571683646674</v>
      </c>
      <c r="AO38" s="30">
        <v>3.99</v>
      </c>
      <c r="AP38" s="30">
        <v>0.72</v>
      </c>
      <c r="AQ38" s="30">
        <v>-7.1428571428571397E-2</v>
      </c>
      <c r="AR38" s="30">
        <v>0.35</v>
      </c>
      <c r="AS38" s="30">
        <v>0.25793650793650791</v>
      </c>
      <c r="AT38" s="30">
        <v>0.7741319964640343</v>
      </c>
      <c r="AU38" s="30">
        <v>12.65</v>
      </c>
      <c r="AV38" s="30">
        <v>0.27</v>
      </c>
      <c r="AW38" s="30">
        <v>-6.6666666666666652E-2</v>
      </c>
      <c r="AX38" s="30">
        <v>-0.01</v>
      </c>
      <c r="AY38" s="30">
        <v>-7.1954674220963133E-2</v>
      </c>
      <c r="AZ38" s="30">
        <v>0.35742889808472533</v>
      </c>
      <c r="BA38" s="30">
        <v>25.86</v>
      </c>
      <c r="BB38" s="30">
        <v>-0.01</v>
      </c>
      <c r="BC38" s="30">
        <v>-0.16666666666666663</v>
      </c>
      <c r="BD38" s="30">
        <v>0.05</v>
      </c>
      <c r="BE38" s="30">
        <v>-0.12450396825396826</v>
      </c>
      <c r="BF38" s="30">
        <v>2.1372591165747634E-2</v>
      </c>
      <c r="BG38" s="30">
        <v>-0.3</v>
      </c>
      <c r="BH38" s="30">
        <v>-0.56000000000000005</v>
      </c>
      <c r="BI38" s="30">
        <v>-0.1428571428571429</v>
      </c>
      <c r="BJ38" s="30">
        <v>-0.17</v>
      </c>
      <c r="BK38" s="30">
        <v>-0.28447204968944095</v>
      </c>
      <c r="BL38" s="30">
        <v>-0.60391724440536909</v>
      </c>
      <c r="BM38" s="30">
        <v>-0.9</v>
      </c>
      <c r="BN38" s="30">
        <v>0</v>
      </c>
      <c r="BO38" s="30">
        <v>0</v>
      </c>
      <c r="BP38" s="30">
        <v>0</v>
      </c>
      <c r="BQ38" s="30">
        <v>0</v>
      </c>
      <c r="BR38" s="30">
        <v>0</v>
      </c>
      <c r="BS38" s="30">
        <v>0</v>
      </c>
    </row>
    <row r="39" spans="2:71" x14ac:dyDescent="0.2">
      <c r="B39" s="51">
        <v>37</v>
      </c>
      <c r="C39" t="str">
        <v>Digitfruition, UAB</v>
      </c>
      <c r="D39" s="31">
        <f t="shared" si="0"/>
        <v>9.2383714684713736E-2</v>
      </c>
      <c r="E39" s="33">
        <f t="shared" si="1"/>
        <v>0</v>
      </c>
      <c r="F39" s="33">
        <f t="shared" si="2"/>
        <v>0</v>
      </c>
      <c r="G39" s="33">
        <f t="shared" si="3"/>
        <v>0</v>
      </c>
      <c r="H39" s="34">
        <f t="shared" si="4"/>
        <v>0</v>
      </c>
      <c r="I39" s="15">
        <v>37</v>
      </c>
      <c r="J39" t="str">
        <v>Indiana.lt, UAB</v>
      </c>
      <c r="K39" s="30">
        <f t="shared" si="5"/>
        <v>7.0455099001258015E-2</v>
      </c>
      <c r="L39" s="30">
        <f t="shared" si="6"/>
        <v>-0.10961311362987924</v>
      </c>
      <c r="M39" s="30">
        <f t="shared" si="7"/>
        <v>0.60371423647018263</v>
      </c>
      <c r="N39" s="30">
        <f t="shared" si="8"/>
        <v>0.10403006493455003</v>
      </c>
      <c r="O39" s="70">
        <f t="shared" si="9"/>
        <v>-0.15991461071229263</v>
      </c>
      <c r="P39" s="51">
        <v>37</v>
      </c>
      <c r="Q39" t="str">
        <v>Lion Communications Vilnius, UAB</v>
      </c>
      <c r="R39" s="33">
        <f t="shared" si="10"/>
        <v>0.11829676645509513</v>
      </c>
      <c r="S39" s="33">
        <f t="shared" si="11"/>
        <v>-1.0958216571165689E-2</v>
      </c>
      <c r="T39" s="33">
        <f t="shared" si="12"/>
        <v>-0.42634754310043982</v>
      </c>
      <c r="U39" s="33">
        <f t="shared" si="13"/>
        <v>0.32027069834413258</v>
      </c>
      <c r="V39" s="56">
        <f t="shared" si="14"/>
        <v>2.9285354358715932E-2</v>
      </c>
      <c r="AH39" t="s">
        <v>998</v>
      </c>
      <c r="AI39" t="s">
        <v>1497</v>
      </c>
      <c r="AJ39" s="30">
        <v>0</v>
      </c>
      <c r="AK39" s="30">
        <v>0</v>
      </c>
      <c r="AL39" s="30">
        <v>0</v>
      </c>
      <c r="AM39" s="30">
        <v>0</v>
      </c>
      <c r="AN39" s="30">
        <v>0</v>
      </c>
      <c r="AO39" s="30">
        <v>0</v>
      </c>
      <c r="AP39" s="30">
        <v>0</v>
      </c>
      <c r="AQ39" s="30">
        <v>0</v>
      </c>
      <c r="AR39" s="30">
        <v>0</v>
      </c>
      <c r="AS39" s="30">
        <v>0</v>
      </c>
      <c r="AT39" s="30">
        <v>0</v>
      </c>
      <c r="AU39" s="30">
        <v>-0.89502531223844695</v>
      </c>
      <c r="AV39" s="30">
        <v>0.21613992054534539</v>
      </c>
      <c r="AW39" s="30">
        <v>0</v>
      </c>
      <c r="AX39" s="30">
        <v>0</v>
      </c>
      <c r="AY39" s="30">
        <v>0</v>
      </c>
      <c r="AZ39" s="30">
        <v>0</v>
      </c>
      <c r="BA39" s="30">
        <v>4.9066932251793904</v>
      </c>
      <c r="BB39" s="30">
        <v>-0.1545626208114057</v>
      </c>
      <c r="BC39" s="30">
        <v>-0.5</v>
      </c>
      <c r="BD39" s="30">
        <v>0</v>
      </c>
      <c r="BE39" s="30">
        <v>0</v>
      </c>
      <c r="BF39" s="30">
        <v>0</v>
      </c>
      <c r="BG39" s="30">
        <v>-1.5135571495476841</v>
      </c>
      <c r="BH39" s="30">
        <v>0.14209622300092639</v>
      </c>
      <c r="BI39" s="30">
        <v>0</v>
      </c>
      <c r="BJ39" s="30">
        <v>0</v>
      </c>
      <c r="BK39" s="30">
        <v>0</v>
      </c>
      <c r="BL39" s="30">
        <v>0</v>
      </c>
      <c r="BM39" s="30">
        <v>-18.223094884313308</v>
      </c>
      <c r="BN39" s="30">
        <v>0</v>
      </c>
      <c r="BO39" s="30">
        <v>0</v>
      </c>
      <c r="BP39" s="30">
        <v>0</v>
      </c>
      <c r="BQ39" s="30">
        <v>0</v>
      </c>
      <c r="BR39" s="30">
        <v>0</v>
      </c>
      <c r="BS39" s="30">
        <v>0</v>
      </c>
    </row>
    <row r="40" spans="2:71" x14ac:dyDescent="0.2">
      <c r="B40" s="51">
        <v>38</v>
      </c>
      <c r="C40" t="str">
        <v>Komunikacija ir konsultantai, UAB</v>
      </c>
      <c r="D40" s="31">
        <f t="shared" si="0"/>
        <v>8.9080961691242244E-2</v>
      </c>
      <c r="E40" s="33">
        <f t="shared" si="1"/>
        <v>5.7442295546896498E-2</v>
      </c>
      <c r="F40" s="33">
        <f t="shared" si="2"/>
        <v>5.4888281323654198E-2</v>
      </c>
      <c r="G40" s="33">
        <f t="shared" si="3"/>
        <v>2.5868349957767212E-2</v>
      </c>
      <c r="H40" s="34">
        <f t="shared" si="4"/>
        <v>-0.13728424179381771</v>
      </c>
      <c r="I40" s="15">
        <v>38</v>
      </c>
      <c r="J40" t="str">
        <v>Petraitis ir Pūras, UAB</v>
      </c>
      <c r="K40" s="30">
        <f t="shared" si="5"/>
        <v>5.3848571471332152E-2</v>
      </c>
      <c r="L40" s="30">
        <f t="shared" si="6"/>
        <v>0.25709286574352808</v>
      </c>
      <c r="M40" s="30">
        <f t="shared" si="7"/>
        <v>0.1859785349309413</v>
      </c>
      <c r="N40" s="30">
        <f t="shared" si="8"/>
        <v>7.2921404802374745E-2</v>
      </c>
      <c r="O40" s="70">
        <f t="shared" si="9"/>
        <v>-9.0134831950162253E-2</v>
      </c>
      <c r="P40" s="51">
        <v>38</v>
      </c>
      <c r="Q40" t="str">
        <v>Petraitis ir Pūras, UAB</v>
      </c>
      <c r="R40" s="33">
        <f t="shared" si="10"/>
        <v>0.10698202867781825</v>
      </c>
      <c r="S40" s="33">
        <f t="shared" si="11"/>
        <v>0.4273319128787878</v>
      </c>
      <c r="T40" s="33">
        <f t="shared" si="12"/>
        <v>-0.33262234861950468</v>
      </c>
      <c r="U40" s="33">
        <f t="shared" si="13"/>
        <v>0.16439616237248544</v>
      </c>
      <c r="V40" s="56">
        <f t="shared" si="14"/>
        <v>0</v>
      </c>
      <c r="AH40" t="s">
        <v>924</v>
      </c>
      <c r="AI40" t="s">
        <v>1501</v>
      </c>
      <c r="AJ40" s="30">
        <v>-0.17320684775893341</v>
      </c>
      <c r="AK40" s="30">
        <v>0</v>
      </c>
      <c r="AL40" s="30">
        <v>0</v>
      </c>
      <c r="AM40" s="30">
        <v>0</v>
      </c>
      <c r="AN40" s="30">
        <v>0</v>
      </c>
      <c r="AO40" s="30">
        <v>-0.78731707317073174</v>
      </c>
      <c r="AP40" s="30">
        <v>-0.21735400549039191</v>
      </c>
      <c r="AQ40" s="30">
        <v>0</v>
      </c>
      <c r="AR40" s="30">
        <v>0</v>
      </c>
      <c r="AS40" s="30">
        <v>0</v>
      </c>
      <c r="AT40" s="30">
        <v>0</v>
      </c>
      <c r="AU40" s="30">
        <v>0.1276127612761275</v>
      </c>
      <c r="AV40" s="30">
        <v>1.02322645796516</v>
      </c>
      <c r="AW40" s="30">
        <v>0</v>
      </c>
      <c r="AX40" s="30">
        <v>0</v>
      </c>
      <c r="AY40" s="30">
        <v>0</v>
      </c>
      <c r="AZ40" s="30">
        <v>0</v>
      </c>
      <c r="BA40" s="30">
        <v>0.32122093023255821</v>
      </c>
      <c r="BB40" s="30">
        <v>0.76505319445218078</v>
      </c>
      <c r="BC40" s="30">
        <v>0</v>
      </c>
      <c r="BD40" s="30">
        <v>0</v>
      </c>
      <c r="BE40" s="30">
        <v>0</v>
      </c>
      <c r="BF40" s="30">
        <v>0</v>
      </c>
      <c r="BG40" s="30">
        <v>0.16907391673746819</v>
      </c>
      <c r="BH40" s="30">
        <v>-0.18595266164868049</v>
      </c>
      <c r="BI40" s="30">
        <v>0</v>
      </c>
      <c r="BJ40" s="30">
        <v>0</v>
      </c>
      <c r="BK40" s="30">
        <v>0</v>
      </c>
      <c r="BL40" s="30">
        <v>0</v>
      </c>
      <c r="BM40" s="30">
        <v>1.5203426124196999</v>
      </c>
      <c r="BN40" s="30">
        <v>0</v>
      </c>
      <c r="BO40" s="30">
        <v>0</v>
      </c>
      <c r="BP40" s="30">
        <v>0</v>
      </c>
      <c r="BQ40" s="30">
        <v>0</v>
      </c>
      <c r="BR40" s="30">
        <v>0</v>
      </c>
      <c r="BS40" s="30">
        <v>0</v>
      </c>
    </row>
    <row r="41" spans="2:71" x14ac:dyDescent="0.2">
      <c r="B41" s="51">
        <v>39</v>
      </c>
      <c r="C41" t="str">
        <v>Protingi sprendimai, UAB</v>
      </c>
      <c r="D41" s="31">
        <f t="shared" si="0"/>
        <v>8.6584871117398654E-2</v>
      </c>
      <c r="E41" s="33">
        <f t="shared" si="1"/>
        <v>-8.2485099235038439E-2</v>
      </c>
      <c r="F41" s="33">
        <f t="shared" si="2"/>
        <v>9.9999868768298583E-2</v>
      </c>
      <c r="G41" s="33">
        <f t="shared" si="3"/>
        <v>0.3570625896013464</v>
      </c>
      <c r="H41" s="34">
        <f t="shared" si="4"/>
        <v>-5.7226422475524667E-2</v>
      </c>
      <c r="I41" s="51">
        <v>39</v>
      </c>
      <c r="J41" t="str">
        <v>Via Media, UAB</v>
      </c>
      <c r="K41" s="30">
        <f t="shared" si="5"/>
        <v>4.9991862494729755E-2</v>
      </c>
      <c r="L41" s="30">
        <f t="shared" si="6"/>
        <v>-0.18124283291013643</v>
      </c>
      <c r="M41" s="30">
        <f t="shared" si="7"/>
        <v>4.3256399790075228E-2</v>
      </c>
      <c r="N41" s="30">
        <f t="shared" si="8"/>
        <v>1.0592943233412706</v>
      </c>
      <c r="O41" s="70">
        <f t="shared" si="9"/>
        <v>-0.2489835371068928</v>
      </c>
      <c r="P41" s="51">
        <v>39</v>
      </c>
      <c r="Q41" t="str">
        <v>Wide Wings, UAB</v>
      </c>
      <c r="R41" s="33">
        <f t="shared" si="10"/>
        <v>0.1</v>
      </c>
      <c r="S41" s="33">
        <f t="shared" si="11"/>
        <v>-0.35</v>
      </c>
      <c r="T41" s="33">
        <f t="shared" si="12"/>
        <v>-0.39</v>
      </c>
      <c r="U41" s="33">
        <f t="shared" si="13"/>
        <v>-0.46</v>
      </c>
      <c r="V41" s="56">
        <f t="shared" si="14"/>
        <v>20.83</v>
      </c>
      <c r="AH41" t="s">
        <v>1200</v>
      </c>
      <c r="AI41" t="s">
        <v>1503</v>
      </c>
      <c r="AJ41" s="30">
        <v>0.1</v>
      </c>
      <c r="AK41" s="30">
        <v>-3.125E-2</v>
      </c>
      <c r="AL41" s="30">
        <v>0.05</v>
      </c>
      <c r="AM41" s="30">
        <v>1.9687195715676786E-2</v>
      </c>
      <c r="AN41" s="30">
        <v>0.11266565858282251</v>
      </c>
      <c r="AO41" s="30">
        <v>0</v>
      </c>
      <c r="AP41" s="30">
        <v>0.01</v>
      </c>
      <c r="AQ41" s="30">
        <v>-3.0303030303030276E-2</v>
      </c>
      <c r="AR41" s="30">
        <v>0.08</v>
      </c>
      <c r="AS41" s="30">
        <v>4.7925767673224762E-2</v>
      </c>
      <c r="AT41" s="30">
        <v>1.172432728912165E-2</v>
      </c>
      <c r="AU41" s="30">
        <v>-0.2</v>
      </c>
      <c r="AV41" s="30">
        <v>-0.12</v>
      </c>
      <c r="AW41" s="30">
        <v>3.125E-2</v>
      </c>
      <c r="AX41" s="30">
        <v>0.11</v>
      </c>
      <c r="AY41" s="30">
        <v>0.14178398058252428</v>
      </c>
      <c r="AZ41" s="30">
        <v>-0.14013638264157824</v>
      </c>
      <c r="BA41" s="30">
        <v>-0.35</v>
      </c>
      <c r="BB41" s="30">
        <v>0.72</v>
      </c>
      <c r="BC41" s="30">
        <v>0.18518518518518512</v>
      </c>
      <c r="BD41" s="30">
        <v>0.19</v>
      </c>
      <c r="BE41" s="30">
        <v>0.4083303423404947</v>
      </c>
      <c r="BF41" s="30">
        <v>0.75563149201717228</v>
      </c>
      <c r="BG41" s="30">
        <v>0.87</v>
      </c>
      <c r="BH41" s="30">
        <v>0.03</v>
      </c>
      <c r="BI41" s="30">
        <v>0.125</v>
      </c>
      <c r="BJ41" s="30">
        <v>0.06</v>
      </c>
      <c r="BK41" s="30">
        <v>0.18978770131771605</v>
      </c>
      <c r="BL41" s="30">
        <v>4.4888004852979391E-2</v>
      </c>
      <c r="BM41" s="30">
        <v>-0.35</v>
      </c>
      <c r="BN41" s="30">
        <v>0</v>
      </c>
      <c r="BO41" s="30">
        <v>0</v>
      </c>
      <c r="BP41" s="30">
        <v>0</v>
      </c>
      <c r="BQ41" s="30">
        <v>0</v>
      </c>
      <c r="BR41" s="30">
        <v>0</v>
      </c>
      <c r="BS41" s="30">
        <v>0</v>
      </c>
    </row>
    <row r="42" spans="2:71" x14ac:dyDescent="0.2">
      <c r="B42" s="51">
        <v>40</v>
      </c>
      <c r="C42" t="str">
        <v>Ric Creative, UAB</v>
      </c>
      <c r="D42" s="31">
        <f t="shared" si="0"/>
        <v>8.2712185997241061E-2</v>
      </c>
      <c r="E42" s="33">
        <f t="shared" si="1"/>
        <v>-0.12372493754121694</v>
      </c>
      <c r="F42" s="33">
        <f t="shared" si="2"/>
        <v>0.56545801526717554</v>
      </c>
      <c r="G42" s="33">
        <f t="shared" si="3"/>
        <v>-1.1740860329889302E-2</v>
      </c>
      <c r="H42" s="34">
        <f t="shared" si="4"/>
        <v>0</v>
      </c>
      <c r="I42" s="57">
        <v>40</v>
      </c>
      <c r="J42" s="58" t="str">
        <v>Maniac, UAB</v>
      </c>
      <c r="K42" s="71">
        <f t="shared" si="5"/>
        <v>3.6869006545465099E-2</v>
      </c>
      <c r="L42" s="71">
        <f t="shared" si="6"/>
        <v>-3.6886820044610968E-2</v>
      </c>
      <c r="M42" s="71">
        <f t="shared" si="7"/>
        <v>-5.8077899663109722E-2</v>
      </c>
      <c r="N42" s="71">
        <f t="shared" si="8"/>
        <v>0.14022904114565993</v>
      </c>
      <c r="O42" s="72">
        <f t="shared" si="9"/>
        <v>0.19811915352840082</v>
      </c>
      <c r="P42" s="57">
        <v>40</v>
      </c>
      <c r="Q42" s="58" t="str">
        <v>Synthesis Consulting Group, UAB</v>
      </c>
      <c r="R42" s="59">
        <f t="shared" si="10"/>
        <v>6.5269196368907378E-2</v>
      </c>
      <c r="S42" s="59">
        <f t="shared" si="11"/>
        <v>0.33038364220748129</v>
      </c>
      <c r="T42" s="59">
        <f t="shared" si="12"/>
        <v>0.2472492792685215</v>
      </c>
      <c r="U42" s="59">
        <f t="shared" si="13"/>
        <v>0.75095730508909964</v>
      </c>
      <c r="V42" s="60">
        <f t="shared" si="14"/>
        <v>0.55502605690717055</v>
      </c>
      <c r="AH42" t="s">
        <v>232</v>
      </c>
      <c r="AI42" t="s">
        <v>1504</v>
      </c>
      <c r="AJ42" s="30">
        <v>-2.6853166797184861E-2</v>
      </c>
      <c r="AK42" s="30">
        <v>9.0909090909090828E-2</v>
      </c>
      <c r="AL42" s="30">
        <v>4.8969072164948502E-2</v>
      </c>
      <c r="AM42" s="30">
        <v>0.14432989690721643</v>
      </c>
      <c r="AN42" s="30">
        <v>-5.5723456334275778E-2</v>
      </c>
      <c r="AO42" s="30">
        <v>1.001202146113195</v>
      </c>
      <c r="AP42" s="30">
        <v>0.137116291229884</v>
      </c>
      <c r="AQ42" s="30">
        <v>0</v>
      </c>
      <c r="AR42" s="30">
        <v>0.16867469879518079</v>
      </c>
      <c r="AS42" s="30">
        <v>0.16867469879518082</v>
      </c>
      <c r="AT42" s="30">
        <v>0.13765158037630387</v>
      </c>
      <c r="AU42" s="30">
        <v>-8.1752852274410981E-2</v>
      </c>
      <c r="AV42" s="30">
        <v>1.8521421880235641E-2</v>
      </c>
      <c r="AW42" s="30">
        <v>0.10000000000000009</v>
      </c>
      <c r="AX42" s="30">
        <v>6.9434502505368645E-2</v>
      </c>
      <c r="AY42" s="30">
        <v>0.17637795275590551</v>
      </c>
      <c r="AZ42" s="30">
        <v>2.8912052642117159E-2</v>
      </c>
      <c r="BA42" s="30">
        <v>-0.58153392092609413</v>
      </c>
      <c r="BB42" s="30">
        <v>0.16352553512749729</v>
      </c>
      <c r="BC42" s="30">
        <v>5.2631578947368363E-2</v>
      </c>
      <c r="BD42" s="30">
        <v>9.1832747166862072E-2</v>
      </c>
      <c r="BE42" s="30">
        <v>0.14929762859669693</v>
      </c>
      <c r="BF42" s="30">
        <v>0.16480979631536896</v>
      </c>
      <c r="BG42" s="30">
        <v>0.1599128336611659</v>
      </c>
      <c r="BH42" s="30">
        <v>7.9345828905780458E-2</v>
      </c>
      <c r="BI42" s="30">
        <v>-9.5238095238095233E-2</v>
      </c>
      <c r="BJ42" s="30">
        <v>0.16636280765724701</v>
      </c>
      <c r="BK42" s="30">
        <v>5.5280635499413977E-2</v>
      </c>
      <c r="BL42" s="30">
        <v>8.8500459290626887E-2</v>
      </c>
      <c r="BM42" s="30">
        <v>-7.8507261888588031E-2</v>
      </c>
      <c r="BN42" s="30">
        <v>0</v>
      </c>
      <c r="BO42" s="30">
        <v>0</v>
      </c>
      <c r="BP42" s="30">
        <v>0</v>
      </c>
      <c r="BQ42" s="30">
        <v>0</v>
      </c>
      <c r="BR42" s="30">
        <v>0</v>
      </c>
      <c r="BS42" s="30">
        <v>0</v>
      </c>
    </row>
    <row r="43" spans="2:71" x14ac:dyDescent="0.2">
      <c r="B43" s="79" t="s">
        <v>1759</v>
      </c>
      <c r="C43" s="16"/>
      <c r="D43" s="16">
        <v>2024</v>
      </c>
      <c r="E43" s="16">
        <v>2023</v>
      </c>
      <c r="F43" s="16">
        <v>2022</v>
      </c>
      <c r="G43" s="16">
        <v>2021</v>
      </c>
      <c r="H43" s="32">
        <v>2020</v>
      </c>
      <c r="I43" s="16" t="s">
        <v>1760</v>
      </c>
      <c r="J43" s="16"/>
      <c r="K43" s="16">
        <v>2024</v>
      </c>
      <c r="L43" s="16">
        <v>2023</v>
      </c>
      <c r="M43" s="16">
        <v>2022</v>
      </c>
      <c r="N43" s="16">
        <v>2021</v>
      </c>
      <c r="O43" s="32">
        <v>2020</v>
      </c>
      <c r="P43" s="61" t="s">
        <v>1761</v>
      </c>
      <c r="Q43" s="61"/>
      <c r="R43" s="61">
        <v>2024</v>
      </c>
      <c r="S43" s="61">
        <v>2023</v>
      </c>
      <c r="T43" s="61">
        <v>2022</v>
      </c>
      <c r="U43" s="61">
        <v>2021</v>
      </c>
      <c r="V43" s="80">
        <v>2020</v>
      </c>
      <c r="AH43" t="s">
        <v>566</v>
      </c>
      <c r="AI43" t="s">
        <v>1507</v>
      </c>
      <c r="AJ43" s="30">
        <v>-0.1471976617129904</v>
      </c>
      <c r="AK43" s="30">
        <v>0</v>
      </c>
      <c r="AL43" s="30">
        <v>5.3399668325041498E-2</v>
      </c>
      <c r="AM43" s="30">
        <v>5.3399668325041505E-2</v>
      </c>
      <c r="AN43" s="30">
        <v>-0.12540716910419136</v>
      </c>
      <c r="AO43" s="30">
        <v>-0.78363145347359131</v>
      </c>
      <c r="AP43" s="30">
        <v>0.52062520872587537</v>
      </c>
      <c r="AQ43" s="30">
        <v>0</v>
      </c>
      <c r="AR43" s="30">
        <v>7.7170418006430763E-2</v>
      </c>
      <c r="AS43" s="30">
        <v>7.7170418006430763E-2</v>
      </c>
      <c r="AT43" s="30">
        <v>0.64046711296568692</v>
      </c>
      <c r="AU43" s="30">
        <v>3.8851318101933221</v>
      </c>
      <c r="AV43" s="30">
        <v>9.9057310837593615E-3</v>
      </c>
      <c r="AW43" s="30">
        <v>0.15384615384615374</v>
      </c>
      <c r="AX43" s="30">
        <v>7.0363288718929162E-2</v>
      </c>
      <c r="AY43" s="30">
        <v>0.23503456390645683</v>
      </c>
      <c r="AZ43" s="30">
        <v>5.4334081884894081E-2</v>
      </c>
      <c r="BA43" s="30">
        <v>-0.73492636325802985</v>
      </c>
      <c r="BB43" s="30">
        <v>4.5549609666819313E-2</v>
      </c>
      <c r="BC43" s="30">
        <v>-0.1333333333333333</v>
      </c>
      <c r="BD43" s="30">
        <v>4.5163868904876107E-2</v>
      </c>
      <c r="BE43" s="30">
        <v>-9.4191313615774042E-2</v>
      </c>
      <c r="BF43" s="30">
        <v>0.39101577720395464</v>
      </c>
      <c r="BG43" s="30">
        <v>-0.33987608812422349</v>
      </c>
      <c r="BH43" s="30">
        <v>-0.1036806263354971</v>
      </c>
      <c r="BI43" s="30">
        <v>-0.16666666666666663</v>
      </c>
      <c r="BJ43" s="30">
        <v>0.12046574115539641</v>
      </c>
      <c r="BK43" s="30">
        <v>-6.6278549037169676E-2</v>
      </c>
      <c r="BL43" s="30">
        <v>-0.26249661090970489</v>
      </c>
      <c r="BM43" s="30">
        <v>0.33208981718674041</v>
      </c>
      <c r="BN43" s="30">
        <v>0</v>
      </c>
      <c r="BO43" s="30">
        <v>0</v>
      </c>
      <c r="BP43" s="30">
        <v>0</v>
      </c>
      <c r="BQ43" s="30">
        <v>0</v>
      </c>
      <c r="BR43" s="30">
        <v>0</v>
      </c>
      <c r="BS43" s="30">
        <v>0</v>
      </c>
    </row>
    <row r="44" spans="2:71" ht="16" x14ac:dyDescent="0.2">
      <c r="B44" s="51">
        <v>1</v>
      </c>
      <c r="C44" t="str" cm="1">
        <f t="array" ref="C44:C83">INDEX(_xlfn._xlws.SORT(AH6:AM118,{5;1},{-1;1}),_xlfn.SEQUENCE(40),1)</f>
        <v>Synthesis Consulting Group, UAB</v>
      </c>
      <c r="D44" s="33">
        <f>VLOOKUP(C44,AH:BS,5,0)</f>
        <v>0.42759347024749861</v>
      </c>
      <c r="E44" s="33">
        <f>VLOOKUP(C44,AH:BS,11,0)</f>
        <v>0.49645390070921991</v>
      </c>
      <c r="F44" s="33">
        <f>VLOOKUP(C44,AH:BS,17,0)</f>
        <v>0.1971698113207547</v>
      </c>
      <c r="G44" s="33">
        <f>VLOOKUP(C44,AH:BS,23,0)</f>
        <v>-0.11297071129707111</v>
      </c>
      <c r="H44" s="34">
        <f>VLOOKUP(C44,AH:BS,29,0)</f>
        <v>0</v>
      </c>
      <c r="I44" s="15">
        <v>1</v>
      </c>
      <c r="J44" t="str" cm="1">
        <f t="array" ref="J44:J83">INDEX(_xlfn._xlws.SORT(AH6:AK118,{4;1},{-1;1}),_xlfn.SEQUENCE(40),1)</f>
        <v>Vaizdo skonis, UAB</v>
      </c>
      <c r="K44" s="33">
        <f t="shared" ref="K44:K83" si="15">VLOOKUP(J44,AH:BS,4,0)</f>
        <v>1</v>
      </c>
      <c r="L44" s="33">
        <f t="shared" ref="L44:L83" si="16">VLOOKUP(J44,AH:BS,10,0)</f>
        <v>0</v>
      </c>
      <c r="M44" s="33">
        <f t="shared" ref="M44:M83" si="17">VLOOKUP(J44,AH:BS,16,0)</f>
        <v>-0.5</v>
      </c>
      <c r="N44" s="33">
        <f t="shared" ref="N44:N83" si="18">VLOOKUP(J44,AH:BS,22,0)</f>
        <v>0</v>
      </c>
      <c r="O44" s="34">
        <f t="shared" ref="O44:O83" si="19">VLOOKUP(J44,AH:BS,28,0)</f>
        <v>0</v>
      </c>
      <c r="P44" s="52">
        <v>1</v>
      </c>
      <c r="Q44" s="66" t="str" cm="1">
        <f t="array" ref="Q44:Q83">INDEX(_xlfn._xlws.SORT(AH6:AM118,{6;1},{-1;1}),_xlfn.SEQUENCE(40),1)</f>
        <v>Panama Agency, MB</v>
      </c>
      <c r="R44" s="67">
        <f t="shared" ref="R44:R83" si="20">VLOOKUP(Q44,AH:BS,6,0)</f>
        <v>1.341549295774648</v>
      </c>
      <c r="S44" s="67">
        <f t="shared" ref="S44:S83" si="21">VLOOKUP(Q44,AH:BS,12,0)</f>
        <v>0</v>
      </c>
      <c r="T44" s="67">
        <f t="shared" ref="T44:T83" si="22">VLOOKUP(Q44,AH:BS,18,0)</f>
        <v>0</v>
      </c>
      <c r="U44" s="67">
        <f t="shared" ref="U44:U83" si="23">VLOOKUP(Q44,AH:BS,24,0)</f>
        <v>0</v>
      </c>
      <c r="V44" s="69">
        <f t="shared" ref="V44:V83" si="24">VLOOKUP(Q44,AH:BS,30,0)</f>
        <v>0</v>
      </c>
      <c r="AH44" t="s">
        <v>762</v>
      </c>
      <c r="AI44" t="s">
        <v>1510</v>
      </c>
      <c r="AJ44" s="30">
        <v>-0.26844928776341109</v>
      </c>
      <c r="AK44" s="30">
        <v>-0.5</v>
      </c>
      <c r="AL44" s="30">
        <v>2.4937655860349128E-2</v>
      </c>
      <c r="AM44" s="30">
        <v>-0.48753117206982544</v>
      </c>
      <c r="AN44" s="30">
        <v>-0.16856897802995319</v>
      </c>
      <c r="AO44" s="30">
        <v>-0.39493865030674852</v>
      </c>
      <c r="AP44" s="30">
        <v>0.50290726865753843</v>
      </c>
      <c r="AQ44" s="30">
        <v>0.19999999999999996</v>
      </c>
      <c r="AR44" s="30">
        <v>0.101043382756727</v>
      </c>
      <c r="AS44" s="30">
        <v>0.32125205930807255</v>
      </c>
      <c r="AT44" s="30">
        <v>0.59549767665679187</v>
      </c>
      <c r="AU44" s="30">
        <v>-28.166666666666671</v>
      </c>
      <c r="AV44" s="30">
        <v>0.51158258621449448</v>
      </c>
      <c r="AW44" s="30">
        <v>0.25</v>
      </c>
      <c r="AX44" s="30">
        <v>-0.2296954314720813</v>
      </c>
      <c r="AY44" s="30">
        <v>-3.7119289340101558E-2</v>
      </c>
      <c r="AZ44" s="30">
        <v>1.3442104768395571</v>
      </c>
      <c r="BA44" s="30">
        <v>-1.0084880636604769</v>
      </c>
      <c r="BB44" s="30">
        <v>0.4574044472354637</v>
      </c>
      <c r="BC44" s="30">
        <v>0.33333333333333326</v>
      </c>
      <c r="BD44" s="30">
        <v>6.3856960408683614E-3</v>
      </c>
      <c r="BE44" s="30">
        <v>0.34184759472115789</v>
      </c>
      <c r="BF44" s="30">
        <v>0.55196498586669107</v>
      </c>
      <c r="BG44" s="30">
        <v>6.7148703956343789</v>
      </c>
      <c r="BH44" s="30">
        <v>3.3475179397166599E-2</v>
      </c>
      <c r="BI44" s="30">
        <v>-0.4</v>
      </c>
      <c r="BJ44" s="30">
        <v>0.49427480916030531</v>
      </c>
      <c r="BK44" s="30">
        <v>-0.10343511450381682</v>
      </c>
      <c r="BL44" s="30">
        <v>0.91724065592112169</v>
      </c>
      <c r="BM44" s="30">
        <v>-0.94215593434343436</v>
      </c>
      <c r="BN44" s="30">
        <v>0</v>
      </c>
      <c r="BO44" s="30">
        <v>0</v>
      </c>
      <c r="BP44" s="30">
        <v>0</v>
      </c>
      <c r="BQ44" s="30">
        <v>0</v>
      </c>
      <c r="BR44" s="30">
        <v>0</v>
      </c>
      <c r="BS44" s="30">
        <v>0</v>
      </c>
    </row>
    <row r="45" spans="2:71" x14ac:dyDescent="0.2">
      <c r="B45" s="51">
        <v>2</v>
      </c>
      <c r="C45" t="str">
        <v>PR Service, UAB (PIAR)</v>
      </c>
      <c r="D45" s="33">
        <f t="shared" ref="D45:D83" si="25">VLOOKUP(C45,AH:BS,5,0)</f>
        <v>0.4234277484397504</v>
      </c>
      <c r="E45" s="33">
        <f t="shared" ref="E45:E83" si="26">VLOOKUP(C45,AH:BS,11,0)</f>
        <v>0.3200253485424589</v>
      </c>
      <c r="F45" s="33">
        <f t="shared" ref="F45:F83" si="27">VLOOKUP(C45,AH:BS,17,0)</f>
        <v>-3.4862385321100857E-2</v>
      </c>
      <c r="G45" s="33">
        <f t="shared" ref="G45:G83" si="28">VLOOKUP(C45,AH:BS,23,0)</f>
        <v>-6.1124694376524236E-4</v>
      </c>
      <c r="H45" s="34">
        <f t="shared" ref="H45:H83" si="29">VLOOKUP(C45,AH:BS,29,0)</f>
        <v>7.1381794368041929E-2</v>
      </c>
      <c r="I45" s="15">
        <v>2</v>
      </c>
      <c r="J45" t="str">
        <v>Panama Agency, MB</v>
      </c>
      <c r="K45" s="33">
        <f t="shared" si="15"/>
        <v>0.66666666666666674</v>
      </c>
      <c r="L45" s="33">
        <f t="shared" si="16"/>
        <v>0.5</v>
      </c>
      <c r="M45" s="33">
        <f t="shared" si="17"/>
        <v>1</v>
      </c>
      <c r="N45" s="33">
        <f t="shared" si="18"/>
        <v>0</v>
      </c>
      <c r="O45" s="34">
        <f t="shared" si="19"/>
        <v>0</v>
      </c>
      <c r="P45" s="51">
        <v>2</v>
      </c>
      <c r="Q45" t="str">
        <v>Synthesis Consulting Group, UAB</v>
      </c>
      <c r="R45" s="30">
        <f t="shared" si="20"/>
        <v>1.2433611675317837</v>
      </c>
      <c r="S45" s="30">
        <f t="shared" si="21"/>
        <v>1.0950354609929076</v>
      </c>
      <c r="T45" s="30">
        <f t="shared" si="22"/>
        <v>0.4964622641509433</v>
      </c>
      <c r="U45" s="30">
        <f t="shared" si="23"/>
        <v>-0.11297071129707115</v>
      </c>
      <c r="V45" s="70">
        <f t="shared" si="24"/>
        <v>0</v>
      </c>
      <c r="AH45" t="s">
        <v>436</v>
      </c>
      <c r="AI45" t="s">
        <v>1514</v>
      </c>
      <c r="AJ45" s="30">
        <v>-3.9773109432100988E-2</v>
      </c>
      <c r="AK45" s="30">
        <v>-0.16666666666666663</v>
      </c>
      <c r="AL45" s="30">
        <v>0.15153583617747429</v>
      </c>
      <c r="AM45" s="30">
        <v>-4.0386803185437969E-2</v>
      </c>
      <c r="AN45" s="30">
        <v>1.0925188190068269E-2</v>
      </c>
      <c r="AO45" s="30">
        <v>-0.73352387498009364</v>
      </c>
      <c r="AP45" s="30">
        <v>0.16508722585145749</v>
      </c>
      <c r="AQ45" s="30">
        <v>-2.7027027027026973E-2</v>
      </c>
      <c r="AR45" s="30">
        <v>0.13040123456790129</v>
      </c>
      <c r="AS45" s="30">
        <v>9.9849849849849903E-2</v>
      </c>
      <c r="AT45" s="30">
        <v>0.28733355987548004</v>
      </c>
      <c r="AU45" s="30">
        <v>-0.30746637721370562</v>
      </c>
      <c r="AV45" s="30">
        <v>9.1518894142153417E-2</v>
      </c>
      <c r="AW45" s="30">
        <v>0.19354838709677424</v>
      </c>
      <c r="AX45" s="30">
        <v>-5.1938551572787151E-2</v>
      </c>
      <c r="AY45" s="30">
        <v>0.1315572126389315</v>
      </c>
      <c r="AZ45" s="30">
        <v>4.5581630127688344E-2</v>
      </c>
      <c r="BA45" s="30">
        <v>0.19958917940326559</v>
      </c>
      <c r="BB45" s="30">
        <v>0.14745747381264421</v>
      </c>
      <c r="BC45" s="30">
        <v>0.19230769230769229</v>
      </c>
      <c r="BD45" s="30">
        <v>0.27459207459207469</v>
      </c>
      <c r="BE45" s="30">
        <v>0.51970593509055041</v>
      </c>
      <c r="BF45" s="30">
        <v>8.9854508713489434E-3</v>
      </c>
      <c r="BG45" s="30">
        <v>-0.26666428374472778</v>
      </c>
      <c r="BH45" s="30">
        <v>-2.004941987516318E-2</v>
      </c>
      <c r="BI45" s="30">
        <v>-0.1333333333333333</v>
      </c>
      <c r="BJ45" s="30">
        <v>8.388074785245081E-2</v>
      </c>
      <c r="BK45" s="30">
        <v>-6.0636685194542683E-2</v>
      </c>
      <c r="BL45" s="30">
        <v>-3.048283058622181E-2</v>
      </c>
      <c r="BM45" s="30">
        <v>0.24728046263979819</v>
      </c>
      <c r="BN45" s="30">
        <v>0</v>
      </c>
      <c r="BO45" s="30">
        <v>0</v>
      </c>
      <c r="BP45" s="30">
        <v>0</v>
      </c>
      <c r="BQ45" s="30">
        <v>0</v>
      </c>
      <c r="BR45" s="30">
        <v>0</v>
      </c>
      <c r="BS45" s="30">
        <v>0</v>
      </c>
    </row>
    <row r="46" spans="2:71" x14ac:dyDescent="0.2">
      <c r="B46" s="51">
        <v>3</v>
      </c>
      <c r="C46" t="str">
        <v>Meta advisory Lithuania, UAB</v>
      </c>
      <c r="D46" s="33">
        <f t="shared" si="25"/>
        <v>0.41935483870967749</v>
      </c>
      <c r="E46" s="33">
        <f t="shared" si="26"/>
        <v>0</v>
      </c>
      <c r="F46" s="33">
        <f t="shared" si="27"/>
        <v>0</v>
      </c>
      <c r="G46" s="33">
        <f t="shared" si="28"/>
        <v>0</v>
      </c>
      <c r="H46" s="34">
        <f t="shared" si="29"/>
        <v>0</v>
      </c>
      <c r="I46" s="15">
        <v>3</v>
      </c>
      <c r="J46" t="str">
        <v>Synthesis Consulting Group, UAB</v>
      </c>
      <c r="K46" s="33">
        <f t="shared" si="15"/>
        <v>0.5714285714285714</v>
      </c>
      <c r="L46" s="33">
        <f t="shared" si="16"/>
        <v>0.39999999999999991</v>
      </c>
      <c r="M46" s="33">
        <f t="shared" si="17"/>
        <v>0.25</v>
      </c>
      <c r="N46" s="33">
        <f t="shared" si="18"/>
        <v>0</v>
      </c>
      <c r="O46" s="34">
        <f t="shared" si="19"/>
        <v>0.33333333333333326</v>
      </c>
      <c r="P46" s="51">
        <v>3</v>
      </c>
      <c r="Q46" t="str">
        <v>Media mind, UAB</v>
      </c>
      <c r="R46" s="30">
        <f t="shared" si="20"/>
        <v>0.53459210147016423</v>
      </c>
      <c r="S46" s="30">
        <f t="shared" si="21"/>
        <v>4.45648900933453E-2</v>
      </c>
      <c r="T46" s="30">
        <f t="shared" si="22"/>
        <v>0.37068565237579332</v>
      </c>
      <c r="U46" s="30">
        <f t="shared" si="23"/>
        <v>-0.16682427785419529</v>
      </c>
      <c r="V46" s="70">
        <f t="shared" si="24"/>
        <v>-0.2055865731018115</v>
      </c>
      <c r="AH46" t="s">
        <v>1517</v>
      </c>
      <c r="AI46" t="s">
        <v>1518</v>
      </c>
      <c r="AJ46" s="30">
        <v>-0.4</v>
      </c>
      <c r="AK46" s="30">
        <v>0</v>
      </c>
      <c r="AL46" s="30">
        <v>0</v>
      </c>
      <c r="AM46" s="30">
        <v>-1</v>
      </c>
      <c r="AN46" s="30">
        <v>-1</v>
      </c>
      <c r="AO46" s="30">
        <v>-0.65</v>
      </c>
      <c r="AP46" s="30">
        <v>0.12</v>
      </c>
      <c r="AQ46" s="30">
        <v>-0.25</v>
      </c>
      <c r="AR46" s="30">
        <v>-0.02</v>
      </c>
      <c r="AS46" s="30">
        <v>-0.26398508257858289</v>
      </c>
      <c r="AT46" s="30">
        <v>6.1625710980608206E-2</v>
      </c>
      <c r="AU46" s="30">
        <v>47.33</v>
      </c>
      <c r="AV46" s="30">
        <v>-0.17</v>
      </c>
      <c r="AW46" s="30">
        <v>0</v>
      </c>
      <c r="AX46" s="30">
        <v>0.23</v>
      </c>
      <c r="AY46" s="30">
        <v>0.23324572930354792</v>
      </c>
      <c r="AZ46" s="30">
        <v>-6.4618054475246267E-2</v>
      </c>
      <c r="BA46" s="30">
        <v>-0.99</v>
      </c>
      <c r="BB46" s="30">
        <v>0.08</v>
      </c>
      <c r="BC46" s="30">
        <v>0</v>
      </c>
      <c r="BD46" s="30">
        <v>0.1</v>
      </c>
      <c r="BE46" s="30">
        <v>9.7332372025955349E-2</v>
      </c>
      <c r="BF46" s="30">
        <v>2.1084855667619529E-2</v>
      </c>
      <c r="BG46" s="30">
        <v>0.79</v>
      </c>
      <c r="BH46" s="30">
        <v>0.25</v>
      </c>
      <c r="BI46" s="30">
        <v>0.33333333333333326</v>
      </c>
      <c r="BJ46" s="30">
        <v>0.01</v>
      </c>
      <c r="BK46" s="30">
        <v>0.34496969696969693</v>
      </c>
      <c r="BL46" s="30">
        <v>0.18263981439832344</v>
      </c>
      <c r="BM46" s="30">
        <v>2.06</v>
      </c>
      <c r="BN46" s="30">
        <v>0</v>
      </c>
      <c r="BO46" s="30">
        <v>0</v>
      </c>
      <c r="BP46" s="30">
        <v>0</v>
      </c>
      <c r="BQ46" s="30">
        <v>0</v>
      </c>
      <c r="BR46" s="30">
        <v>0</v>
      </c>
      <c r="BS46" s="30">
        <v>0</v>
      </c>
    </row>
    <row r="47" spans="2:71" x14ac:dyDescent="0.2">
      <c r="B47" s="51">
        <v>4</v>
      </c>
      <c r="C47" t="str">
        <v>Panama Agency, MB</v>
      </c>
      <c r="D47" s="33">
        <f t="shared" si="25"/>
        <v>0.40492957746478869</v>
      </c>
      <c r="E47" s="33">
        <f t="shared" si="26"/>
        <v>0</v>
      </c>
      <c r="F47" s="33">
        <f t="shared" si="27"/>
        <v>0</v>
      </c>
      <c r="G47" s="33">
        <f t="shared" si="28"/>
        <v>0</v>
      </c>
      <c r="H47" s="34">
        <f t="shared" si="29"/>
        <v>0</v>
      </c>
      <c r="I47" s="15">
        <v>4</v>
      </c>
      <c r="J47" t="str">
        <v>Fotokomanda, UAB</v>
      </c>
      <c r="K47" s="33">
        <f t="shared" si="15"/>
        <v>0.5</v>
      </c>
      <c r="L47" s="33">
        <f t="shared" si="16"/>
        <v>1</v>
      </c>
      <c r="M47" s="33">
        <f t="shared" si="17"/>
        <v>0</v>
      </c>
      <c r="N47" s="33">
        <f t="shared" si="18"/>
        <v>0</v>
      </c>
      <c r="O47" s="34">
        <f t="shared" si="19"/>
        <v>0</v>
      </c>
      <c r="P47" s="51">
        <v>4</v>
      </c>
      <c r="Q47" t="str">
        <v>Expertmedia, UAB</v>
      </c>
      <c r="R47" s="30">
        <f t="shared" si="20"/>
        <v>0.50744047619047628</v>
      </c>
      <c r="S47" s="30">
        <f t="shared" si="21"/>
        <v>0.24559777571825769</v>
      </c>
      <c r="T47" s="30">
        <f t="shared" si="22"/>
        <v>0.55207134637514388</v>
      </c>
      <c r="U47" s="30">
        <f t="shared" si="23"/>
        <v>0.51608330607349262</v>
      </c>
      <c r="V47" s="70">
        <f t="shared" si="24"/>
        <v>1.207220216606498</v>
      </c>
      <c r="AH47" t="s">
        <v>1519</v>
      </c>
      <c r="AI47" t="s">
        <v>1520</v>
      </c>
      <c r="AJ47" s="30">
        <v>0.08</v>
      </c>
      <c r="AK47" s="30">
        <v>-6.6666666666666652E-2</v>
      </c>
      <c r="AL47" s="30">
        <v>0.18</v>
      </c>
      <c r="AM47" s="30">
        <v>0.1016829533116177</v>
      </c>
      <c r="AN47" s="30">
        <v>7.0455099001258015E-2</v>
      </c>
      <c r="AO47" s="30">
        <v>0.27</v>
      </c>
      <c r="AP47" s="30">
        <v>-0.12</v>
      </c>
      <c r="AQ47" s="30">
        <v>7.1428571428571397E-2</v>
      </c>
      <c r="AR47" s="30">
        <v>0.13</v>
      </c>
      <c r="AS47" s="30">
        <v>0.20763128564872479</v>
      </c>
      <c r="AT47" s="30">
        <v>-0.10961311362987924</v>
      </c>
      <c r="AU47" s="30">
        <v>-0.61</v>
      </c>
      <c r="AV47" s="30">
        <v>0.57999999999999996</v>
      </c>
      <c r="AW47" s="30">
        <v>0</v>
      </c>
      <c r="AX47" s="30">
        <v>0.47</v>
      </c>
      <c r="AY47" s="30">
        <v>0.46734006734006739</v>
      </c>
      <c r="AZ47" s="30">
        <v>0.60371423647018263</v>
      </c>
      <c r="BA47" s="30">
        <v>0.43</v>
      </c>
      <c r="BB47" s="30">
        <v>0.14000000000000001</v>
      </c>
      <c r="BC47" s="30">
        <v>-0.125</v>
      </c>
      <c r="BD47" s="30">
        <v>0.37</v>
      </c>
      <c r="BE47" s="30">
        <v>0.19647790055248615</v>
      </c>
      <c r="BF47" s="30">
        <v>0.10403006493455003</v>
      </c>
      <c r="BG47" s="30">
        <v>0.51</v>
      </c>
      <c r="BH47" s="30">
        <v>-0.15</v>
      </c>
      <c r="BI47" s="30">
        <v>-5.8823529411764719E-2</v>
      </c>
      <c r="BJ47" s="30">
        <v>-0.2</v>
      </c>
      <c r="BK47" s="30">
        <v>-0.25119586296056884</v>
      </c>
      <c r="BL47" s="30">
        <v>-0.15991461071229263</v>
      </c>
      <c r="BM47" s="30">
        <v>0.24</v>
      </c>
      <c r="BN47" s="30">
        <v>0</v>
      </c>
      <c r="BO47" s="30">
        <v>0</v>
      </c>
      <c r="BP47" s="30">
        <v>0</v>
      </c>
      <c r="BQ47" s="30">
        <v>0</v>
      </c>
      <c r="BR47" s="30">
        <v>0</v>
      </c>
      <c r="BS47" s="30">
        <v>0</v>
      </c>
    </row>
    <row r="48" spans="2:71" x14ac:dyDescent="0.2">
      <c r="B48" s="51">
        <v>5</v>
      </c>
      <c r="C48" t="str">
        <v>Ric Creative, UAB</v>
      </c>
      <c r="D48" s="33">
        <f t="shared" si="25"/>
        <v>0.38095238095238093</v>
      </c>
      <c r="E48" s="33">
        <f t="shared" si="26"/>
        <v>0</v>
      </c>
      <c r="F48" s="33">
        <f t="shared" si="27"/>
        <v>0</v>
      </c>
      <c r="G48" s="33">
        <f t="shared" si="28"/>
        <v>0</v>
      </c>
      <c r="H48" s="34">
        <f t="shared" si="29"/>
        <v>0</v>
      </c>
      <c r="I48" s="15">
        <v>5</v>
      </c>
      <c r="J48" t="str">
        <v>Media mind, UAB</v>
      </c>
      <c r="K48" s="33">
        <f t="shared" si="15"/>
        <v>0.5</v>
      </c>
      <c r="L48" s="33">
        <f t="shared" si="16"/>
        <v>0</v>
      </c>
      <c r="M48" s="33">
        <f t="shared" si="17"/>
        <v>0.23076923076923084</v>
      </c>
      <c r="N48" s="33">
        <f t="shared" si="18"/>
        <v>-0.1875</v>
      </c>
      <c r="O48" s="34">
        <f t="shared" si="19"/>
        <v>-0.23809523809523814</v>
      </c>
      <c r="P48" s="51">
        <v>5</v>
      </c>
      <c r="Q48" t="str">
        <v>PR Service, UAB (PIAR)</v>
      </c>
      <c r="R48" s="30">
        <f t="shared" si="20"/>
        <v>0.4234277484397504</v>
      </c>
      <c r="S48" s="30">
        <f t="shared" si="21"/>
        <v>0.13145029875067893</v>
      </c>
      <c r="T48" s="30">
        <f t="shared" si="22"/>
        <v>-0.15550458715596327</v>
      </c>
      <c r="U48" s="30">
        <f t="shared" si="23"/>
        <v>-0.20048899755501226</v>
      </c>
      <c r="V48" s="70">
        <f t="shared" si="24"/>
        <v>7.1381794368041929E-2</v>
      </c>
      <c r="AH48" t="s">
        <v>506</v>
      </c>
      <c r="AI48" t="s">
        <v>1521</v>
      </c>
      <c r="AJ48" s="30">
        <v>0.27481898791106191</v>
      </c>
      <c r="AK48" s="30">
        <v>8.3333333333333259E-2</v>
      </c>
      <c r="AL48" s="30">
        <v>0.13047487321346241</v>
      </c>
      <c r="AM48" s="30">
        <v>0.22468111264791757</v>
      </c>
      <c r="AN48" s="30">
        <v>0.26156766150951283</v>
      </c>
      <c r="AO48" s="30">
        <v>0.70960249679432907</v>
      </c>
      <c r="AP48" s="30">
        <v>6.9220868209375119E-2</v>
      </c>
      <c r="AQ48" s="30">
        <v>0</v>
      </c>
      <c r="AR48" s="30">
        <v>1.213252449836677E-2</v>
      </c>
      <c r="AS48" s="30">
        <v>1.213252449836677E-2</v>
      </c>
      <c r="AT48" s="30">
        <v>4.3258957327235059E-2</v>
      </c>
      <c r="AU48" s="30">
        <v>2.2784453698195519</v>
      </c>
      <c r="AV48" s="30">
        <v>0.20613023432749039</v>
      </c>
      <c r="AW48" s="30">
        <v>0.5</v>
      </c>
      <c r="AX48" s="30">
        <v>6.9361277445109781E-2</v>
      </c>
      <c r="AY48" s="30">
        <v>0.60404191616766467</v>
      </c>
      <c r="AZ48" s="30">
        <v>0.20626741554002659</v>
      </c>
      <c r="BA48" s="30">
        <v>-0.70164353413084379</v>
      </c>
      <c r="BB48" s="30">
        <v>0.48935592949836909</v>
      </c>
      <c r="BC48" s="30">
        <v>0.60000000000000009</v>
      </c>
      <c r="BD48" s="30">
        <v>4.7021943573667617E-2</v>
      </c>
      <c r="BE48" s="30">
        <v>0.67523510971786838</v>
      </c>
      <c r="BF48" s="30">
        <v>0.50983756137225567</v>
      </c>
      <c r="BG48" s="30">
        <v>2.8701844075223581E-2</v>
      </c>
      <c r="BH48" s="30">
        <v>0.71121963209452144</v>
      </c>
      <c r="BI48" s="30">
        <v>0.66666666666666674</v>
      </c>
      <c r="BJ48" s="30">
        <v>8.503401360544216E-2</v>
      </c>
      <c r="BK48" s="30">
        <v>0.80839002267573701</v>
      </c>
      <c r="BL48" s="30">
        <v>0.76468590831918504</v>
      </c>
      <c r="BM48" s="30">
        <v>0.24707793193478839</v>
      </c>
      <c r="BN48" s="30">
        <v>0</v>
      </c>
      <c r="BO48" s="30">
        <v>0</v>
      </c>
      <c r="BP48" s="30">
        <v>0</v>
      </c>
      <c r="BQ48" s="30">
        <v>0</v>
      </c>
      <c r="BR48" s="30">
        <v>0</v>
      </c>
      <c r="BS48" s="30">
        <v>0</v>
      </c>
    </row>
    <row r="49" spans="2:71" x14ac:dyDescent="0.2">
      <c r="B49" s="51">
        <v>6</v>
      </c>
      <c r="C49" t="str">
        <v>Reklamos vizija, UAB</v>
      </c>
      <c r="D49" s="33">
        <f t="shared" si="25"/>
        <v>0.30612244897959173</v>
      </c>
      <c r="E49" s="33">
        <f t="shared" si="26"/>
        <v>0</v>
      </c>
      <c r="F49" s="33">
        <f t="shared" si="27"/>
        <v>0</v>
      </c>
      <c r="G49" s="33">
        <f t="shared" si="28"/>
        <v>0</v>
      </c>
      <c r="H49" s="34">
        <f t="shared" si="29"/>
        <v>0</v>
      </c>
      <c r="I49" s="15">
        <v>6</v>
      </c>
      <c r="J49" t="str">
        <v>Expertmedia, UAB</v>
      </c>
      <c r="K49" s="33">
        <f t="shared" si="15"/>
        <v>0.33333333333333326</v>
      </c>
      <c r="L49" s="33">
        <f t="shared" si="16"/>
        <v>0.15384615384615374</v>
      </c>
      <c r="M49" s="33">
        <f t="shared" si="17"/>
        <v>0.18181818181818188</v>
      </c>
      <c r="N49" s="33">
        <f t="shared" si="18"/>
        <v>0.22222222222222232</v>
      </c>
      <c r="O49" s="34">
        <f t="shared" si="19"/>
        <v>0.8</v>
      </c>
      <c r="P49" s="51">
        <v>6</v>
      </c>
      <c r="Q49" t="str">
        <v>Ric Creative, UAB</v>
      </c>
      <c r="R49" s="30">
        <f t="shared" si="20"/>
        <v>0.38095238095238093</v>
      </c>
      <c r="S49" s="30">
        <f t="shared" si="21"/>
        <v>0</v>
      </c>
      <c r="T49" s="30">
        <f t="shared" si="22"/>
        <v>0</v>
      </c>
      <c r="U49" s="30">
        <f t="shared" si="23"/>
        <v>0</v>
      </c>
      <c r="V49" s="70">
        <f t="shared" si="24"/>
        <v>-1</v>
      </c>
      <c r="AH49" t="s">
        <v>455</v>
      </c>
      <c r="AI49" t="s">
        <v>1525</v>
      </c>
      <c r="AJ49" s="30">
        <v>0.197790539175662</v>
      </c>
      <c r="AK49" s="30">
        <v>0</v>
      </c>
      <c r="AL49" s="30">
        <v>6.9725864123957093E-2</v>
      </c>
      <c r="AM49" s="30">
        <v>6.9725864123957093E-2</v>
      </c>
      <c r="AN49" s="30">
        <v>0.31714182046196715</v>
      </c>
      <c r="AO49" s="30">
        <v>-0.21768802471506121</v>
      </c>
      <c r="AP49" s="30">
        <v>-5.9656291838677038E-2</v>
      </c>
      <c r="AQ49" s="30">
        <v>-0.17391304347826086</v>
      </c>
      <c r="AR49" s="30">
        <v>0.1138400265516097</v>
      </c>
      <c r="AS49" s="30">
        <v>-7.9871282413887634E-2</v>
      </c>
      <c r="AT49" s="30">
        <v>-5.706573730588127E-2</v>
      </c>
      <c r="AU49" s="30">
        <v>1.6716650991109191E-2</v>
      </c>
      <c r="AV49" s="30">
        <v>0.17193214321123459</v>
      </c>
      <c r="AW49" s="30">
        <v>-0.23333333333333328</v>
      </c>
      <c r="AX49" s="30">
        <v>0.13569543912551829</v>
      </c>
      <c r="AY49" s="30">
        <v>-0.1293001633371027</v>
      </c>
      <c r="AZ49" s="30">
        <v>0.37951183926785981</v>
      </c>
      <c r="BA49" s="30">
        <v>0.83691364866186402</v>
      </c>
      <c r="BB49" s="30">
        <v>0.28998995526624571</v>
      </c>
      <c r="BC49" s="30">
        <v>0.57894736842105265</v>
      </c>
      <c r="BD49" s="30">
        <v>7.3220064724919043E-2</v>
      </c>
      <c r="BE49" s="30">
        <v>0.69455799693408271</v>
      </c>
      <c r="BF49" s="30">
        <v>0.19660152651664697</v>
      </c>
      <c r="BG49" s="30">
        <v>-0.49458231963490379</v>
      </c>
      <c r="BH49" s="30">
        <v>0.1529983375416484</v>
      </c>
      <c r="BI49" s="30">
        <v>-9.5238095238095233E-2</v>
      </c>
      <c r="BJ49" s="30">
        <v>-6.3990912533131383E-2</v>
      </c>
      <c r="BK49" s="30">
        <v>-0.15313463514902359</v>
      </c>
      <c r="BL49" s="30">
        <v>0.2279574844566179</v>
      </c>
      <c r="BM49" s="30">
        <v>5.1727177192447202</v>
      </c>
      <c r="BN49" s="30">
        <v>0</v>
      </c>
      <c r="BO49" s="30">
        <v>0</v>
      </c>
      <c r="BP49" s="30">
        <v>0</v>
      </c>
      <c r="BQ49" s="30">
        <v>0</v>
      </c>
      <c r="BR49" s="30">
        <v>0</v>
      </c>
      <c r="BS49" s="30">
        <v>0</v>
      </c>
    </row>
    <row r="50" spans="2:71" x14ac:dyDescent="0.2">
      <c r="B50" s="51">
        <v>7</v>
      </c>
      <c r="C50" t="str">
        <v>Some Films, UAB</v>
      </c>
      <c r="D50" s="33">
        <f t="shared" si="25"/>
        <v>0.28033980582524265</v>
      </c>
      <c r="E50" s="33">
        <f t="shared" si="26"/>
        <v>0.13</v>
      </c>
      <c r="F50" s="33">
        <f t="shared" si="27"/>
        <v>0.64</v>
      </c>
      <c r="G50" s="33">
        <f t="shared" si="28"/>
        <v>-0.05</v>
      </c>
      <c r="H50" s="34">
        <f t="shared" si="29"/>
        <v>0</v>
      </c>
      <c r="I50" s="15">
        <v>7</v>
      </c>
      <c r="J50" t="str">
        <v>BPN LT, UAB</v>
      </c>
      <c r="K50" s="33">
        <f t="shared" si="15"/>
        <v>0.21052631578947367</v>
      </c>
      <c r="L50" s="33">
        <f t="shared" si="16"/>
        <v>2.7027027027026973E-2</v>
      </c>
      <c r="M50" s="33">
        <f t="shared" si="17"/>
        <v>0.15625</v>
      </c>
      <c r="N50" s="33">
        <f t="shared" si="18"/>
        <v>0.18518518518518512</v>
      </c>
      <c r="O50" s="34">
        <f t="shared" si="19"/>
        <v>-3.5714285714285698E-2</v>
      </c>
      <c r="P50" s="51">
        <v>7</v>
      </c>
      <c r="Q50" t="str">
        <v>Evo Media, UAB</v>
      </c>
      <c r="R50" s="30">
        <f t="shared" si="20"/>
        <v>0.2852233676975946</v>
      </c>
      <c r="S50" s="30">
        <f t="shared" si="21"/>
        <v>0.36099418721186605</v>
      </c>
      <c r="T50" s="30">
        <f t="shared" si="22"/>
        <v>0.21960560625814862</v>
      </c>
      <c r="U50" s="30">
        <f t="shared" si="23"/>
        <v>0.31195210605088741</v>
      </c>
      <c r="V50" s="70">
        <f t="shared" si="24"/>
        <v>8.8687150837988726E-2</v>
      </c>
      <c r="AH50" t="s">
        <v>97</v>
      </c>
      <c r="AI50" t="s">
        <v>1529</v>
      </c>
      <c r="AJ50" s="30">
        <v>-0.1982989024535434</v>
      </c>
      <c r="AK50" s="30">
        <v>3.125E-2</v>
      </c>
      <c r="AL50" s="30">
        <v>0.1621041331186259</v>
      </c>
      <c r="AM50" s="30">
        <v>0.19841988727858295</v>
      </c>
      <c r="AN50" s="30">
        <v>-0.2117640697491131</v>
      </c>
      <c r="AO50" s="30">
        <v>-0.5521045036834511</v>
      </c>
      <c r="AP50" s="30">
        <v>0.54378700486084619</v>
      </c>
      <c r="AQ50" s="30">
        <v>-0.19999999999999996</v>
      </c>
      <c r="AR50" s="30">
        <v>0.24698795180722891</v>
      </c>
      <c r="AS50" s="30">
        <v>-2.4096385542168308E-3</v>
      </c>
      <c r="AT50" s="30">
        <v>0.60063512662091623</v>
      </c>
      <c r="AU50" s="30">
        <v>0.34125844207438177</v>
      </c>
      <c r="AV50" s="30">
        <v>-0.1146391435464446</v>
      </c>
      <c r="AW50" s="30">
        <v>-0.21568627450980393</v>
      </c>
      <c r="AX50" s="30">
        <v>0.14746543778801849</v>
      </c>
      <c r="AY50" s="30">
        <v>-0.10002710761724043</v>
      </c>
      <c r="AZ50" s="30">
        <v>-0.11361273513087233</v>
      </c>
      <c r="BA50" s="30">
        <v>-0.18330385532426091</v>
      </c>
      <c r="BB50" s="30">
        <v>-3.9213771221826121E-2</v>
      </c>
      <c r="BC50" s="30">
        <v>8.5106382978723305E-2</v>
      </c>
      <c r="BD50" s="30">
        <v>0.13217391304347831</v>
      </c>
      <c r="BE50" s="30">
        <v>0.2285291396854765</v>
      </c>
      <c r="BF50" s="30">
        <v>-5.3537442628498466E-2</v>
      </c>
      <c r="BG50" s="30">
        <v>-0.1547861134784089</v>
      </c>
      <c r="BH50" s="30">
        <v>7.0474020658680026E-2</v>
      </c>
      <c r="BI50" s="30">
        <v>-4.081632653061229E-2</v>
      </c>
      <c r="BJ50" s="30">
        <v>-4.8800661703887527E-2</v>
      </c>
      <c r="BK50" s="30">
        <v>-8.7625124491483963E-2</v>
      </c>
      <c r="BL50" s="30">
        <v>8.6134635360877398E-2</v>
      </c>
      <c r="BM50" s="30">
        <v>1.062388875544884E-2</v>
      </c>
      <c r="BN50" s="30">
        <v>0</v>
      </c>
      <c r="BO50" s="30">
        <v>0</v>
      </c>
      <c r="BP50" s="30">
        <v>0</v>
      </c>
      <c r="BQ50" s="30">
        <v>0</v>
      </c>
      <c r="BR50" s="30">
        <v>0</v>
      </c>
      <c r="BS50" s="30">
        <v>0</v>
      </c>
    </row>
    <row r="51" spans="2:71" x14ac:dyDescent="0.2">
      <c r="B51" s="51">
        <v>8</v>
      </c>
      <c r="C51" t="str">
        <v>RAIBEC, UAB</v>
      </c>
      <c r="D51" s="33">
        <f t="shared" si="25"/>
        <v>0.2283333333333333</v>
      </c>
      <c r="E51" s="33">
        <f t="shared" si="26"/>
        <v>-0.13854989231873649</v>
      </c>
      <c r="F51" s="33">
        <f t="shared" si="27"/>
        <v>0.28505535055350562</v>
      </c>
      <c r="G51" s="33">
        <f t="shared" si="28"/>
        <v>0.16559139784946231</v>
      </c>
      <c r="H51" s="34">
        <f t="shared" si="29"/>
        <v>0.28719723183390999</v>
      </c>
      <c r="I51" s="15">
        <v>8</v>
      </c>
      <c r="J51" t="str">
        <v>Be reklamos negerai, UAB</v>
      </c>
      <c r="K51" s="33">
        <f t="shared" si="15"/>
        <v>0.19999999999999996</v>
      </c>
      <c r="L51" s="33">
        <f t="shared" si="16"/>
        <v>0</v>
      </c>
      <c r="M51" s="33">
        <f t="shared" si="17"/>
        <v>0.875</v>
      </c>
      <c r="N51" s="33">
        <f t="shared" si="18"/>
        <v>3</v>
      </c>
      <c r="O51" s="34">
        <f t="shared" si="19"/>
        <v>0</v>
      </c>
      <c r="P51" s="51">
        <v>8</v>
      </c>
      <c r="Q51" t="str">
        <v>Some Films, UAB</v>
      </c>
      <c r="R51" s="30">
        <f t="shared" si="20"/>
        <v>0.28033980582524265</v>
      </c>
      <c r="S51" s="30">
        <f t="shared" si="21"/>
        <v>-0.14993122420907845</v>
      </c>
      <c r="T51" s="30">
        <f t="shared" si="22"/>
        <v>0.64108352144469527</v>
      </c>
      <c r="U51" s="30">
        <f t="shared" si="23"/>
        <v>0.27298850574712641</v>
      </c>
      <c r="V51" s="70">
        <f t="shared" si="24"/>
        <v>0</v>
      </c>
      <c r="AH51" t="s">
        <v>487</v>
      </c>
      <c r="AI51" t="s">
        <v>1531</v>
      </c>
      <c r="AJ51" s="30">
        <v>-1.295201630552523E-2</v>
      </c>
      <c r="AK51" s="30">
        <v>0</v>
      </c>
      <c r="AL51" s="30">
        <v>-4.3797766019988187E-2</v>
      </c>
      <c r="AM51" s="30">
        <v>-4.3797766019988194E-2</v>
      </c>
      <c r="AN51" s="30">
        <v>1.1373415002696952E-2</v>
      </c>
      <c r="AO51" s="30">
        <v>-2.9740091573076551E-2</v>
      </c>
      <c r="AP51" s="30">
        <v>6.2092886933015727E-2</v>
      </c>
      <c r="AQ51" s="30">
        <v>-3.8461538461538436E-2</v>
      </c>
      <c r="AR51" s="30">
        <v>0.1690721649484537</v>
      </c>
      <c r="AS51" s="30">
        <v>0.12410785091197463</v>
      </c>
      <c r="AT51" s="30">
        <v>3.5699360638167921E-2</v>
      </c>
      <c r="AU51" s="30">
        <v>-1.7593308556367648E-2</v>
      </c>
      <c r="AV51" s="30">
        <v>6.4509289432653327E-2</v>
      </c>
      <c r="AW51" s="30">
        <v>4.0000000000000036E-2</v>
      </c>
      <c r="AX51" s="30">
        <v>-4.3706868222149198E-2</v>
      </c>
      <c r="AY51" s="30">
        <v>-5.4551429510351079E-3</v>
      </c>
      <c r="AZ51" s="30">
        <v>6.6840350177499896E-2</v>
      </c>
      <c r="BA51" s="30">
        <v>0.4245545046992425</v>
      </c>
      <c r="BB51" s="30">
        <v>0.46682516434816451</v>
      </c>
      <c r="BC51" s="30">
        <v>0</v>
      </c>
      <c r="BD51" s="30">
        <v>0.25226337448559671</v>
      </c>
      <c r="BE51" s="30">
        <v>0.25226337448559666</v>
      </c>
      <c r="BF51" s="30">
        <v>0.86000798229791453</v>
      </c>
      <c r="BG51" s="30">
        <v>-0.14954066522956669</v>
      </c>
      <c r="BH51" s="30">
        <v>-1.0211061257295871E-2</v>
      </c>
      <c r="BI51" s="30">
        <v>4.1666666666666741E-2</v>
      </c>
      <c r="BJ51" s="30">
        <v>-1.339829476248477E-2</v>
      </c>
      <c r="BK51" s="30">
        <v>2.7710109622411716E-2</v>
      </c>
      <c r="BL51" s="30">
        <v>-4.5361771334559431E-2</v>
      </c>
      <c r="BM51" s="30">
        <v>-1.4136398619628119E-2</v>
      </c>
      <c r="BN51" s="30">
        <v>0</v>
      </c>
      <c r="BO51" s="30">
        <v>0</v>
      </c>
      <c r="BP51" s="30">
        <v>0</v>
      </c>
      <c r="BQ51" s="30">
        <v>0</v>
      </c>
      <c r="BR51" s="30">
        <v>0</v>
      </c>
      <c r="BS51" s="30">
        <v>0</v>
      </c>
    </row>
    <row r="52" spans="2:71" x14ac:dyDescent="0.2">
      <c r="B52" s="51">
        <v>9</v>
      </c>
      <c r="C52" t="str">
        <v>Evolvery, UAB</v>
      </c>
      <c r="D52" s="33">
        <f t="shared" si="25"/>
        <v>0.2200647249190939</v>
      </c>
      <c r="E52" s="33">
        <f t="shared" si="26"/>
        <v>6.8793235972328892E-2</v>
      </c>
      <c r="F52" s="33">
        <f t="shared" si="27"/>
        <v>5.1313131313131422E-2</v>
      </c>
      <c r="G52" s="33">
        <f t="shared" si="28"/>
        <v>0.22889771598808339</v>
      </c>
      <c r="H52" s="34">
        <f t="shared" si="29"/>
        <v>9.9945385035499656E-2</v>
      </c>
      <c r="I52" s="15">
        <v>9</v>
      </c>
      <c r="J52" t="str">
        <v>Particle PR, UAB</v>
      </c>
      <c r="K52" s="33">
        <f t="shared" si="15"/>
        <v>0.19999999999999996</v>
      </c>
      <c r="L52" s="33">
        <f t="shared" si="16"/>
        <v>0</v>
      </c>
      <c r="M52" s="33">
        <f t="shared" si="17"/>
        <v>0</v>
      </c>
      <c r="N52" s="33">
        <f t="shared" si="18"/>
        <v>0</v>
      </c>
      <c r="O52" s="34">
        <f t="shared" si="19"/>
        <v>0</v>
      </c>
      <c r="P52" s="51">
        <v>9</v>
      </c>
      <c r="Q52" t="str">
        <v>BPN LT, UAB</v>
      </c>
      <c r="R52" s="30">
        <f t="shared" si="20"/>
        <v>0.27903246923278346</v>
      </c>
      <c r="S52" s="30">
        <f t="shared" si="21"/>
        <v>0.10134008633508462</v>
      </c>
      <c r="T52" s="30">
        <f t="shared" si="22"/>
        <v>0.36519438976377949</v>
      </c>
      <c r="U52" s="30">
        <f t="shared" si="23"/>
        <v>0.2585160411247367</v>
      </c>
      <c r="V52" s="70">
        <f t="shared" si="24"/>
        <v>6.1957379636937704E-2</v>
      </c>
      <c r="AH52" t="s">
        <v>1534</v>
      </c>
      <c r="AI52" t="s">
        <v>1533</v>
      </c>
      <c r="AJ52" s="30">
        <v>8.9080961691242244E-2</v>
      </c>
      <c r="AK52" s="30">
        <v>0</v>
      </c>
      <c r="AL52" s="30">
        <v>0</v>
      </c>
      <c r="AM52" s="30">
        <v>0</v>
      </c>
      <c r="AN52" s="30">
        <v>0</v>
      </c>
      <c r="AO52" s="30">
        <v>0.5140315902468946</v>
      </c>
      <c r="AP52" s="30">
        <v>5.7442295546896498E-2</v>
      </c>
      <c r="AQ52" s="30">
        <v>-0.33333333333333337</v>
      </c>
      <c r="AR52" s="30">
        <v>0</v>
      </c>
      <c r="AS52" s="30">
        <v>0</v>
      </c>
      <c r="AT52" s="30">
        <v>0</v>
      </c>
      <c r="AU52" s="30">
        <v>-2.609328726554788</v>
      </c>
      <c r="AV52" s="30">
        <v>5.4888281323654198E-2</v>
      </c>
      <c r="AW52" s="30">
        <v>0</v>
      </c>
      <c r="AX52" s="30">
        <v>0</v>
      </c>
      <c r="AY52" s="30">
        <v>0</v>
      </c>
      <c r="AZ52" s="30">
        <v>0</v>
      </c>
      <c r="BA52" s="30">
        <v>-2.6260032102728732</v>
      </c>
      <c r="BB52" s="30">
        <v>2.5868349957767212E-2</v>
      </c>
      <c r="BC52" s="30">
        <v>0</v>
      </c>
      <c r="BD52" s="30">
        <v>0</v>
      </c>
      <c r="BE52" s="30">
        <v>0</v>
      </c>
      <c r="BF52" s="30">
        <v>0</v>
      </c>
      <c r="BG52" s="30">
        <v>-0.83198489751887816</v>
      </c>
      <c r="BH52" s="30">
        <v>-0.13728424179381771</v>
      </c>
      <c r="BI52" s="30">
        <v>0</v>
      </c>
      <c r="BJ52" s="30">
        <v>0</v>
      </c>
      <c r="BK52" s="30">
        <v>0</v>
      </c>
      <c r="BL52" s="30">
        <v>0</v>
      </c>
      <c r="BM52" s="30">
        <v>-2.6772588488069662</v>
      </c>
      <c r="BN52" s="30">
        <v>0</v>
      </c>
      <c r="BO52" s="30">
        <v>0</v>
      </c>
      <c r="BP52" s="30">
        <v>0</v>
      </c>
      <c r="BQ52" s="30">
        <v>0</v>
      </c>
      <c r="BR52" s="30">
        <v>0</v>
      </c>
      <c r="BS52" s="30">
        <v>0</v>
      </c>
    </row>
    <row r="53" spans="2:71" x14ac:dyDescent="0.2">
      <c r="B53" s="51">
        <v>10</v>
      </c>
      <c r="C53" t="str">
        <v>Adface, UAB</v>
      </c>
      <c r="D53" s="33">
        <f t="shared" si="25"/>
        <v>0.20863309352517989</v>
      </c>
      <c r="E53" s="33">
        <f t="shared" si="26"/>
        <v>1.9333333333333421E-2</v>
      </c>
      <c r="F53" s="33">
        <f t="shared" si="27"/>
        <v>0.14678899082568811</v>
      </c>
      <c r="G53" s="33">
        <f t="shared" si="28"/>
        <v>0.117948717948718</v>
      </c>
      <c r="H53" s="34">
        <f t="shared" si="29"/>
        <v>9.8591549295774739E-2</v>
      </c>
      <c r="I53" s="15">
        <v>10</v>
      </c>
      <c r="J53" t="str">
        <v>Trendmark, UAB</v>
      </c>
      <c r="K53" s="33">
        <f t="shared" si="15"/>
        <v>0.19999999999999996</v>
      </c>
      <c r="L53" s="33">
        <f t="shared" si="16"/>
        <v>0</v>
      </c>
      <c r="M53" s="33">
        <f t="shared" si="17"/>
        <v>5.2631578947368363E-2</v>
      </c>
      <c r="N53" s="33">
        <f t="shared" si="18"/>
        <v>-5.0000000000000044E-2</v>
      </c>
      <c r="O53" s="34">
        <f t="shared" si="19"/>
        <v>-4.7619047619047672E-2</v>
      </c>
      <c r="P53" s="51">
        <v>10</v>
      </c>
      <c r="Q53" t="str">
        <v>Be reklamos negerai, UAB</v>
      </c>
      <c r="R53" s="30">
        <f t="shared" si="20"/>
        <v>0.27235564639754717</v>
      </c>
      <c r="S53" s="30">
        <f t="shared" si="21"/>
        <v>0.44641537324464164</v>
      </c>
      <c r="T53" s="30">
        <f t="shared" si="22"/>
        <v>1.1123022481265612</v>
      </c>
      <c r="U53" s="30">
        <f t="shared" si="23"/>
        <v>0</v>
      </c>
      <c r="V53" s="70">
        <f t="shared" si="24"/>
        <v>0</v>
      </c>
      <c r="AH53" t="s">
        <v>1535</v>
      </c>
      <c r="AI53" t="s">
        <v>1536</v>
      </c>
      <c r="AJ53" s="30">
        <v>0.02</v>
      </c>
      <c r="AK53" s="30">
        <v>0</v>
      </c>
      <c r="AL53" s="30">
        <v>0.03</v>
      </c>
      <c r="AM53" s="30">
        <v>3.1717263253284944E-2</v>
      </c>
      <c r="AN53" s="30">
        <v>0.14758000730104648</v>
      </c>
      <c r="AO53" s="30">
        <v>-0.6</v>
      </c>
      <c r="AP53" s="30">
        <v>7.0000000000000007E-2</v>
      </c>
      <c r="AQ53" s="30">
        <v>0</v>
      </c>
      <c r="AR53" s="30">
        <v>-0.09</v>
      </c>
      <c r="AS53" s="30">
        <v>-9.2143150966680354E-2</v>
      </c>
      <c r="AT53" s="30">
        <v>-5.4757197800222812E-2</v>
      </c>
      <c r="AU53" s="30">
        <v>4.47</v>
      </c>
      <c r="AV53" s="30">
        <v>-0.08</v>
      </c>
      <c r="AW53" s="30">
        <v>0.25</v>
      </c>
      <c r="AX53" s="30">
        <v>-0.04</v>
      </c>
      <c r="AY53" s="30">
        <v>0.20585317460317465</v>
      </c>
      <c r="AZ53" s="30">
        <v>-0.14948059650388557</v>
      </c>
      <c r="BA53" s="30">
        <v>-1.59</v>
      </c>
      <c r="BB53" s="30">
        <v>-0.21</v>
      </c>
      <c r="BC53" s="30">
        <v>0.33333333333333326</v>
      </c>
      <c r="BD53" s="30">
        <v>0</v>
      </c>
      <c r="BE53" s="30">
        <v>0</v>
      </c>
      <c r="BF53" s="30">
        <v>0</v>
      </c>
      <c r="BG53" s="30">
        <v>-0.51</v>
      </c>
      <c r="BH53" s="30">
        <v>0.19</v>
      </c>
      <c r="BI53" s="30">
        <v>-0.5714285714285714</v>
      </c>
      <c r="BJ53" s="30">
        <v>0</v>
      </c>
      <c r="BK53" s="30">
        <v>-1</v>
      </c>
      <c r="BL53" s="30">
        <v>-1</v>
      </c>
      <c r="BM53" s="30">
        <v>1.65</v>
      </c>
      <c r="BN53" s="30">
        <v>0</v>
      </c>
      <c r="BO53" s="30">
        <v>0</v>
      </c>
      <c r="BP53" s="30">
        <v>0</v>
      </c>
      <c r="BQ53" s="30">
        <v>0</v>
      </c>
      <c r="BR53" s="30">
        <v>0</v>
      </c>
      <c r="BS53" s="30">
        <v>0</v>
      </c>
    </row>
    <row r="54" spans="2:71" x14ac:dyDescent="0.2">
      <c r="B54" s="51">
        <v>11</v>
      </c>
      <c r="C54" t="str">
        <v>Galley Group, UAB</v>
      </c>
      <c r="D54" s="33">
        <f t="shared" si="25"/>
        <v>0.19</v>
      </c>
      <c r="E54" s="33">
        <f t="shared" si="26"/>
        <v>0.35</v>
      </c>
      <c r="F54" s="33">
        <f t="shared" si="27"/>
        <v>-0.01</v>
      </c>
      <c r="G54" s="33">
        <f t="shared" si="28"/>
        <v>0.05</v>
      </c>
      <c r="H54" s="34">
        <f t="shared" si="29"/>
        <v>-0.17</v>
      </c>
      <c r="I54" s="15">
        <v>11</v>
      </c>
      <c r="J54" t="str">
        <v>Market Rats, UAB</v>
      </c>
      <c r="K54" s="33">
        <f t="shared" si="15"/>
        <v>0.15384615384615374</v>
      </c>
      <c r="L54" s="33">
        <f t="shared" si="16"/>
        <v>-0.1333333333333333</v>
      </c>
      <c r="M54" s="33">
        <f t="shared" si="17"/>
        <v>7.1428571428571397E-2</v>
      </c>
      <c r="N54" s="33">
        <f t="shared" si="18"/>
        <v>0.27272727272727271</v>
      </c>
      <c r="O54" s="34">
        <f t="shared" si="19"/>
        <v>0</v>
      </c>
      <c r="P54" s="51">
        <v>11</v>
      </c>
      <c r="Q54" t="str">
        <v>Lion Communications Vilnius, UAB</v>
      </c>
      <c r="R54" s="30">
        <f t="shared" si="20"/>
        <v>0.23516951746599246</v>
      </c>
      <c r="S54" s="30">
        <f t="shared" si="21"/>
        <v>6.0950104571257935E-2</v>
      </c>
      <c r="T54" s="30">
        <f t="shared" si="22"/>
        <v>0.29776796250716475</v>
      </c>
      <c r="U54" s="30">
        <f t="shared" si="23"/>
        <v>3.3090668431502213E-2</v>
      </c>
      <c r="V54" s="70">
        <f t="shared" si="24"/>
        <v>0.16499614494988424</v>
      </c>
      <c r="AH54" t="s">
        <v>1537</v>
      </c>
      <c r="AI54" t="s">
        <v>1538</v>
      </c>
      <c r="AJ54" s="30">
        <v>0.06</v>
      </c>
      <c r="AK54" s="30">
        <v>0</v>
      </c>
      <c r="AL54" s="30">
        <v>0</v>
      </c>
      <c r="AM54" s="30">
        <v>0</v>
      </c>
      <c r="AN54" s="30">
        <v>0</v>
      </c>
      <c r="AO54" s="30">
        <v>35.450000000000003</v>
      </c>
      <c r="AP54" s="30">
        <v>0.1</v>
      </c>
      <c r="AQ54" s="30">
        <v>-0.7142857142857143</v>
      </c>
      <c r="AR54" s="30">
        <v>0</v>
      </c>
      <c r="AS54" s="30">
        <v>-1</v>
      </c>
      <c r="AT54" s="30">
        <v>-1</v>
      </c>
      <c r="AU54" s="30">
        <v>-0.97</v>
      </c>
      <c r="AV54" s="30">
        <v>-0.4</v>
      </c>
      <c r="AW54" s="30">
        <v>-0.30000000000000004</v>
      </c>
      <c r="AX54" s="30">
        <v>0.19</v>
      </c>
      <c r="AY54" s="30">
        <v>-0.16514635806671207</v>
      </c>
      <c r="AZ54" s="30">
        <v>-0.4429468867196491</v>
      </c>
      <c r="BA54" s="30">
        <v>-0.76</v>
      </c>
      <c r="BB54" s="30">
        <v>0.49</v>
      </c>
      <c r="BC54" s="30">
        <v>0</v>
      </c>
      <c r="BD54" s="30">
        <v>0.54</v>
      </c>
      <c r="BE54" s="30">
        <v>0.54468980021030489</v>
      </c>
      <c r="BF54" s="30">
        <v>0.49254344604607292</v>
      </c>
      <c r="BG54" s="30">
        <v>0.32</v>
      </c>
      <c r="BH54" s="30">
        <v>-0.2</v>
      </c>
      <c r="BI54" s="30">
        <v>0</v>
      </c>
      <c r="BJ54" s="30">
        <v>7.0000000000000007E-2</v>
      </c>
      <c r="BK54" s="30">
        <v>7.4576271186440612E-2</v>
      </c>
      <c r="BL54" s="30">
        <v>-0.25985936031627721</v>
      </c>
      <c r="BM54" s="30">
        <v>-0.23</v>
      </c>
      <c r="BN54" s="30">
        <v>0</v>
      </c>
      <c r="BO54" s="30">
        <v>0</v>
      </c>
      <c r="BP54" s="30">
        <v>0</v>
      </c>
      <c r="BQ54" s="30">
        <v>0</v>
      </c>
      <c r="BR54" s="30">
        <v>0</v>
      </c>
      <c r="BS54" s="30">
        <v>0</v>
      </c>
    </row>
    <row r="55" spans="2:71" x14ac:dyDescent="0.2">
      <c r="B55" s="51">
        <v>12</v>
      </c>
      <c r="C55" t="str">
        <v>Vienas paspaudimas, MB</v>
      </c>
      <c r="D55" s="33">
        <f t="shared" si="25"/>
        <v>0.19</v>
      </c>
      <c r="E55" s="33">
        <f t="shared" si="26"/>
        <v>0.37</v>
      </c>
      <c r="F55" s="33">
        <f t="shared" si="27"/>
        <v>0.25</v>
      </c>
      <c r="G55" s="33">
        <f t="shared" si="28"/>
        <v>0</v>
      </c>
      <c r="H55" s="34">
        <f t="shared" si="29"/>
        <v>0</v>
      </c>
      <c r="I55" s="15">
        <v>12</v>
      </c>
      <c r="J55" t="str">
        <v>Lion Communications Vilnius, UAB</v>
      </c>
      <c r="K55" s="33">
        <f t="shared" si="15"/>
        <v>0.13043478260869557</v>
      </c>
      <c r="L55" s="33">
        <f t="shared" si="16"/>
        <v>0</v>
      </c>
      <c r="M55" s="33">
        <f t="shared" si="17"/>
        <v>0.21052631578947367</v>
      </c>
      <c r="N55" s="33">
        <f t="shared" si="18"/>
        <v>0</v>
      </c>
      <c r="O55" s="34">
        <f t="shared" si="19"/>
        <v>0</v>
      </c>
      <c r="P55" s="51">
        <v>12</v>
      </c>
      <c r="Q55" t="str">
        <v>RAIBEC, UAB</v>
      </c>
      <c r="R55" s="30">
        <f t="shared" si="20"/>
        <v>0.22833333333333328</v>
      </c>
      <c r="S55" s="30">
        <f t="shared" si="21"/>
        <v>0.20603015075376874</v>
      </c>
      <c r="T55" s="30">
        <f t="shared" si="22"/>
        <v>0.28505535055350562</v>
      </c>
      <c r="U55" s="30">
        <f t="shared" si="23"/>
        <v>-0.271505376344086</v>
      </c>
      <c r="V55" s="70">
        <f t="shared" si="24"/>
        <v>0.28719723183390999</v>
      </c>
      <c r="AH55" t="s">
        <v>1539</v>
      </c>
      <c r="AI55" t="s">
        <v>1540</v>
      </c>
      <c r="AJ55" s="30">
        <v>0.81</v>
      </c>
      <c r="AK55" s="30">
        <v>-0.25</v>
      </c>
      <c r="AL55" s="30">
        <v>0</v>
      </c>
      <c r="AM55" s="30">
        <v>-1</v>
      </c>
      <c r="AN55" s="30">
        <v>-1</v>
      </c>
      <c r="AO55" s="30">
        <v>0.56000000000000005</v>
      </c>
      <c r="AP55" s="30">
        <v>0.69</v>
      </c>
      <c r="AQ55" s="30">
        <v>0.33333333333333326</v>
      </c>
      <c r="AR55" s="30">
        <v>0.02</v>
      </c>
      <c r="AS55" s="30">
        <v>0.35544217687074831</v>
      </c>
      <c r="AT55" s="30">
        <v>0.57356472283166515</v>
      </c>
      <c r="AU55" s="30">
        <v>2.64</v>
      </c>
      <c r="AV55" s="30">
        <v>-0.35</v>
      </c>
      <c r="AW55" s="30">
        <v>0</v>
      </c>
      <c r="AX55" s="30">
        <v>0</v>
      </c>
      <c r="AY55" s="30">
        <v>0</v>
      </c>
      <c r="AZ55" s="30">
        <v>0</v>
      </c>
      <c r="BA55" s="30">
        <v>-0.62</v>
      </c>
      <c r="BB55" s="30">
        <v>0.87</v>
      </c>
      <c r="BC55" s="30">
        <v>0</v>
      </c>
      <c r="BD55" s="30">
        <v>0</v>
      </c>
      <c r="BE55" s="30">
        <v>0</v>
      </c>
      <c r="BF55" s="30">
        <v>0</v>
      </c>
      <c r="BG55" s="30">
        <v>1.17</v>
      </c>
      <c r="BH55" s="30">
        <v>0</v>
      </c>
      <c r="BI55" s="30">
        <v>0.5</v>
      </c>
      <c r="BJ55" s="30">
        <v>0</v>
      </c>
      <c r="BK55" s="30">
        <v>0</v>
      </c>
      <c r="BL55" s="30">
        <v>0</v>
      </c>
      <c r="BM55" s="30">
        <v>0</v>
      </c>
      <c r="BN55" s="30"/>
      <c r="BO55" s="30"/>
      <c r="BP55" s="30"/>
      <c r="BQ55" s="30"/>
      <c r="BR55" s="30"/>
      <c r="BS55" s="30"/>
    </row>
    <row r="56" spans="2:71" x14ac:dyDescent="0.2">
      <c r="B56" s="51">
        <v>13</v>
      </c>
      <c r="C56" t="str">
        <v>Milk Agency, UAB</v>
      </c>
      <c r="D56" s="33">
        <f t="shared" si="25"/>
        <v>0.1862845445240533</v>
      </c>
      <c r="E56" s="33">
        <f t="shared" si="26"/>
        <v>7.8961899503037003E-2</v>
      </c>
      <c r="F56" s="33">
        <f t="shared" si="27"/>
        <v>0.1404282115869018</v>
      </c>
      <c r="G56" s="33">
        <f t="shared" si="28"/>
        <v>9.9722991689750629E-2</v>
      </c>
      <c r="H56" s="34">
        <f t="shared" si="29"/>
        <v>0.1159196290571871</v>
      </c>
      <c r="I56" s="15">
        <v>13</v>
      </c>
      <c r="J56" t="str">
        <v>Evo Media, UAB</v>
      </c>
      <c r="K56" s="33">
        <f t="shared" si="15"/>
        <v>0.10000000000000009</v>
      </c>
      <c r="L56" s="33">
        <f t="shared" si="16"/>
        <v>0.11111111111111116</v>
      </c>
      <c r="M56" s="33">
        <f t="shared" si="17"/>
        <v>0.125</v>
      </c>
      <c r="N56" s="33">
        <f t="shared" si="18"/>
        <v>0.33333333333333326</v>
      </c>
      <c r="O56" s="34">
        <f t="shared" si="19"/>
        <v>0</v>
      </c>
      <c r="P56" s="51">
        <v>13</v>
      </c>
      <c r="Q56" t="str">
        <v>Particle PR, UAB</v>
      </c>
      <c r="R56" s="30">
        <f t="shared" si="20"/>
        <v>0.22800417972831766</v>
      </c>
      <c r="S56" s="30">
        <f t="shared" si="21"/>
        <v>0</v>
      </c>
      <c r="T56" s="30">
        <f t="shared" si="22"/>
        <v>0</v>
      </c>
      <c r="U56" s="30">
        <f t="shared" si="23"/>
        <v>0</v>
      </c>
      <c r="V56" s="70">
        <f t="shared" si="24"/>
        <v>0</v>
      </c>
      <c r="AH56" t="s">
        <v>965</v>
      </c>
      <c r="AI56" t="s">
        <v>1541</v>
      </c>
      <c r="AJ56" s="30">
        <v>0.19023364198789539</v>
      </c>
      <c r="AK56" s="30">
        <v>0.13043478260869557</v>
      </c>
      <c r="AL56" s="30">
        <v>9.2649957758377921E-2</v>
      </c>
      <c r="AM56" s="30">
        <v>0.23516951746599246</v>
      </c>
      <c r="AN56" s="30">
        <v>0.18866722775459421</v>
      </c>
      <c r="AO56" s="30">
        <v>0.11829676645509513</v>
      </c>
      <c r="AP56" s="30">
        <v>0.45851269817187967</v>
      </c>
      <c r="AQ56" s="30">
        <v>0</v>
      </c>
      <c r="AR56" s="30">
        <v>6.0950104571257928E-2</v>
      </c>
      <c r="AS56" s="30">
        <v>6.0950104571257935E-2</v>
      </c>
      <c r="AT56" s="30">
        <v>0.50416166435318388</v>
      </c>
      <c r="AU56" s="30">
        <v>-1.0958216571165689E-2</v>
      </c>
      <c r="AV56" s="30">
        <v>-0.20345309655617891</v>
      </c>
      <c r="AW56" s="30">
        <v>0.21052631578947367</v>
      </c>
      <c r="AX56" s="30">
        <v>7.2069186418962206E-2</v>
      </c>
      <c r="AY56" s="30">
        <v>0.29776796250716475</v>
      </c>
      <c r="AZ56" s="30">
        <v>-0.22188094445329121</v>
      </c>
      <c r="BA56" s="30">
        <v>-0.42634754310043982</v>
      </c>
      <c r="BB56" s="30">
        <v>0.87781181257318708</v>
      </c>
      <c r="BC56" s="30">
        <v>0</v>
      </c>
      <c r="BD56" s="30">
        <v>3.3090668431502213E-2</v>
      </c>
      <c r="BE56" s="30">
        <v>3.3090668431502213E-2</v>
      </c>
      <c r="BF56" s="30">
        <v>0.98950797141009339</v>
      </c>
      <c r="BG56" s="30">
        <v>0.32027069834413258</v>
      </c>
      <c r="BH56" s="30">
        <v>-0.12412114626891881</v>
      </c>
      <c r="BI56" s="30">
        <v>0</v>
      </c>
      <c r="BJ56" s="30">
        <v>0.16499614494988421</v>
      </c>
      <c r="BK56" s="30">
        <v>0.16499614494988424</v>
      </c>
      <c r="BL56" s="30">
        <v>-0.15134363613654411</v>
      </c>
      <c r="BM56" s="30">
        <v>2.9285354358715932E-2</v>
      </c>
      <c r="BN56" s="30">
        <v>0</v>
      </c>
      <c r="BO56" s="30">
        <v>0</v>
      </c>
      <c r="BP56" s="30">
        <v>0</v>
      </c>
      <c r="BQ56" s="30">
        <v>0</v>
      </c>
      <c r="BR56" s="30">
        <v>0</v>
      </c>
      <c r="BS56" s="30">
        <v>0</v>
      </c>
    </row>
    <row r="57" spans="2:71" x14ac:dyDescent="0.2">
      <c r="B57" s="51">
        <v>14</v>
      </c>
      <c r="C57" t="str">
        <v>Indiana.lt, UAB</v>
      </c>
      <c r="D57" s="33">
        <f t="shared" si="25"/>
        <v>0.18</v>
      </c>
      <c r="E57" s="33">
        <f t="shared" si="26"/>
        <v>0.13</v>
      </c>
      <c r="F57" s="33">
        <f t="shared" si="27"/>
        <v>0.47</v>
      </c>
      <c r="G57" s="33">
        <f t="shared" si="28"/>
        <v>0.37</v>
      </c>
      <c r="H57" s="34">
        <f t="shared" si="29"/>
        <v>-0.2</v>
      </c>
      <c r="I57" s="15">
        <v>14</v>
      </c>
      <c r="J57" t="str">
        <v>Havas Media, UAB</v>
      </c>
      <c r="K57" s="33">
        <f t="shared" si="15"/>
        <v>9.0909090909090828E-2</v>
      </c>
      <c r="L57" s="33">
        <f t="shared" si="16"/>
        <v>0</v>
      </c>
      <c r="M57" s="33">
        <f t="shared" si="17"/>
        <v>0.10000000000000009</v>
      </c>
      <c r="N57" s="33">
        <f t="shared" si="18"/>
        <v>5.2631578947368363E-2</v>
      </c>
      <c r="O57" s="34">
        <f t="shared" si="19"/>
        <v>-9.5238095238095233E-2</v>
      </c>
      <c r="P57" s="51">
        <v>14</v>
      </c>
      <c r="Q57" t="str">
        <v>Totem promo, UAB</v>
      </c>
      <c r="R57" s="30">
        <f t="shared" si="20"/>
        <v>0.22670725251455792</v>
      </c>
      <c r="S57" s="30">
        <f t="shared" si="21"/>
        <v>0.20580881961806474</v>
      </c>
      <c r="T57" s="30">
        <f t="shared" si="22"/>
        <v>3.3877797943133725E-2</v>
      </c>
      <c r="U57" s="30">
        <f t="shared" si="23"/>
        <v>0.18564162754303593</v>
      </c>
      <c r="V57" s="70">
        <f t="shared" si="24"/>
        <v>8.6734693877551061E-2</v>
      </c>
      <c r="AH57" t="s">
        <v>1545</v>
      </c>
      <c r="AI57" t="s">
        <v>1546</v>
      </c>
      <c r="AJ57" s="30">
        <v>-0.08</v>
      </c>
      <c r="AK57" s="30">
        <v>-0.5</v>
      </c>
      <c r="AL57" s="30">
        <v>0</v>
      </c>
      <c r="AM57" s="30">
        <v>0</v>
      </c>
      <c r="AN57" s="30">
        <v>0</v>
      </c>
      <c r="AO57" s="30">
        <v>-0.37</v>
      </c>
      <c r="AP57" s="30">
        <v>-0.64</v>
      </c>
      <c r="AQ57" s="30">
        <v>-0.5</v>
      </c>
      <c r="AR57" s="30">
        <v>0</v>
      </c>
      <c r="AS57" s="30">
        <v>-1</v>
      </c>
      <c r="AT57" s="30">
        <v>-1</v>
      </c>
      <c r="AU57" s="30">
        <v>2.5</v>
      </c>
      <c r="AV57" s="30">
        <v>0.46</v>
      </c>
      <c r="AW57" s="30">
        <v>1</v>
      </c>
      <c r="AX57" s="30">
        <v>0</v>
      </c>
      <c r="AY57" s="30">
        <v>0</v>
      </c>
      <c r="AZ57" s="30">
        <v>0</v>
      </c>
      <c r="BA57" s="30">
        <v>-1.45</v>
      </c>
      <c r="BB57" s="30">
        <v>0</v>
      </c>
      <c r="BC57" s="30">
        <v>-0.92307692307692313</v>
      </c>
      <c r="BD57" s="30">
        <v>0</v>
      </c>
      <c r="BE57" s="30">
        <v>-1</v>
      </c>
      <c r="BF57" s="30">
        <v>-1</v>
      </c>
      <c r="BG57" s="30">
        <v>0</v>
      </c>
      <c r="BH57" s="30"/>
      <c r="BI57" s="30"/>
      <c r="BJ57" s="30"/>
      <c r="BK57" s="30"/>
      <c r="BL57" s="30"/>
      <c r="BM57" s="30"/>
      <c r="BN57" s="30"/>
      <c r="BO57" s="30"/>
      <c r="BP57" s="30"/>
      <c r="BQ57" s="30"/>
      <c r="BR57" s="30"/>
      <c r="BS57" s="30"/>
    </row>
    <row r="58" spans="2:71" x14ac:dyDescent="0.2">
      <c r="B58" s="51">
        <v>15</v>
      </c>
      <c r="C58" t="str">
        <v>Evo Media, UAB</v>
      </c>
      <c r="D58" s="33">
        <f t="shared" si="25"/>
        <v>0.17</v>
      </c>
      <c r="E58" s="33">
        <f t="shared" si="26"/>
        <v>0.22</v>
      </c>
      <c r="F58" s="33">
        <f t="shared" si="27"/>
        <v>0.08</v>
      </c>
      <c r="G58" s="33">
        <f t="shared" si="28"/>
        <v>-0.02</v>
      </c>
      <c r="H58" s="34">
        <f t="shared" si="29"/>
        <v>0.09</v>
      </c>
      <c r="I58" s="15">
        <v>15</v>
      </c>
      <c r="J58" t="str">
        <v>Influenceriai.lt, UAB</v>
      </c>
      <c r="K58" s="33">
        <f t="shared" si="15"/>
        <v>8.3333333333333259E-2</v>
      </c>
      <c r="L58" s="33">
        <f t="shared" si="16"/>
        <v>0</v>
      </c>
      <c r="M58" s="33">
        <f t="shared" si="17"/>
        <v>0.5</v>
      </c>
      <c r="N58" s="33">
        <f t="shared" si="18"/>
        <v>0.60000000000000009</v>
      </c>
      <c r="O58" s="34">
        <f t="shared" si="19"/>
        <v>0.66666666666666674</v>
      </c>
      <c r="P58" s="51">
        <v>15</v>
      </c>
      <c r="Q58" t="str">
        <v>Influenceriai.lt, UAB</v>
      </c>
      <c r="R58" s="30">
        <f t="shared" si="20"/>
        <v>0.22468111264791757</v>
      </c>
      <c r="S58" s="30">
        <f t="shared" si="21"/>
        <v>1.213252449836677E-2</v>
      </c>
      <c r="T58" s="30">
        <f t="shared" si="22"/>
        <v>0.60404191616766467</v>
      </c>
      <c r="U58" s="30">
        <f t="shared" si="23"/>
        <v>0.67523510971786838</v>
      </c>
      <c r="V58" s="70">
        <f t="shared" si="24"/>
        <v>0.80839002267573701</v>
      </c>
      <c r="AH58" t="s">
        <v>1077</v>
      </c>
      <c r="AI58" t="s">
        <v>1547</v>
      </c>
      <c r="AJ58" s="30">
        <v>0.58363933304408855</v>
      </c>
      <c r="AK58" s="30">
        <v>-0.33333333333333337</v>
      </c>
      <c r="AL58" s="30">
        <v>9.3571428571428639E-2</v>
      </c>
      <c r="AM58" s="30">
        <v>-0.27095238095238094</v>
      </c>
      <c r="AN58" s="30">
        <v>0.84938307462269114</v>
      </c>
      <c r="AO58" s="30">
        <v>10.807131782945699</v>
      </c>
      <c r="AP58" s="30">
        <v>-0.3494059680872792</v>
      </c>
      <c r="AQ58" s="30">
        <v>0.19999999999999996</v>
      </c>
      <c r="AR58" s="30">
        <v>7.1975497702909674E-2</v>
      </c>
      <c r="AS58" s="30">
        <v>0.28637059724349156</v>
      </c>
      <c r="AT58" s="30">
        <v>-0.38147437198300671</v>
      </c>
      <c r="AU58" s="30">
        <v>-1.0567761698531739</v>
      </c>
      <c r="AV58" s="30">
        <v>0.11729879693541601</v>
      </c>
      <c r="AW58" s="30">
        <v>0.66666666666666674</v>
      </c>
      <c r="AX58" s="30">
        <v>0.1819004524886878</v>
      </c>
      <c r="AY58" s="30">
        <v>0.96983408748114641</v>
      </c>
      <c r="AZ58" s="30">
        <v>4.4959952165086081E-2</v>
      </c>
      <c r="BA58" s="30">
        <v>-9.2155734560797842E-2</v>
      </c>
      <c r="BB58" s="30">
        <v>0.49985386189179631</v>
      </c>
      <c r="BC58" s="30">
        <v>0</v>
      </c>
      <c r="BD58" s="30">
        <v>0</v>
      </c>
      <c r="BE58" s="30">
        <v>0</v>
      </c>
      <c r="BF58" s="30">
        <v>0</v>
      </c>
      <c r="BG58" s="30">
        <v>1.364089775561097</v>
      </c>
      <c r="BH58" s="30">
        <v>-4.4232564636002107E-2</v>
      </c>
      <c r="BI58" s="30">
        <v>0</v>
      </c>
      <c r="BJ58" s="30">
        <v>0</v>
      </c>
      <c r="BK58" s="30">
        <v>0</v>
      </c>
      <c r="BL58" s="30">
        <v>0</v>
      </c>
      <c r="BM58" s="30">
        <v>-5.6350262697022764</v>
      </c>
      <c r="BN58" s="30">
        <v>0</v>
      </c>
      <c r="BO58" s="30">
        <v>0</v>
      </c>
      <c r="BP58" s="30">
        <v>0</v>
      </c>
      <c r="BQ58" s="30">
        <v>0</v>
      </c>
      <c r="BR58" s="30">
        <v>0</v>
      </c>
      <c r="BS58" s="30">
        <v>0</v>
      </c>
    </row>
    <row r="59" spans="2:71" x14ac:dyDescent="0.2">
      <c r="B59" s="51">
        <v>16</v>
      </c>
      <c r="C59" t="str">
        <v>Tekvila, UAB</v>
      </c>
      <c r="D59" s="33">
        <f t="shared" si="25"/>
        <v>0.17</v>
      </c>
      <c r="E59" s="33">
        <f t="shared" si="26"/>
        <v>0.13</v>
      </c>
      <c r="F59" s="33">
        <f t="shared" si="27"/>
        <v>0</v>
      </c>
      <c r="G59" s="33">
        <f t="shared" si="28"/>
        <v>0</v>
      </c>
      <c r="H59" s="34">
        <f t="shared" si="29"/>
        <v>-0.25</v>
      </c>
      <c r="I59" s="15">
        <v>16</v>
      </c>
      <c r="J59" t="str">
        <v>Totem promo, UAB</v>
      </c>
      <c r="K59" s="33">
        <f t="shared" si="15"/>
        <v>8.3333333333333259E-2</v>
      </c>
      <c r="L59" s="33">
        <f t="shared" si="16"/>
        <v>9.0909090909090828E-2</v>
      </c>
      <c r="M59" s="33">
        <f t="shared" si="17"/>
        <v>0</v>
      </c>
      <c r="N59" s="33">
        <f t="shared" si="18"/>
        <v>-8.333333333333337E-2</v>
      </c>
      <c r="O59" s="34">
        <f t="shared" si="19"/>
        <v>0</v>
      </c>
      <c r="P59" s="51">
        <v>16</v>
      </c>
      <c r="Q59" t="str">
        <v>Evolvery, UAB</v>
      </c>
      <c r="R59" s="30">
        <f t="shared" si="20"/>
        <v>0.2200647249190939</v>
      </c>
      <c r="S59" s="30">
        <f t="shared" si="21"/>
        <v>-0.15387202152190627</v>
      </c>
      <c r="T59" s="30">
        <f t="shared" si="22"/>
        <v>9.2606060606059692E-3</v>
      </c>
      <c r="U59" s="30">
        <f t="shared" si="23"/>
        <v>0.22889771598808339</v>
      </c>
      <c r="V59" s="70">
        <f t="shared" si="24"/>
        <v>-5.1771219796982959E-2</v>
      </c>
      <c r="AH59" t="s">
        <v>867</v>
      </c>
      <c r="AI59" t="s">
        <v>1551</v>
      </c>
      <c r="AJ59" s="30">
        <v>0</v>
      </c>
      <c r="AK59" s="30">
        <v>0</v>
      </c>
      <c r="AL59" s="30">
        <v>0</v>
      </c>
      <c r="AM59" s="30">
        <v>0</v>
      </c>
      <c r="AN59" s="30">
        <v>0</v>
      </c>
      <c r="AO59" s="30">
        <v>0</v>
      </c>
      <c r="AP59" s="30">
        <v>0</v>
      </c>
      <c r="AQ59" s="30">
        <v>0</v>
      </c>
      <c r="AR59" s="30">
        <v>0</v>
      </c>
      <c r="AS59" s="30">
        <v>0</v>
      </c>
      <c r="AT59" s="30">
        <v>0</v>
      </c>
      <c r="AU59" s="30">
        <v>0</v>
      </c>
      <c r="AV59" s="30">
        <v>0</v>
      </c>
      <c r="AW59" s="30">
        <v>0</v>
      </c>
      <c r="AX59" s="30">
        <v>0</v>
      </c>
      <c r="AY59" s="30">
        <v>0</v>
      </c>
      <c r="AZ59" s="30">
        <v>0</v>
      </c>
      <c r="BA59" s="30">
        <v>0</v>
      </c>
      <c r="BB59" s="30">
        <v>0</v>
      </c>
      <c r="BC59" s="30">
        <v>0</v>
      </c>
      <c r="BD59" s="30">
        <v>0</v>
      </c>
      <c r="BE59" s="30">
        <v>0</v>
      </c>
      <c r="BF59" s="30">
        <v>0</v>
      </c>
      <c r="BG59" s="30">
        <v>0</v>
      </c>
      <c r="BH59" s="30">
        <v>0</v>
      </c>
      <c r="BI59" s="30">
        <v>0</v>
      </c>
      <c r="BJ59" s="30">
        <v>0</v>
      </c>
      <c r="BK59" s="30">
        <v>0</v>
      </c>
      <c r="BL59" s="30">
        <v>0</v>
      </c>
      <c r="BM59" s="30">
        <v>0</v>
      </c>
      <c r="BN59" s="30">
        <v>0</v>
      </c>
      <c r="BO59" s="30">
        <v>0</v>
      </c>
      <c r="BP59" s="30">
        <v>0</v>
      </c>
      <c r="BQ59" s="30">
        <v>0</v>
      </c>
      <c r="BR59" s="30">
        <v>0</v>
      </c>
      <c r="BS59" s="30">
        <v>0</v>
      </c>
    </row>
    <row r="60" spans="2:71" x14ac:dyDescent="0.2">
      <c r="B60" s="51">
        <v>17</v>
      </c>
      <c r="C60" t="str">
        <v>VRS WPI Vilnius, UAB</v>
      </c>
      <c r="D60" s="33">
        <f t="shared" si="25"/>
        <v>0.16666666666666674</v>
      </c>
      <c r="E60" s="33">
        <f t="shared" si="26"/>
        <v>0</v>
      </c>
      <c r="F60" s="33">
        <f t="shared" si="27"/>
        <v>0</v>
      </c>
      <c r="G60" s="33">
        <f t="shared" si="28"/>
        <v>0</v>
      </c>
      <c r="H60" s="34">
        <f t="shared" si="29"/>
        <v>0</v>
      </c>
      <c r="I60" s="15">
        <v>17</v>
      </c>
      <c r="J60" t="str">
        <v>Astos dizainas, UAB</v>
      </c>
      <c r="K60" s="33">
        <f t="shared" si="15"/>
        <v>8.0000000000000071E-2</v>
      </c>
      <c r="L60" s="33">
        <f t="shared" si="16"/>
        <v>-3.8461538461538436E-2</v>
      </c>
      <c r="M60" s="33">
        <f t="shared" si="17"/>
        <v>-3.703703703703709E-2</v>
      </c>
      <c r="N60" s="33">
        <f t="shared" si="18"/>
        <v>0</v>
      </c>
      <c r="O60" s="34">
        <f t="shared" si="19"/>
        <v>-0.12903225806451613</v>
      </c>
      <c r="P60" s="51">
        <v>17</v>
      </c>
      <c r="Q60" t="str">
        <v>Adface, UAB</v>
      </c>
      <c r="R60" s="30">
        <f t="shared" si="20"/>
        <v>0.20863309352517989</v>
      </c>
      <c r="S60" s="30">
        <f t="shared" si="21"/>
        <v>0.52899999999999991</v>
      </c>
      <c r="T60" s="30">
        <f t="shared" si="22"/>
        <v>0.37614678899082565</v>
      </c>
      <c r="U60" s="30">
        <f t="shared" si="23"/>
        <v>0.39743589743589736</v>
      </c>
      <c r="V60" s="70">
        <f t="shared" si="24"/>
        <v>9.8591549295774739E-2</v>
      </c>
      <c r="AH60" t="s">
        <v>1556</v>
      </c>
      <c r="AI60" t="s">
        <v>1557</v>
      </c>
      <c r="AJ60" s="30">
        <v>0.93</v>
      </c>
      <c r="AK60" s="30">
        <v>0</v>
      </c>
      <c r="AL60" s="30">
        <v>0</v>
      </c>
      <c r="AM60" s="30">
        <v>0</v>
      </c>
      <c r="AN60" s="30">
        <v>0</v>
      </c>
      <c r="AO60" s="30">
        <v>3.099128202858787</v>
      </c>
      <c r="AP60" s="30">
        <v>-0.33</v>
      </c>
      <c r="AQ60" s="30">
        <v>0</v>
      </c>
      <c r="AR60" s="30">
        <v>0</v>
      </c>
      <c r="AS60" s="30">
        <v>0</v>
      </c>
      <c r="AT60" s="30">
        <v>0</v>
      </c>
      <c r="AU60" s="30">
        <v>-0.35</v>
      </c>
      <c r="AV60" s="30">
        <v>0.27</v>
      </c>
      <c r="AW60" s="30">
        <v>0</v>
      </c>
      <c r="AX60" s="30">
        <v>0</v>
      </c>
      <c r="AY60" s="30">
        <v>0</v>
      </c>
      <c r="AZ60" s="30">
        <v>0</v>
      </c>
      <c r="BA60" s="30">
        <v>0.2</v>
      </c>
      <c r="BB60" s="30">
        <v>0</v>
      </c>
      <c r="BC60" s="30">
        <v>0</v>
      </c>
      <c r="BD60" s="30">
        <v>0</v>
      </c>
      <c r="BE60" s="30">
        <v>0</v>
      </c>
      <c r="BF60" s="30">
        <v>0</v>
      </c>
      <c r="BG60" s="30">
        <v>0</v>
      </c>
      <c r="BH60" s="30"/>
      <c r="BI60" s="30"/>
      <c r="BJ60" s="30"/>
      <c r="BK60" s="30"/>
      <c r="BL60" s="30"/>
      <c r="BM60" s="30"/>
      <c r="BN60" s="30"/>
      <c r="BO60" s="30"/>
      <c r="BP60" s="30"/>
      <c r="BQ60" s="30"/>
      <c r="BR60" s="30"/>
      <c r="BS60" s="30"/>
    </row>
    <row r="61" spans="2:71" x14ac:dyDescent="0.2">
      <c r="B61" s="51">
        <v>18</v>
      </c>
      <c r="C61" t="str">
        <v>Inspired Communications, UAB</v>
      </c>
      <c r="D61" s="33">
        <f t="shared" si="25"/>
        <v>0.1621041331186259</v>
      </c>
      <c r="E61" s="33">
        <f t="shared" si="26"/>
        <v>0.24698795180722891</v>
      </c>
      <c r="F61" s="33">
        <f t="shared" si="27"/>
        <v>0.14746543778801849</v>
      </c>
      <c r="G61" s="33">
        <f t="shared" si="28"/>
        <v>0.13217391304347831</v>
      </c>
      <c r="H61" s="34">
        <f t="shared" si="29"/>
        <v>-4.8800661703887527E-2</v>
      </c>
      <c r="I61" s="15">
        <v>18</v>
      </c>
      <c r="J61" t="str">
        <v>SOMA Agency (Havas), UAB</v>
      </c>
      <c r="K61" s="33">
        <f t="shared" si="15"/>
        <v>7.4999999999999956E-2</v>
      </c>
      <c r="L61" s="33">
        <f t="shared" si="16"/>
        <v>-6.9767441860465129E-2</v>
      </c>
      <c r="M61" s="33">
        <f t="shared" si="17"/>
        <v>0.43333333333333335</v>
      </c>
      <c r="N61" s="33">
        <f t="shared" si="18"/>
        <v>0.15384615384615374</v>
      </c>
      <c r="O61" s="34">
        <f t="shared" si="19"/>
        <v>-7.1428571428571397E-2</v>
      </c>
      <c r="P61" s="51">
        <v>18</v>
      </c>
      <c r="Q61" t="str">
        <v>Inspired Communications, UAB</v>
      </c>
      <c r="R61" s="30">
        <f t="shared" si="20"/>
        <v>0.19841988727858295</v>
      </c>
      <c r="S61" s="30">
        <f t="shared" si="21"/>
        <v>-2.4096385542168308E-3</v>
      </c>
      <c r="T61" s="30">
        <f t="shared" si="22"/>
        <v>-0.10002710761724043</v>
      </c>
      <c r="U61" s="30">
        <f t="shared" si="23"/>
        <v>0.2285291396854765</v>
      </c>
      <c r="V61" s="70">
        <f t="shared" si="24"/>
        <v>-8.7625124491483963E-2</v>
      </c>
      <c r="AH61" t="s">
        <v>698</v>
      </c>
      <c r="AI61" t="s">
        <v>1558</v>
      </c>
      <c r="AJ61" s="30">
        <v>7.2034189314902353E-3</v>
      </c>
      <c r="AK61" s="30">
        <v>0</v>
      </c>
      <c r="AL61" s="30">
        <v>-5.8852140077821018E-2</v>
      </c>
      <c r="AM61" s="30">
        <v>-5.8852140077821025E-2</v>
      </c>
      <c r="AN61" s="30">
        <v>3.6869006545465099E-2</v>
      </c>
      <c r="AO61" s="30">
        <v>1.4818732701979309E-2</v>
      </c>
      <c r="AP61" s="30">
        <v>-7.4503041936427872E-3</v>
      </c>
      <c r="AQ61" s="30">
        <v>-0.1428571428571429</v>
      </c>
      <c r="AR61" s="30">
        <v>4.1012658227848053E-2</v>
      </c>
      <c r="AS61" s="30">
        <v>-0.10770343580470165</v>
      </c>
      <c r="AT61" s="30">
        <v>-3.6886820044610968E-2</v>
      </c>
      <c r="AU61" s="30">
        <v>0.1201644619234894</v>
      </c>
      <c r="AV61" s="30">
        <v>-3.6986697858170207E-2</v>
      </c>
      <c r="AW61" s="30">
        <v>0</v>
      </c>
      <c r="AX61" s="30">
        <v>8.5164835164835084E-2</v>
      </c>
      <c r="AY61" s="30">
        <v>8.5164835164835084E-2</v>
      </c>
      <c r="AZ61" s="30">
        <v>-5.8077899663109722E-2</v>
      </c>
      <c r="BA61" s="30">
        <v>-9.3996844097490539E-2</v>
      </c>
      <c r="BB61" s="30">
        <v>0.23122082760064891</v>
      </c>
      <c r="BC61" s="30">
        <v>-0.125</v>
      </c>
      <c r="BD61" s="30">
        <v>0.15044247787610621</v>
      </c>
      <c r="BE61" s="30">
        <v>6.6371681415928752E-3</v>
      </c>
      <c r="BF61" s="30">
        <v>0.14022904114565993</v>
      </c>
      <c r="BG61" s="30">
        <v>0.68450139918465336</v>
      </c>
      <c r="BH61" s="30">
        <v>5.1126248759446602E-2</v>
      </c>
      <c r="BI61" s="30">
        <v>0.14285714285714279</v>
      </c>
      <c r="BJ61" s="30">
        <v>-0.20661985957873619</v>
      </c>
      <c r="BK61" s="30">
        <v>-9.3279839518555674E-2</v>
      </c>
      <c r="BL61" s="30">
        <v>0.19811915352840082</v>
      </c>
      <c r="BM61" s="30">
        <v>-1.2242163860208381E-2</v>
      </c>
      <c r="BN61" s="30">
        <v>0</v>
      </c>
      <c r="BO61" s="30">
        <v>0</v>
      </c>
      <c r="BP61" s="30">
        <v>0</v>
      </c>
      <c r="BQ61" s="30">
        <v>0</v>
      </c>
      <c r="BR61" s="30">
        <v>0</v>
      </c>
      <c r="BS61" s="30">
        <v>0</v>
      </c>
    </row>
    <row r="62" spans="2:71" x14ac:dyDescent="0.2">
      <c r="B62" s="51">
        <v>19</v>
      </c>
      <c r="C62" t="str">
        <v>Bosanova, UAB</v>
      </c>
      <c r="D62" s="33">
        <f t="shared" si="25"/>
        <v>0.16</v>
      </c>
      <c r="E62" s="33">
        <f t="shared" si="26"/>
        <v>0.01</v>
      </c>
      <c r="F62" s="33">
        <f t="shared" si="27"/>
        <v>0.22</v>
      </c>
      <c r="G62" s="33">
        <f t="shared" si="28"/>
        <v>0.41</v>
      </c>
      <c r="H62" s="34">
        <f t="shared" si="29"/>
        <v>0</v>
      </c>
      <c r="I62" s="15">
        <v>19</v>
      </c>
      <c r="J62" t="str">
        <v>Protingi sprendimai, UAB</v>
      </c>
      <c r="K62" s="33">
        <f t="shared" si="15"/>
        <v>7.1428571428571397E-2</v>
      </c>
      <c r="L62" s="33">
        <f t="shared" si="16"/>
        <v>-6.6666666666666652E-2</v>
      </c>
      <c r="M62" s="33">
        <f t="shared" si="17"/>
        <v>0</v>
      </c>
      <c r="N62" s="33">
        <f t="shared" si="18"/>
        <v>0</v>
      </c>
      <c r="O62" s="34">
        <f t="shared" si="19"/>
        <v>-0.11764705882352944</v>
      </c>
      <c r="P62" s="51">
        <v>19</v>
      </c>
      <c r="Q62" t="str">
        <v>Reklamos vizija, UAB</v>
      </c>
      <c r="R62" s="30">
        <f t="shared" si="20"/>
        <v>0.18738404452690172</v>
      </c>
      <c r="S62" s="30">
        <f t="shared" si="21"/>
        <v>0</v>
      </c>
      <c r="T62" s="30">
        <f t="shared" si="22"/>
        <v>0</v>
      </c>
      <c r="U62" s="30">
        <f t="shared" si="23"/>
        <v>0</v>
      </c>
      <c r="V62" s="70">
        <f t="shared" si="24"/>
        <v>0</v>
      </c>
      <c r="AH62" t="s">
        <v>1561</v>
      </c>
      <c r="AI62" t="s">
        <v>1562</v>
      </c>
      <c r="AJ62" s="30">
        <v>-0.14000000000000001</v>
      </c>
      <c r="AK62" s="30">
        <v>0.15384615384615374</v>
      </c>
      <c r="AL62" s="30">
        <v>-0.06</v>
      </c>
      <c r="AM62" s="30">
        <v>8.2036775106081983E-2</v>
      </c>
      <c r="AN62" s="30">
        <v>-0.27774801634949198</v>
      </c>
      <c r="AO62" s="30">
        <v>-0.32</v>
      </c>
      <c r="AP62" s="30">
        <v>0.2</v>
      </c>
      <c r="AQ62" s="30">
        <v>-0.1333333333333333</v>
      </c>
      <c r="AR62" s="30">
        <v>0.18</v>
      </c>
      <c r="AS62" s="30">
        <v>2.1789883268482413E-2</v>
      </c>
      <c r="AT62" s="30">
        <v>0.40562066160051247</v>
      </c>
      <c r="AU62" s="30">
        <v>0.2</v>
      </c>
      <c r="AV62" s="30">
        <v>0.39</v>
      </c>
      <c r="AW62" s="30">
        <v>7.1428571428571397E-2</v>
      </c>
      <c r="AX62" s="30">
        <v>0.27</v>
      </c>
      <c r="AY62" s="30">
        <v>0.35548523206751059</v>
      </c>
      <c r="AZ62" s="30">
        <v>0.35823513368631921</v>
      </c>
      <c r="BA62" s="30">
        <v>0.77</v>
      </c>
      <c r="BB62" s="30">
        <v>0.55000000000000004</v>
      </c>
      <c r="BC62" s="30">
        <v>0.27272727272727271</v>
      </c>
      <c r="BD62" s="30">
        <v>0.28999999999999998</v>
      </c>
      <c r="BE62" s="30">
        <v>0.64230325028873114</v>
      </c>
      <c r="BF62" s="30">
        <v>0.53989080534677258</v>
      </c>
      <c r="BG62" s="30">
        <v>0.21</v>
      </c>
      <c r="BH62" s="30">
        <v>0.38</v>
      </c>
      <c r="BI62" s="30">
        <v>0</v>
      </c>
      <c r="BJ62" s="30">
        <v>0.32</v>
      </c>
      <c r="BK62" s="30">
        <v>0.32451923076923084</v>
      </c>
      <c r="BL62" s="30">
        <v>0.48687029640077095</v>
      </c>
      <c r="BM62" s="30">
        <v>0.23</v>
      </c>
      <c r="BN62" s="30">
        <v>0</v>
      </c>
      <c r="BO62" s="30">
        <v>0</v>
      </c>
      <c r="BP62" s="30">
        <v>0</v>
      </c>
      <c r="BQ62" s="30">
        <v>0</v>
      </c>
      <c r="BR62" s="30">
        <v>0</v>
      </c>
      <c r="BS62" s="30">
        <v>0</v>
      </c>
    </row>
    <row r="63" spans="2:71" x14ac:dyDescent="0.2">
      <c r="B63" s="51">
        <v>20</v>
      </c>
      <c r="C63" t="str">
        <v>Skaitmeninė reklama, UAB</v>
      </c>
      <c r="D63" s="33">
        <f t="shared" si="25"/>
        <v>0.16</v>
      </c>
      <c r="E63" s="33">
        <f t="shared" si="26"/>
        <v>0.14000000000000001</v>
      </c>
      <c r="F63" s="33">
        <f t="shared" si="27"/>
        <v>-0.04</v>
      </c>
      <c r="G63" s="33">
        <f t="shared" si="28"/>
        <v>0.48</v>
      </c>
      <c r="H63" s="34">
        <f t="shared" si="29"/>
        <v>0.1</v>
      </c>
      <c r="I63" s="15">
        <v>20</v>
      </c>
      <c r="J63" t="str">
        <v>Berta and, UAB</v>
      </c>
      <c r="K63" s="33">
        <f t="shared" si="15"/>
        <v>5.555555555555558E-2</v>
      </c>
      <c r="L63" s="33">
        <f t="shared" si="16"/>
        <v>-0.21739130434782605</v>
      </c>
      <c r="M63" s="33">
        <f t="shared" si="17"/>
        <v>4.5454545454545414E-2</v>
      </c>
      <c r="N63" s="33">
        <f t="shared" si="18"/>
        <v>4.7619047619047672E-2</v>
      </c>
      <c r="O63" s="34">
        <f t="shared" si="19"/>
        <v>-0.36363636363636365</v>
      </c>
      <c r="P63" s="51">
        <v>20</v>
      </c>
      <c r="Q63" t="str">
        <v>Vienas paspaudimas, MB</v>
      </c>
      <c r="R63" s="30">
        <f t="shared" si="20"/>
        <v>0.1863254698120751</v>
      </c>
      <c r="S63" s="30">
        <f t="shared" si="21"/>
        <v>0.56361362925914338</v>
      </c>
      <c r="T63" s="30">
        <f t="shared" si="22"/>
        <v>0.74451261077027953</v>
      </c>
      <c r="U63" s="30">
        <f t="shared" si="23"/>
        <v>0</v>
      </c>
      <c r="V63" s="70">
        <f t="shared" si="24"/>
        <v>0</v>
      </c>
      <c r="AH63" t="s">
        <v>143</v>
      </c>
      <c r="AI63" t="s">
        <v>1563</v>
      </c>
      <c r="AJ63" s="30">
        <v>-0.21715120513348579</v>
      </c>
      <c r="AK63" s="30">
        <v>-2.777777777777779E-2</v>
      </c>
      <c r="AL63" s="30">
        <v>6.284241057041573E-2</v>
      </c>
      <c r="AM63" s="30">
        <v>3.3319010276793071E-2</v>
      </c>
      <c r="AN63" s="30">
        <v>-0.23257853988135391</v>
      </c>
      <c r="AO63" s="30">
        <v>-0.36718428030450301</v>
      </c>
      <c r="AP63" s="30">
        <v>0.31638961123670639</v>
      </c>
      <c r="AQ63" s="30">
        <v>0</v>
      </c>
      <c r="AR63" s="30">
        <v>9.1068917018284123E-2</v>
      </c>
      <c r="AS63" s="30">
        <v>9.1068917018284123E-2</v>
      </c>
      <c r="AT63" s="30">
        <v>0.33706675174855993</v>
      </c>
      <c r="AU63" s="30">
        <v>0.31058156124736719</v>
      </c>
      <c r="AV63" s="30">
        <v>9.6022029895648009E-2</v>
      </c>
      <c r="AW63" s="30">
        <v>0.19999999999999996</v>
      </c>
      <c r="AX63" s="30">
        <v>5.3333333333333233E-2</v>
      </c>
      <c r="AY63" s="30">
        <v>0.26400000000000001</v>
      </c>
      <c r="AZ63" s="30">
        <v>9.3723780274826085E-2</v>
      </c>
      <c r="BA63" s="30">
        <v>-0.24851876150337091</v>
      </c>
      <c r="BB63" s="30">
        <v>0.22556137106302071</v>
      </c>
      <c r="BC63" s="30">
        <v>0</v>
      </c>
      <c r="BD63" s="30">
        <v>5.5099648300117147E-2</v>
      </c>
      <c r="BE63" s="30">
        <v>5.5099648300117154E-2</v>
      </c>
      <c r="BF63" s="30">
        <v>0.23985378555173997</v>
      </c>
      <c r="BG63" s="30">
        <v>0.27455018708312989</v>
      </c>
      <c r="BH63" s="30">
        <v>2.4258026036588779E-2</v>
      </c>
      <c r="BI63" s="30">
        <v>-0.11764705882352944</v>
      </c>
      <c r="BJ63" s="30">
        <v>3.897685749086488E-2</v>
      </c>
      <c r="BK63" s="30">
        <v>-8.3255713978648727E-2</v>
      </c>
      <c r="BL63" s="30">
        <v>2.5219365464070664E-2</v>
      </c>
      <c r="BM63" s="30">
        <v>0.50896245636601978</v>
      </c>
      <c r="BN63" s="30">
        <v>0</v>
      </c>
      <c r="BO63" s="30">
        <v>0</v>
      </c>
      <c r="BP63" s="30">
        <v>0</v>
      </c>
      <c r="BQ63" s="30">
        <v>0</v>
      </c>
      <c r="BR63" s="30">
        <v>0</v>
      </c>
      <c r="BS63" s="30">
        <v>0</v>
      </c>
    </row>
    <row r="64" spans="2:71" x14ac:dyDescent="0.2">
      <c r="B64" s="51">
        <v>21</v>
      </c>
      <c r="C64" t="str">
        <v>Idea Prima, UAB</v>
      </c>
      <c r="D64" s="33">
        <f t="shared" si="25"/>
        <v>0.15153583617747429</v>
      </c>
      <c r="E64" s="33">
        <f t="shared" si="26"/>
        <v>0.13040123456790129</v>
      </c>
      <c r="F64" s="33">
        <f t="shared" si="27"/>
        <v>-5.1938551572787151E-2</v>
      </c>
      <c r="G64" s="33">
        <f t="shared" si="28"/>
        <v>0.27459207459207469</v>
      </c>
      <c r="H64" s="34">
        <f t="shared" si="29"/>
        <v>8.388074785245081E-2</v>
      </c>
      <c r="I64" s="15">
        <v>21</v>
      </c>
      <c r="J64" t="str">
        <v>Fabula ir partneriai, UAB</v>
      </c>
      <c r="K64" s="33">
        <f t="shared" si="15"/>
        <v>4.7619047619047672E-2</v>
      </c>
      <c r="L64" s="33">
        <f t="shared" si="16"/>
        <v>5.0000000000000044E-2</v>
      </c>
      <c r="M64" s="33">
        <f t="shared" si="17"/>
        <v>0</v>
      </c>
      <c r="N64" s="33">
        <f t="shared" si="18"/>
        <v>0.17647058823529416</v>
      </c>
      <c r="O64" s="34">
        <f t="shared" si="19"/>
        <v>-8.108108108108103E-2</v>
      </c>
      <c r="P64" s="51">
        <v>21</v>
      </c>
      <c r="Q64" t="str">
        <v>Meta advisory Lithuania, UAB</v>
      </c>
      <c r="R64" s="30">
        <f t="shared" si="20"/>
        <v>0.18279569892473124</v>
      </c>
      <c r="S64" s="30">
        <f t="shared" si="21"/>
        <v>0</v>
      </c>
      <c r="T64" s="30">
        <f t="shared" si="22"/>
        <v>0</v>
      </c>
      <c r="U64" s="30">
        <f t="shared" si="23"/>
        <v>0</v>
      </c>
      <c r="V64" s="70">
        <f t="shared" si="24"/>
        <v>0</v>
      </c>
      <c r="AH64" t="s">
        <v>1566</v>
      </c>
      <c r="AI64" t="s">
        <v>1567</v>
      </c>
      <c r="AJ64" s="30">
        <v>0.02</v>
      </c>
      <c r="AK64" s="30">
        <v>0.5</v>
      </c>
      <c r="AL64" s="30">
        <v>0.02</v>
      </c>
      <c r="AM64" s="30">
        <v>0.53459210147016423</v>
      </c>
      <c r="AN64" s="30">
        <v>-2.4394602995947867E-2</v>
      </c>
      <c r="AO64" s="30">
        <v>-0.25</v>
      </c>
      <c r="AP64" s="30">
        <v>-0.01</v>
      </c>
      <c r="AQ64" s="30">
        <v>0</v>
      </c>
      <c r="AR64" s="30">
        <v>0.04</v>
      </c>
      <c r="AS64" s="30">
        <v>4.45648900933453E-2</v>
      </c>
      <c r="AT64" s="30">
        <v>6.9579346960786381E-3</v>
      </c>
      <c r="AU64" s="30">
        <v>-0.62</v>
      </c>
      <c r="AV64" s="30">
        <v>-0.16</v>
      </c>
      <c r="AW64" s="30">
        <v>0.23076923076923084</v>
      </c>
      <c r="AX64" s="30">
        <v>0.11</v>
      </c>
      <c r="AY64" s="30">
        <v>0.37068565237579332</v>
      </c>
      <c r="AZ64" s="30">
        <v>-0.18938268177457795</v>
      </c>
      <c r="BA64" s="30">
        <v>-0.28999999999999998</v>
      </c>
      <c r="BB64" s="30">
        <v>0.35</v>
      </c>
      <c r="BC64" s="30">
        <v>-0.1875</v>
      </c>
      <c r="BD64" s="30">
        <v>0.03</v>
      </c>
      <c r="BE64" s="30">
        <v>-0.16682427785419529</v>
      </c>
      <c r="BF64" s="30">
        <v>0.35989218985436144</v>
      </c>
      <c r="BG64" s="30">
        <v>2.15</v>
      </c>
      <c r="BH64" s="30">
        <v>-0.12</v>
      </c>
      <c r="BI64" s="30">
        <v>-0.23809523809523814</v>
      </c>
      <c r="BJ64" s="30">
        <v>0.04</v>
      </c>
      <c r="BK64" s="30">
        <v>-0.2055865731018115</v>
      </c>
      <c r="BL64" s="30">
        <v>-0.12527714010447688</v>
      </c>
      <c r="BM64" s="30">
        <v>19.88</v>
      </c>
      <c r="BN64" s="30">
        <v>0</v>
      </c>
      <c r="BO64" s="30">
        <v>0</v>
      </c>
      <c r="BP64" s="30">
        <v>0</v>
      </c>
      <c r="BQ64" s="30">
        <v>0</v>
      </c>
      <c r="BR64" s="30">
        <v>0</v>
      </c>
      <c r="BS64" s="30">
        <v>0</v>
      </c>
    </row>
    <row r="65" spans="2:71" x14ac:dyDescent="0.2">
      <c r="B65" s="51">
        <v>22</v>
      </c>
      <c r="C65" t="str">
        <v>Sons &amp; Daughters, UAB</v>
      </c>
      <c r="D65" s="33">
        <f t="shared" si="25"/>
        <v>0.13430758524704259</v>
      </c>
      <c r="E65" s="33">
        <f t="shared" si="26"/>
        <v>0.26663728514764218</v>
      </c>
      <c r="F65" s="33">
        <f t="shared" si="27"/>
        <v>0.1089931573802541</v>
      </c>
      <c r="G65" s="33">
        <f t="shared" si="28"/>
        <v>0.2347616173808087</v>
      </c>
      <c r="H65" s="34">
        <f t="shared" si="29"/>
        <v>-0.1897310513447433</v>
      </c>
      <c r="I65" s="15">
        <v>22</v>
      </c>
      <c r="J65" t="str">
        <v>We Are Marketing, UAB</v>
      </c>
      <c r="K65" s="33">
        <f t="shared" si="15"/>
        <v>4.5454545454545414E-2</v>
      </c>
      <c r="L65" s="33">
        <f t="shared" si="16"/>
        <v>4.7619047619047672E-2</v>
      </c>
      <c r="M65" s="33">
        <f t="shared" si="17"/>
        <v>0.23529411764705888</v>
      </c>
      <c r="N65" s="33">
        <f t="shared" si="18"/>
        <v>0.7</v>
      </c>
      <c r="O65" s="34">
        <f t="shared" si="19"/>
        <v>0</v>
      </c>
      <c r="P65" s="51">
        <v>22</v>
      </c>
      <c r="Q65" t="str">
        <v>We Are Marketing, UAB</v>
      </c>
      <c r="R65" s="30">
        <f t="shared" si="20"/>
        <v>0.17666543982333449</v>
      </c>
      <c r="S65" s="30">
        <f t="shared" si="21"/>
        <v>0.16778595605222146</v>
      </c>
      <c r="T65" s="30">
        <f t="shared" si="22"/>
        <v>0.4274867704578571</v>
      </c>
      <c r="U65" s="30">
        <f t="shared" si="23"/>
        <v>0.79271310724106314</v>
      </c>
      <c r="V65" s="70">
        <f t="shared" si="24"/>
        <v>6.3352826510721272E-2</v>
      </c>
      <c r="AH65" t="s">
        <v>1568</v>
      </c>
      <c r="AI65" t="s">
        <v>1569</v>
      </c>
      <c r="AJ65" s="30">
        <v>5.3972408914043202E-2</v>
      </c>
      <c r="AK65" s="30">
        <v>-0.16666666666666663</v>
      </c>
      <c r="AL65" s="30">
        <v>0.41935483870967749</v>
      </c>
      <c r="AM65" s="30">
        <v>0.18279569892473124</v>
      </c>
      <c r="AN65" s="30">
        <v>0.19316795948815413</v>
      </c>
      <c r="AO65" s="30">
        <v>-7.0868667857257428E-2</v>
      </c>
      <c r="AP65" s="30">
        <v>0.29377118052615803</v>
      </c>
      <c r="AQ65" s="30">
        <v>0.19999999999999996</v>
      </c>
      <c r="AR65" s="30">
        <v>0</v>
      </c>
      <c r="AS65" s="30">
        <v>0</v>
      </c>
      <c r="AT65" s="30">
        <v>0</v>
      </c>
      <c r="AU65" s="30">
        <v>0.42825213703498166</v>
      </c>
      <c r="AV65" s="30">
        <v>-2.4606535112247085E-3</v>
      </c>
      <c r="AW65" s="30">
        <v>0.25</v>
      </c>
      <c r="AX65" s="30">
        <v>0</v>
      </c>
      <c r="AY65" s="30">
        <v>0</v>
      </c>
      <c r="AZ65" s="30">
        <v>0</v>
      </c>
      <c r="BA65" s="30">
        <v>-4.3757454784450256E-2</v>
      </c>
      <c r="BB65" s="30">
        <v>7.8892281928778951E-2</v>
      </c>
      <c r="BC65" s="30">
        <v>0</v>
      </c>
      <c r="BD65" s="30">
        <v>0</v>
      </c>
      <c r="BE65" s="30">
        <v>0</v>
      </c>
      <c r="BF65" s="30">
        <v>0</v>
      </c>
      <c r="BG65" s="30">
        <v>-6.5219172097426004E-2</v>
      </c>
      <c r="BH65" s="30">
        <v>0</v>
      </c>
      <c r="BI65" s="30">
        <v>0</v>
      </c>
      <c r="BJ65" s="30">
        <v>0</v>
      </c>
      <c r="BK65" s="30">
        <v>0</v>
      </c>
      <c r="BL65" s="30">
        <v>0</v>
      </c>
      <c r="BM65" s="30">
        <v>0</v>
      </c>
      <c r="BN65" s="30">
        <v>0</v>
      </c>
      <c r="BO65" s="30">
        <v>0</v>
      </c>
      <c r="BP65" s="30">
        <v>0</v>
      </c>
      <c r="BQ65" s="30">
        <v>0</v>
      </c>
      <c r="BR65" s="30">
        <v>0</v>
      </c>
      <c r="BS65" s="30">
        <v>0</v>
      </c>
    </row>
    <row r="66" spans="2:71" x14ac:dyDescent="0.2">
      <c r="B66" s="51">
        <v>23</v>
      </c>
      <c r="C66" t="str">
        <v>Expertmedia, UAB</v>
      </c>
      <c r="D66" s="33">
        <f t="shared" si="25"/>
        <v>0.13058035714285721</v>
      </c>
      <c r="E66" s="33">
        <f t="shared" si="26"/>
        <v>7.9518072289156638E-2</v>
      </c>
      <c r="F66" s="33">
        <f t="shared" si="27"/>
        <v>0.31329113924050622</v>
      </c>
      <c r="G66" s="33">
        <f t="shared" si="28"/>
        <v>0.24043179587831201</v>
      </c>
      <c r="H66" s="34">
        <f t="shared" si="29"/>
        <v>0.22623345367027681</v>
      </c>
      <c r="I66" s="15">
        <v>23</v>
      </c>
      <c r="J66" t="str">
        <v>Inspired Communications, UAB</v>
      </c>
      <c r="K66" s="33">
        <f t="shared" si="15"/>
        <v>3.125E-2</v>
      </c>
      <c r="L66" s="33">
        <f t="shared" si="16"/>
        <v>-0.19999999999999996</v>
      </c>
      <c r="M66" s="33">
        <f t="shared" si="17"/>
        <v>-0.21568627450980393</v>
      </c>
      <c r="N66" s="33">
        <f t="shared" si="18"/>
        <v>8.5106382978723305E-2</v>
      </c>
      <c r="O66" s="34">
        <f t="shared" si="19"/>
        <v>-4.081632653061229E-2</v>
      </c>
      <c r="P66" s="51">
        <v>23</v>
      </c>
      <c r="Q66" t="str">
        <v>Astos dizainas, UAB</v>
      </c>
      <c r="R66" s="30">
        <f t="shared" si="20"/>
        <v>0.17209860093271145</v>
      </c>
      <c r="S66" s="30">
        <f t="shared" si="21"/>
        <v>4.6226336186466765E-2</v>
      </c>
      <c r="T66" s="30">
        <f t="shared" si="22"/>
        <v>3.3288575584649038E-3</v>
      </c>
      <c r="U66" s="30">
        <f t="shared" si="23"/>
        <v>3.5588580367618361E-2</v>
      </c>
      <c r="V66" s="70">
        <f t="shared" si="24"/>
        <v>-0.11166154123293492</v>
      </c>
      <c r="AH66" t="s">
        <v>1045</v>
      </c>
      <c r="AI66" t="s">
        <v>1572</v>
      </c>
      <c r="AJ66" s="30">
        <v>-0.16048553540052957</v>
      </c>
      <c r="AK66" s="30">
        <v>-4.7619047619047672E-2</v>
      </c>
      <c r="AL66" s="30">
        <v>0.1862845445240533</v>
      </c>
      <c r="AM66" s="30">
        <v>0.12979480430862211</v>
      </c>
      <c r="AN66" s="30">
        <v>-0.1956001874647002</v>
      </c>
      <c r="AO66" s="30">
        <v>-3.1558023872679044</v>
      </c>
      <c r="AP66" s="30">
        <v>-9.1248106967145581E-3</v>
      </c>
      <c r="AQ66" s="30">
        <v>5.0000000000000044E-2</v>
      </c>
      <c r="AR66" s="30">
        <v>7.8961899503037003E-2</v>
      </c>
      <c r="AS66" s="30">
        <v>0.13290999447818885</v>
      </c>
      <c r="AT66" s="30">
        <v>-5.315816854480182E-2</v>
      </c>
      <c r="AU66" s="30">
        <v>0.34408841748741043</v>
      </c>
      <c r="AV66" s="30">
        <v>0.38062866645360832</v>
      </c>
      <c r="AW66" s="30">
        <v>5.2631578947368363E-2</v>
      </c>
      <c r="AX66" s="30">
        <v>0.1404282115869018</v>
      </c>
      <c r="AY66" s="30">
        <v>0.20045074903884386</v>
      </c>
      <c r="AZ66" s="30">
        <v>0.44808556094908658</v>
      </c>
      <c r="BA66" s="30">
        <v>2.6810849457079571E-3</v>
      </c>
      <c r="BB66" s="30">
        <v>-8.7722679317075558E-2</v>
      </c>
      <c r="BC66" s="30">
        <v>0.11764705882352944</v>
      </c>
      <c r="BD66" s="30">
        <v>9.9722991689750629E-2</v>
      </c>
      <c r="BE66" s="30">
        <v>0.22910216718266252</v>
      </c>
      <c r="BF66" s="30">
        <v>-0.15298392899232116</v>
      </c>
      <c r="BG66" s="30">
        <v>-0.35260934968757229</v>
      </c>
      <c r="BH66" s="30">
        <v>0.44251357268302072</v>
      </c>
      <c r="BI66" s="30">
        <v>0</v>
      </c>
      <c r="BJ66" s="30">
        <v>0.1159196290571871</v>
      </c>
      <c r="BK66" s="30">
        <v>0.11591962905718711</v>
      </c>
      <c r="BL66" s="30">
        <v>0.53370394373063967</v>
      </c>
      <c r="BM66" s="30">
        <v>0.99124423963133634</v>
      </c>
      <c r="BN66" s="30">
        <v>0</v>
      </c>
      <c r="BO66" s="30">
        <v>0</v>
      </c>
      <c r="BP66" s="30">
        <v>0</v>
      </c>
      <c r="BQ66" s="30">
        <v>0</v>
      </c>
      <c r="BR66" s="30">
        <v>0</v>
      </c>
      <c r="BS66" s="30">
        <v>0</v>
      </c>
    </row>
    <row r="67" spans="2:71" x14ac:dyDescent="0.2">
      <c r="B67" s="51">
        <v>24</v>
      </c>
      <c r="C67" t="str">
        <v>Influenceriai.lt, UAB</v>
      </c>
      <c r="D67" s="33">
        <f t="shared" si="25"/>
        <v>0.13047487321346241</v>
      </c>
      <c r="E67" s="33">
        <f t="shared" si="26"/>
        <v>1.213252449836677E-2</v>
      </c>
      <c r="F67" s="33">
        <f t="shared" si="27"/>
        <v>6.9361277445109781E-2</v>
      </c>
      <c r="G67" s="33">
        <f t="shared" si="28"/>
        <v>4.7021943573667617E-2</v>
      </c>
      <c r="H67" s="34">
        <f t="shared" si="29"/>
        <v>8.503401360544216E-2</v>
      </c>
      <c r="I67" s="15">
        <v>24</v>
      </c>
      <c r="J67" t="str">
        <v>Whatabout.agency, UAB</v>
      </c>
      <c r="K67" s="33">
        <f t="shared" si="15"/>
        <v>2.857142857142847E-2</v>
      </c>
      <c r="L67" s="33">
        <f t="shared" si="16"/>
        <v>0.16666666666666674</v>
      </c>
      <c r="M67" s="33">
        <f t="shared" si="17"/>
        <v>0.4285714285714286</v>
      </c>
      <c r="N67" s="33">
        <f t="shared" si="18"/>
        <v>5.0000000000000044E-2</v>
      </c>
      <c r="O67" s="34">
        <f t="shared" si="19"/>
        <v>0.17647058823529416</v>
      </c>
      <c r="P67" s="51">
        <v>24</v>
      </c>
      <c r="Q67" t="str">
        <v>Fabula ir partneriai, UAB</v>
      </c>
      <c r="R67" s="30">
        <f t="shared" si="20"/>
        <v>0.16577916513649171</v>
      </c>
      <c r="S67" s="30">
        <f t="shared" si="21"/>
        <v>0.16160682545325278</v>
      </c>
      <c r="T67" s="30">
        <f t="shared" si="22"/>
        <v>5.5138784696173948E-2</v>
      </c>
      <c r="U67" s="30">
        <f t="shared" si="23"/>
        <v>0.26470588235294112</v>
      </c>
      <c r="V67" s="70">
        <f t="shared" si="24"/>
        <v>-9.7100269841949749E-2</v>
      </c>
      <c r="AH67" t="s">
        <v>1576</v>
      </c>
      <c r="AI67" t="s">
        <v>1577</v>
      </c>
      <c r="AJ67" s="30">
        <v>7.8381870176753132E-2</v>
      </c>
      <c r="AK67" s="30">
        <v>-7.407407407407407E-2</v>
      </c>
      <c r="AL67" s="30">
        <v>3.6727879799666192E-2</v>
      </c>
      <c r="AM67" s="30">
        <v>-4.0066777963272071E-2</v>
      </c>
      <c r="AN67" s="30">
        <v>0.10286726119878487</v>
      </c>
      <c r="AO67" s="30">
        <v>-1.9962834974245289</v>
      </c>
      <c r="AP67" s="30">
        <v>6.3279790575035744E-2</v>
      </c>
      <c r="AQ67" s="30">
        <v>3.8461538461538547E-2</v>
      </c>
      <c r="AR67" s="30">
        <v>0.19227707006369421</v>
      </c>
      <c r="AS67" s="30">
        <v>0.23813388045075934</v>
      </c>
      <c r="AT67" s="30">
        <v>4.6337477989111253E-2</v>
      </c>
      <c r="AU67" s="30">
        <v>-1.4502275062380741</v>
      </c>
      <c r="AV67" s="30">
        <v>0.41850447076410502</v>
      </c>
      <c r="AW67" s="30">
        <v>0.13043478260869557</v>
      </c>
      <c r="AX67" s="30">
        <v>0.2751269035532995</v>
      </c>
      <c r="AY67" s="30">
        <v>0.4414478040167733</v>
      </c>
      <c r="AZ67" s="30">
        <v>0.28221796613013006</v>
      </c>
      <c r="BA67" s="30">
        <v>-1.7308595887104561</v>
      </c>
      <c r="BB67" s="30">
        <v>-7.3151250924115452E-2</v>
      </c>
      <c r="BC67" s="30">
        <v>0.21052631578947367</v>
      </c>
      <c r="BD67" s="30">
        <v>9.2623405435385386E-2</v>
      </c>
      <c r="BE67" s="30">
        <v>0.32264938552704558</v>
      </c>
      <c r="BF67" s="30">
        <v>-0.11011714990503896</v>
      </c>
      <c r="BG67" s="30">
        <v>-19.71867469879518</v>
      </c>
      <c r="BH67" s="30">
        <v>0.32179313737547649</v>
      </c>
      <c r="BI67" s="30">
        <v>0.1875</v>
      </c>
      <c r="BJ67" s="30">
        <v>-7.6331967213114749E-2</v>
      </c>
      <c r="BK67" s="30">
        <v>9.6855788934426146E-2</v>
      </c>
      <c r="BL67" s="30">
        <v>0.39069426504267346</v>
      </c>
      <c r="BM67" s="30">
        <v>-0.136615811373093</v>
      </c>
      <c r="BN67" s="30">
        <v>0</v>
      </c>
      <c r="BO67" s="30">
        <v>0</v>
      </c>
      <c r="BP67" s="30">
        <v>0</v>
      </c>
      <c r="BQ67" s="30">
        <v>0</v>
      </c>
      <c r="BR67" s="30">
        <v>0</v>
      </c>
      <c r="BS67" s="30">
        <v>0</v>
      </c>
    </row>
    <row r="68" spans="2:71" x14ac:dyDescent="0.2">
      <c r="B68" s="51">
        <v>25</v>
      </c>
      <c r="C68" t="str">
        <v>Caption, UAB</v>
      </c>
      <c r="D68" s="33">
        <f t="shared" si="25"/>
        <v>0.13</v>
      </c>
      <c r="E68" s="33">
        <f t="shared" si="26"/>
        <v>0.09</v>
      </c>
      <c r="F68" s="33">
        <f t="shared" si="27"/>
        <v>0.2</v>
      </c>
      <c r="G68" s="33">
        <f t="shared" si="28"/>
        <v>7.0000000000000007E-2</v>
      </c>
      <c r="H68" s="34">
        <f t="shared" si="29"/>
        <v>0.01</v>
      </c>
      <c r="I68" s="15">
        <v>25</v>
      </c>
      <c r="J68" t="str">
        <v>Open Agency, UAB</v>
      </c>
      <c r="K68" s="33">
        <f t="shared" si="15"/>
        <v>1.9230769230769162E-2</v>
      </c>
      <c r="L68" s="33">
        <f t="shared" si="16"/>
        <v>-1.8867924528301883E-2</v>
      </c>
      <c r="M68" s="33">
        <f t="shared" si="17"/>
        <v>8.163265306122458E-2</v>
      </c>
      <c r="N68" s="33">
        <f t="shared" si="18"/>
        <v>6.5217391304347894E-2</v>
      </c>
      <c r="O68" s="34">
        <f t="shared" si="19"/>
        <v>6.9767441860465018E-2</v>
      </c>
      <c r="P68" s="51">
        <v>25</v>
      </c>
      <c r="Q68" t="str">
        <v>Skaitmeninė reklama, UAB</v>
      </c>
      <c r="R68" s="30">
        <f t="shared" si="20"/>
        <v>0.16220998820290999</v>
      </c>
      <c r="S68" s="30">
        <f t="shared" si="21"/>
        <v>-2.4954468479406966E-2</v>
      </c>
      <c r="T68" s="30">
        <f t="shared" si="22"/>
        <v>0.11910891797182299</v>
      </c>
      <c r="U68" s="30">
        <f t="shared" si="23"/>
        <v>0.2727438219633187</v>
      </c>
      <c r="V68" s="70">
        <f t="shared" si="24"/>
        <v>0.28137392115698634</v>
      </c>
      <c r="AH68" t="s">
        <v>420</v>
      </c>
      <c r="AI68" t="s">
        <v>1581</v>
      </c>
      <c r="AJ68" s="30">
        <v>-0.25062346210702902</v>
      </c>
      <c r="AK68" s="30">
        <v>-5.4054054054054057E-2</v>
      </c>
      <c r="AL68" s="30">
        <v>1.089324618736387E-2</v>
      </c>
      <c r="AM68" s="30">
        <v>-4.3749631984926096E-2</v>
      </c>
      <c r="AN68" s="30">
        <v>-0.31763217241716979</v>
      </c>
      <c r="AO68" s="30">
        <v>-2.441679413264306</v>
      </c>
      <c r="AP68" s="30">
        <v>0.29545768922196358</v>
      </c>
      <c r="AQ68" s="30">
        <v>5.7142857142857162E-2</v>
      </c>
      <c r="AR68" s="30">
        <v>0.22167300380228139</v>
      </c>
      <c r="AS68" s="30">
        <v>0.2914828897338404</v>
      </c>
      <c r="AT68" s="30">
        <v>0.3562869666702182</v>
      </c>
      <c r="AU68" s="30">
        <v>-0.60991394148020661</v>
      </c>
      <c r="AV68" s="30">
        <v>-4.5000932045789137E-2</v>
      </c>
      <c r="AW68" s="30">
        <v>0.16666666666666674</v>
      </c>
      <c r="AX68" s="30">
        <v>0.1857529305680794</v>
      </c>
      <c r="AY68" s="30">
        <v>0.38337841899609248</v>
      </c>
      <c r="AZ68" s="30">
        <v>-0.15314390130486677</v>
      </c>
      <c r="BA68" s="30">
        <v>-0.4196010353722589</v>
      </c>
      <c r="BB68" s="30">
        <v>0.62573090205196635</v>
      </c>
      <c r="BC68" s="30">
        <v>0.66666666666666674</v>
      </c>
      <c r="BD68" s="30">
        <v>0.37167594310451452</v>
      </c>
      <c r="BE68" s="30">
        <v>1.2861265718408577</v>
      </c>
      <c r="BF68" s="30">
        <v>0.44960483385744321</v>
      </c>
      <c r="BG68" s="30">
        <v>1.200723044604036</v>
      </c>
      <c r="BH68" s="30">
        <v>-0.14872411565634611</v>
      </c>
      <c r="BI68" s="30">
        <v>0.38461538461538458</v>
      </c>
      <c r="BJ68" s="30">
        <v>0.13314646110721801</v>
      </c>
      <c r="BK68" s="30">
        <v>0.5689720230715325</v>
      </c>
      <c r="BL68" s="30">
        <v>-0.22478086206359882</v>
      </c>
      <c r="BM68" s="30">
        <v>-0.13606665316045391</v>
      </c>
      <c r="BN68" s="30">
        <v>0</v>
      </c>
      <c r="BO68" s="30">
        <v>0</v>
      </c>
      <c r="BP68" s="30">
        <v>0</v>
      </c>
      <c r="BQ68" s="30">
        <v>0</v>
      </c>
      <c r="BR68" s="30">
        <v>0</v>
      </c>
      <c r="BS68" s="30">
        <v>0</v>
      </c>
    </row>
    <row r="69" spans="2:71" x14ac:dyDescent="0.2">
      <c r="B69" s="51">
        <v>26</v>
      </c>
      <c r="C69" t="str">
        <v>Totem promo, UAB</v>
      </c>
      <c r="D69" s="33">
        <f t="shared" si="25"/>
        <v>0.13</v>
      </c>
      <c r="E69" s="33">
        <f t="shared" si="26"/>
        <v>0.11</v>
      </c>
      <c r="F69" s="33">
        <f t="shared" si="27"/>
        <v>0.03</v>
      </c>
      <c r="G69" s="33">
        <f t="shared" si="28"/>
        <v>0.28999999999999998</v>
      </c>
      <c r="H69" s="34">
        <f t="shared" si="29"/>
        <v>0.09</v>
      </c>
      <c r="I69" s="15">
        <v>26</v>
      </c>
      <c r="J69" t="str">
        <v>100 ačiū, MB</v>
      </c>
      <c r="K69" s="33">
        <f t="shared" si="15"/>
        <v>0</v>
      </c>
      <c r="L69" s="33">
        <f t="shared" si="16"/>
        <v>0</v>
      </c>
      <c r="M69" s="33">
        <f t="shared" si="17"/>
        <v>-1</v>
      </c>
      <c r="N69" s="33">
        <f t="shared" si="18"/>
        <v>-0.33333333333333337</v>
      </c>
      <c r="O69" s="34">
        <f t="shared" si="19"/>
        <v>0</v>
      </c>
      <c r="P69" s="51">
        <v>26</v>
      </c>
      <c r="Q69" t="str">
        <v>Protingi sprendimai, UAB</v>
      </c>
      <c r="R69" s="30">
        <f t="shared" si="20"/>
        <v>0.1593682699210337</v>
      </c>
      <c r="S69" s="30">
        <f t="shared" si="21"/>
        <v>-6.874651810584953E-2</v>
      </c>
      <c r="T69" s="30">
        <f t="shared" si="22"/>
        <v>0.13035264483627196</v>
      </c>
      <c r="U69" s="30">
        <f t="shared" si="23"/>
        <v>0.27141713370696552</v>
      </c>
      <c r="V69" s="70">
        <f t="shared" si="24"/>
        <v>-0.15226244343891404</v>
      </c>
      <c r="AH69" t="s">
        <v>122</v>
      </c>
      <c r="AI69" t="s">
        <v>1586</v>
      </c>
      <c r="AJ69" s="30">
        <v>0.1063618581401788</v>
      </c>
      <c r="AK69" s="30">
        <v>1.9230769230769162E-2</v>
      </c>
      <c r="AL69" s="30">
        <v>2.3615950445218688E-2</v>
      </c>
      <c r="AM69" s="30">
        <v>4.3300872569165261E-2</v>
      </c>
      <c r="AN69" s="30">
        <v>0.11230520788582221</v>
      </c>
      <c r="AO69" s="30">
        <v>0.16313974763636899</v>
      </c>
      <c r="AP69" s="30">
        <v>-3.0635388625171789E-2</v>
      </c>
      <c r="AQ69" s="30">
        <v>-1.8867924528301883E-2</v>
      </c>
      <c r="AR69" s="30">
        <v>-1.6374714394516321E-2</v>
      </c>
      <c r="AS69" s="30">
        <v>-3.4933682047450065E-2</v>
      </c>
      <c r="AT69" s="30">
        <v>-2.8888182822939368E-2</v>
      </c>
      <c r="AU69" s="30">
        <v>-6.803760920664681E-2</v>
      </c>
      <c r="AV69" s="30">
        <v>-2.5503117772406329E-2</v>
      </c>
      <c r="AW69" s="30">
        <v>8.163265306122458E-2</v>
      </c>
      <c r="AX69" s="30">
        <v>7.052588666938453E-2</v>
      </c>
      <c r="AY69" s="30">
        <v>0.15791575496892607</v>
      </c>
      <c r="AZ69" s="30">
        <v>-4.0865053271079144E-2</v>
      </c>
      <c r="BA69" s="30">
        <v>-0.11986431057093989</v>
      </c>
      <c r="BB69" s="30">
        <v>0.23100427620433231</v>
      </c>
      <c r="BC69" s="30">
        <v>6.5217391304347894E-2</v>
      </c>
      <c r="BD69" s="30">
        <v>0.19541910331384019</v>
      </c>
      <c r="BE69" s="30">
        <v>0.27338121874735144</v>
      </c>
      <c r="BF69" s="30">
        <v>0.22889820811220885</v>
      </c>
      <c r="BG69" s="30">
        <v>0.17532660715080511</v>
      </c>
      <c r="BH69" s="30">
        <v>-0.1133531379984232</v>
      </c>
      <c r="BI69" s="30">
        <v>6.9767441860465018E-2</v>
      </c>
      <c r="BJ69" s="30">
        <v>-5.7851239669421517E-2</v>
      </c>
      <c r="BK69" s="30">
        <v>7.8800691908513798E-3</v>
      </c>
      <c r="BL69" s="30">
        <v>-0.12599602830638779</v>
      </c>
      <c r="BM69" s="30">
        <v>-4.5872605400379518E-2</v>
      </c>
      <c r="BN69" s="30">
        <v>0</v>
      </c>
      <c r="BO69" s="30">
        <v>0</v>
      </c>
      <c r="BP69" s="30">
        <v>0</v>
      </c>
      <c r="BQ69" s="30">
        <v>0</v>
      </c>
      <c r="BR69" s="30">
        <v>0</v>
      </c>
      <c r="BS69" s="30">
        <v>0</v>
      </c>
    </row>
    <row r="70" spans="2:71" x14ac:dyDescent="0.2">
      <c r="B70" s="51">
        <v>27</v>
      </c>
      <c r="C70" t="str">
        <v>We Are Marketing, UAB</v>
      </c>
      <c r="D70" s="33">
        <f t="shared" si="25"/>
        <v>0.12550607287449389</v>
      </c>
      <c r="E70" s="33">
        <f t="shared" si="26"/>
        <v>0.114704776231666</v>
      </c>
      <c r="F70" s="33">
        <f t="shared" si="27"/>
        <v>0.1555845284658843</v>
      </c>
      <c r="G70" s="33">
        <f t="shared" si="28"/>
        <v>5.4537121906507828E-2</v>
      </c>
      <c r="H70" s="34">
        <f t="shared" si="29"/>
        <v>6.3352826510721272E-2</v>
      </c>
      <c r="I70" s="15">
        <v>27</v>
      </c>
      <c r="J70" t="str">
        <v>6 Loops, UAB</v>
      </c>
      <c r="K70" s="33">
        <f t="shared" si="15"/>
        <v>0</v>
      </c>
      <c r="L70" s="33">
        <f t="shared" si="16"/>
        <v>0</v>
      </c>
      <c r="M70" s="33">
        <f t="shared" si="17"/>
        <v>0</v>
      </c>
      <c r="N70" s="33">
        <f t="shared" si="18"/>
        <v>0</v>
      </c>
      <c r="O70" s="34">
        <f t="shared" si="19"/>
        <v>0</v>
      </c>
      <c r="P70" s="51">
        <v>27</v>
      </c>
      <c r="Q70" t="str">
        <v>Bosanova, UAB</v>
      </c>
      <c r="R70" s="30">
        <f t="shared" si="20"/>
        <v>0.15678524374176539</v>
      </c>
      <c r="S70" s="30">
        <f t="shared" si="21"/>
        <v>0.23854027592345339</v>
      </c>
      <c r="T70" s="30">
        <f t="shared" si="22"/>
        <v>0.37067913786091911</v>
      </c>
      <c r="U70" s="30">
        <f t="shared" si="23"/>
        <v>0.88320888378326634</v>
      </c>
      <c r="V70" s="70">
        <f t="shared" si="24"/>
        <v>-0.14433158584534733</v>
      </c>
      <c r="AH70" t="s">
        <v>1590</v>
      </c>
      <c r="AI70" t="s">
        <v>1591</v>
      </c>
      <c r="AJ70" s="30">
        <v>0.70157865313853263</v>
      </c>
      <c r="AK70" s="30">
        <v>0.66666666666666674</v>
      </c>
      <c r="AL70" s="30">
        <v>0.40492957746478869</v>
      </c>
      <c r="AM70" s="30">
        <v>1.341549295774648</v>
      </c>
      <c r="AN70" s="30">
        <v>0.2938788986229941</v>
      </c>
      <c r="AO70" s="30">
        <v>3.715890601998916</v>
      </c>
      <c r="AP70" s="30">
        <v>0.27839615144614099</v>
      </c>
      <c r="AQ70" s="30">
        <v>0.5</v>
      </c>
      <c r="AR70" s="30">
        <v>0</v>
      </c>
      <c r="AS70" s="30">
        <v>0</v>
      </c>
      <c r="AT70" s="30">
        <v>0</v>
      </c>
      <c r="AU70" s="30">
        <v>-0.6420588479991125</v>
      </c>
      <c r="AV70" s="30">
        <v>1.6319712517020171</v>
      </c>
      <c r="AW70" s="30">
        <v>1</v>
      </c>
      <c r="AX70" s="30">
        <v>0</v>
      </c>
      <c r="AY70" s="30">
        <v>0</v>
      </c>
      <c r="AZ70" s="30">
        <v>0</v>
      </c>
      <c r="BA70" s="30">
        <v>3.1504373848987108</v>
      </c>
      <c r="BB70" s="30">
        <v>0</v>
      </c>
      <c r="BC70" s="30">
        <v>0</v>
      </c>
      <c r="BD70" s="30">
        <v>0</v>
      </c>
      <c r="BE70" s="30">
        <v>0</v>
      </c>
      <c r="BF70" s="30">
        <v>0</v>
      </c>
      <c r="BG70" s="30">
        <v>0</v>
      </c>
      <c r="BH70" s="30">
        <v>0</v>
      </c>
      <c r="BI70" s="30">
        <v>0</v>
      </c>
      <c r="BJ70" s="30">
        <v>0</v>
      </c>
      <c r="BK70" s="30">
        <v>0</v>
      </c>
      <c r="BL70" s="30">
        <v>0</v>
      </c>
      <c r="BM70" s="30">
        <v>0</v>
      </c>
      <c r="BN70" s="30">
        <v>0</v>
      </c>
      <c r="BO70" s="30">
        <v>0</v>
      </c>
      <c r="BP70" s="30">
        <v>0</v>
      </c>
      <c r="BQ70" s="30">
        <v>0</v>
      </c>
      <c r="BR70" s="30">
        <v>0</v>
      </c>
      <c r="BS70" s="30">
        <v>0</v>
      </c>
    </row>
    <row r="71" spans="2:71" x14ac:dyDescent="0.2">
      <c r="B71" s="51">
        <v>28</v>
      </c>
      <c r="C71" t="str">
        <v>Publicum, UAB</v>
      </c>
      <c r="D71" s="33">
        <f t="shared" si="25"/>
        <v>0.1227790432801823</v>
      </c>
      <c r="E71" s="33">
        <f t="shared" si="26"/>
        <v>0.16600265604249681</v>
      </c>
      <c r="F71" s="33">
        <f t="shared" si="27"/>
        <v>-3.1635802469135783E-2</v>
      </c>
      <c r="G71" s="33">
        <f t="shared" si="28"/>
        <v>0.1567985718536149</v>
      </c>
      <c r="H71" s="34">
        <f t="shared" si="29"/>
        <v>0.1657995143947277</v>
      </c>
      <c r="I71" s="15">
        <v>28</v>
      </c>
      <c r="J71" t="str">
        <v>Adface, UAB</v>
      </c>
      <c r="K71" s="33">
        <f t="shared" si="15"/>
        <v>0</v>
      </c>
      <c r="L71" s="33">
        <f t="shared" si="16"/>
        <v>0.5</v>
      </c>
      <c r="M71" s="33">
        <f t="shared" si="17"/>
        <v>0.19999999999999996</v>
      </c>
      <c r="N71" s="33">
        <f t="shared" si="18"/>
        <v>0.25</v>
      </c>
      <c r="O71" s="34">
        <f t="shared" si="19"/>
        <v>0</v>
      </c>
      <c r="P71" s="51">
        <v>28</v>
      </c>
      <c r="Q71" t="str">
        <v>Havas Media, UAB</v>
      </c>
      <c r="R71" s="30">
        <f t="shared" si="20"/>
        <v>0.14432989690721643</v>
      </c>
      <c r="S71" s="30">
        <f t="shared" si="21"/>
        <v>0.16867469879518082</v>
      </c>
      <c r="T71" s="30">
        <f t="shared" si="22"/>
        <v>0.17637795275590551</v>
      </c>
      <c r="U71" s="30">
        <f t="shared" si="23"/>
        <v>0.14929762859669693</v>
      </c>
      <c r="V71" s="70">
        <f t="shared" si="24"/>
        <v>5.5280635499413977E-2</v>
      </c>
      <c r="AH71" t="s">
        <v>734</v>
      </c>
      <c r="AI71" t="s">
        <v>1593</v>
      </c>
      <c r="AJ71" s="30">
        <v>2.5522299854875148</v>
      </c>
      <c r="AK71" s="30">
        <v>0.19999999999999996</v>
      </c>
      <c r="AL71" s="30">
        <v>2.3336816440264752E-2</v>
      </c>
      <c r="AM71" s="30">
        <v>0.22800417972831766</v>
      </c>
      <c r="AN71" s="30">
        <v>-3.7240326598793256</v>
      </c>
      <c r="AO71" s="30">
        <v>1.4028385340721301</v>
      </c>
      <c r="AP71" s="30">
        <v>0</v>
      </c>
      <c r="AQ71" s="30">
        <v>0</v>
      </c>
      <c r="AR71" s="30">
        <v>0</v>
      </c>
      <c r="AS71" s="30">
        <v>0</v>
      </c>
      <c r="AT71" s="30">
        <v>0</v>
      </c>
      <c r="AU71" s="30">
        <v>0</v>
      </c>
      <c r="AV71" s="30">
        <v>0</v>
      </c>
      <c r="AW71" s="30">
        <v>0</v>
      </c>
      <c r="AX71" s="30">
        <v>0</v>
      </c>
      <c r="AY71" s="30">
        <v>0</v>
      </c>
      <c r="AZ71" s="30">
        <v>0</v>
      </c>
      <c r="BA71" s="30">
        <v>0</v>
      </c>
      <c r="BB71" s="30">
        <v>0</v>
      </c>
      <c r="BC71" s="30">
        <v>0</v>
      </c>
      <c r="BD71" s="30">
        <v>0</v>
      </c>
      <c r="BE71" s="30">
        <v>0</v>
      </c>
      <c r="BF71" s="30">
        <v>0</v>
      </c>
      <c r="BG71" s="30">
        <v>0</v>
      </c>
      <c r="BH71" s="30">
        <v>0</v>
      </c>
      <c r="BI71" s="30">
        <v>0</v>
      </c>
      <c r="BJ71" s="30">
        <v>0</v>
      </c>
      <c r="BK71" s="30">
        <v>0</v>
      </c>
      <c r="BL71" s="30">
        <v>0</v>
      </c>
      <c r="BM71" s="30">
        <v>0</v>
      </c>
      <c r="BN71" s="30">
        <v>0</v>
      </c>
      <c r="BO71" s="30">
        <v>0</v>
      </c>
      <c r="BP71" s="30">
        <v>0</v>
      </c>
      <c r="BQ71" s="30">
        <v>0</v>
      </c>
      <c r="BR71" s="30">
        <v>0</v>
      </c>
      <c r="BS71" s="30">
        <v>0</v>
      </c>
    </row>
    <row r="72" spans="2:71" x14ac:dyDescent="0.2">
      <c r="B72" s="51">
        <v>29</v>
      </c>
      <c r="C72" t="str">
        <v>Digital Matter, UAB</v>
      </c>
      <c r="D72" s="33">
        <f t="shared" si="25"/>
        <v>0.12</v>
      </c>
      <c r="E72" s="33">
        <f t="shared" si="26"/>
        <v>0.06</v>
      </c>
      <c r="F72" s="33">
        <f t="shared" si="27"/>
        <v>0.1</v>
      </c>
      <c r="G72" s="33">
        <f t="shared" si="28"/>
        <v>0.12</v>
      </c>
      <c r="H72" s="34">
        <f t="shared" si="29"/>
        <v>0.18</v>
      </c>
      <c r="I72" s="15">
        <v>29</v>
      </c>
      <c r="J72" t="str">
        <v>Arena Media, UAB</v>
      </c>
      <c r="K72" s="33">
        <f t="shared" si="15"/>
        <v>0</v>
      </c>
      <c r="L72" s="33">
        <f t="shared" si="16"/>
        <v>7.6923076923076872E-2</v>
      </c>
      <c r="M72" s="33">
        <f t="shared" si="17"/>
        <v>8.3333333333333259E-2</v>
      </c>
      <c r="N72" s="33">
        <f t="shared" si="18"/>
        <v>9.0909090909090828E-2</v>
      </c>
      <c r="O72" s="34">
        <f t="shared" si="19"/>
        <v>-0.3125</v>
      </c>
      <c r="P72" s="51">
        <v>29</v>
      </c>
      <c r="Q72" t="str">
        <v>Sons &amp; Daughters, UAB</v>
      </c>
      <c r="R72" s="30">
        <f t="shared" si="20"/>
        <v>0.13430758524704256</v>
      </c>
      <c r="S72" s="30">
        <f t="shared" si="21"/>
        <v>0.42496694579109739</v>
      </c>
      <c r="T72" s="30">
        <f t="shared" si="22"/>
        <v>0.18292603453893785</v>
      </c>
      <c r="U72" s="30">
        <f t="shared" si="23"/>
        <v>0.32295887576515225</v>
      </c>
      <c r="V72" s="70">
        <f t="shared" si="24"/>
        <v>-0.2437489812550937</v>
      </c>
      <c r="AH72" t="s">
        <v>333</v>
      </c>
      <c r="AI72" t="s">
        <v>1595</v>
      </c>
      <c r="AJ72" s="30">
        <v>-0.17958396750831659</v>
      </c>
      <c r="AK72" s="30">
        <v>-0.61538461538461542</v>
      </c>
      <c r="AL72" s="30">
        <v>8.1385642737896502E-2</v>
      </c>
      <c r="AM72" s="30">
        <v>-0.58408244510080909</v>
      </c>
      <c r="AN72" s="30">
        <v>0.15300679590580035</v>
      </c>
      <c r="AO72" s="30">
        <v>-0.63671175175394212</v>
      </c>
      <c r="AP72" s="30">
        <v>0.22286350552051701</v>
      </c>
      <c r="AQ72" s="30">
        <v>-4.8780487804878092E-2</v>
      </c>
      <c r="AR72" s="30">
        <v>0.14040932889100419</v>
      </c>
      <c r="AS72" s="30">
        <v>8.4779605530467483E-2</v>
      </c>
      <c r="AT72" s="30">
        <v>0.35237114714233919</v>
      </c>
      <c r="AU72" s="30">
        <v>0.14798649815527121</v>
      </c>
      <c r="AV72" s="30">
        <v>0.56911522754118282</v>
      </c>
      <c r="AW72" s="30">
        <v>-0.17171717171717171</v>
      </c>
      <c r="AX72" s="30">
        <v>0.27333333333333337</v>
      </c>
      <c r="AY72" s="30">
        <v>5.4680134680134662E-2</v>
      </c>
      <c r="AZ72" s="30">
        <v>1.7688927892825221</v>
      </c>
      <c r="BA72" s="30">
        <v>0.44848931399436931</v>
      </c>
      <c r="BB72" s="30">
        <v>0.55094190934609966</v>
      </c>
      <c r="BC72" s="30">
        <v>1.25</v>
      </c>
      <c r="BD72" s="30">
        <v>0.16855524079320119</v>
      </c>
      <c r="BE72" s="30">
        <v>1.6292492917847023</v>
      </c>
      <c r="BF72" s="30">
        <v>-0.20430983350844356</v>
      </c>
      <c r="BG72" s="30">
        <v>0.66316434439250216</v>
      </c>
      <c r="BH72" s="30">
        <v>-0.36033809451921828</v>
      </c>
      <c r="BI72" s="30">
        <v>0.22222222222222232</v>
      </c>
      <c r="BJ72" s="30">
        <v>0.1031249999999999</v>
      </c>
      <c r="BK72" s="30">
        <v>0.34826388888888893</v>
      </c>
      <c r="BL72" s="30">
        <v>-0.5289079108153818</v>
      </c>
      <c r="BM72" s="30">
        <v>-0.37873668281725092</v>
      </c>
      <c r="BN72" s="30">
        <v>0</v>
      </c>
      <c r="BO72" s="30">
        <v>0</v>
      </c>
      <c r="BP72" s="30">
        <v>0</v>
      </c>
      <c r="BQ72" s="30">
        <v>0</v>
      </c>
      <c r="BR72" s="30">
        <v>0</v>
      </c>
      <c r="BS72" s="30">
        <v>0</v>
      </c>
    </row>
    <row r="73" spans="2:71" x14ac:dyDescent="0.2">
      <c r="B73" s="51">
        <v>30</v>
      </c>
      <c r="C73" t="str">
        <v>SEOvoras, UAB</v>
      </c>
      <c r="D73" s="33">
        <f t="shared" si="25"/>
        <v>0.12</v>
      </c>
      <c r="E73" s="33">
        <f t="shared" si="26"/>
        <v>0.18</v>
      </c>
      <c r="F73" s="33">
        <f t="shared" si="27"/>
        <v>0.22</v>
      </c>
      <c r="G73" s="33">
        <f t="shared" si="28"/>
        <v>0.16</v>
      </c>
      <c r="H73" s="34">
        <f t="shared" si="29"/>
        <v>0.5</v>
      </c>
      <c r="I73" s="15">
        <v>30</v>
      </c>
      <c r="J73" t="str">
        <v>Ave Media, MB</v>
      </c>
      <c r="K73" s="33">
        <f t="shared" si="15"/>
        <v>0</v>
      </c>
      <c r="L73" s="33">
        <f t="shared" si="16"/>
        <v>0</v>
      </c>
      <c r="M73" s="33">
        <f t="shared" si="17"/>
        <v>0</v>
      </c>
      <c r="N73" s="33">
        <f t="shared" si="18"/>
        <v>0</v>
      </c>
      <c r="O73" s="34">
        <f t="shared" si="19"/>
        <v>0</v>
      </c>
      <c r="P73" s="51">
        <v>30</v>
      </c>
      <c r="Q73" t="str">
        <v>Caption, UAB</v>
      </c>
      <c r="R73" s="30">
        <f t="shared" si="20"/>
        <v>0.13378684807256236</v>
      </c>
      <c r="S73" s="30">
        <f t="shared" si="21"/>
        <v>0.36279357231149567</v>
      </c>
      <c r="T73" s="30">
        <f t="shared" si="22"/>
        <v>0.4457185405807893</v>
      </c>
      <c r="U73" s="30">
        <f t="shared" si="23"/>
        <v>1.3837415690450836</v>
      </c>
      <c r="V73" s="70">
        <f t="shared" si="24"/>
        <v>0.30130500057743381</v>
      </c>
      <c r="AH73" t="s">
        <v>834</v>
      </c>
      <c r="AI73" t="s">
        <v>1600</v>
      </c>
      <c r="AJ73" s="30">
        <v>0</v>
      </c>
      <c r="AK73" s="30">
        <v>0</v>
      </c>
      <c r="AL73" s="30">
        <v>0</v>
      </c>
      <c r="AM73" s="30">
        <v>0</v>
      </c>
      <c r="AN73" s="30">
        <v>0</v>
      </c>
      <c r="AO73" s="30">
        <v>0</v>
      </c>
      <c r="AP73" s="30">
        <v>0</v>
      </c>
      <c r="AQ73" s="30">
        <v>0</v>
      </c>
      <c r="AR73" s="30">
        <v>0</v>
      </c>
      <c r="AS73" s="30">
        <v>0</v>
      </c>
      <c r="AT73" s="30">
        <v>0</v>
      </c>
      <c r="AU73" s="30">
        <v>0</v>
      </c>
      <c r="AV73" s="30">
        <v>0</v>
      </c>
      <c r="AW73" s="30">
        <v>0</v>
      </c>
      <c r="AX73" s="30">
        <v>0</v>
      </c>
      <c r="AY73" s="30">
        <v>0</v>
      </c>
      <c r="AZ73" s="30">
        <v>0</v>
      </c>
      <c r="BA73" s="30">
        <v>0</v>
      </c>
      <c r="BB73" s="30">
        <v>0</v>
      </c>
      <c r="BC73" s="30">
        <v>0</v>
      </c>
      <c r="BD73" s="30">
        <v>0</v>
      </c>
      <c r="BE73" s="30">
        <v>0</v>
      </c>
      <c r="BF73" s="30">
        <v>0</v>
      </c>
      <c r="BG73" s="30">
        <v>0</v>
      </c>
      <c r="BH73" s="30">
        <v>0</v>
      </c>
      <c r="BI73" s="30">
        <v>0</v>
      </c>
      <c r="BJ73" s="30">
        <v>0</v>
      </c>
      <c r="BK73" s="30">
        <v>0</v>
      </c>
      <c r="BL73" s="30">
        <v>0</v>
      </c>
      <c r="BM73" s="30">
        <v>0</v>
      </c>
      <c r="BN73" s="30">
        <v>0</v>
      </c>
      <c r="BO73" s="30">
        <v>0</v>
      </c>
      <c r="BP73" s="30">
        <v>0</v>
      </c>
      <c r="BQ73" s="30">
        <v>0</v>
      </c>
      <c r="BR73" s="30">
        <v>0</v>
      </c>
      <c r="BS73" s="30">
        <v>0</v>
      </c>
    </row>
    <row r="74" spans="2:71" x14ac:dyDescent="0.2">
      <c r="B74" s="51">
        <v>31</v>
      </c>
      <c r="C74" t="str">
        <v>Fabula ir partneriai, UAB</v>
      </c>
      <c r="D74" s="33">
        <f t="shared" si="25"/>
        <v>0.11278920308483301</v>
      </c>
      <c r="E74" s="33">
        <f t="shared" si="26"/>
        <v>0.1062922147173835</v>
      </c>
      <c r="F74" s="33">
        <f t="shared" si="27"/>
        <v>5.5138784696173948E-2</v>
      </c>
      <c r="G74" s="33">
        <f t="shared" si="28"/>
        <v>7.4999999999999956E-2</v>
      </c>
      <c r="H74" s="34">
        <f t="shared" si="29"/>
        <v>-1.7432646592709929E-2</v>
      </c>
      <c r="I74" s="15">
        <v>31</v>
      </c>
      <c r="J74" t="str">
        <v>Bemedija, UAB</v>
      </c>
      <c r="K74" s="33">
        <f t="shared" si="15"/>
        <v>0</v>
      </c>
      <c r="L74" s="33">
        <f t="shared" si="16"/>
        <v>0</v>
      </c>
      <c r="M74" s="33">
        <f t="shared" si="17"/>
        <v>0</v>
      </c>
      <c r="N74" s="33">
        <f t="shared" si="18"/>
        <v>-0.66666666666666674</v>
      </c>
      <c r="O74" s="34">
        <f t="shared" si="19"/>
        <v>-0.5</v>
      </c>
      <c r="P74" s="51">
        <v>31</v>
      </c>
      <c r="Q74" t="str">
        <v>Milk Agency, UAB</v>
      </c>
      <c r="R74" s="30">
        <f t="shared" si="20"/>
        <v>0.12979480430862211</v>
      </c>
      <c r="S74" s="30">
        <f t="shared" si="21"/>
        <v>0.13290999447818885</v>
      </c>
      <c r="T74" s="30">
        <f t="shared" si="22"/>
        <v>0.20045074903884386</v>
      </c>
      <c r="U74" s="30">
        <f t="shared" si="23"/>
        <v>0.22910216718266252</v>
      </c>
      <c r="V74" s="70">
        <f t="shared" si="24"/>
        <v>0.11591962905718711</v>
      </c>
      <c r="AH74" t="s">
        <v>1006</v>
      </c>
      <c r="AI74" t="s">
        <v>1601</v>
      </c>
      <c r="AJ74" s="30">
        <v>0</v>
      </c>
      <c r="AK74" s="30">
        <v>0</v>
      </c>
      <c r="AL74" s="30">
        <v>0.4234277484397504</v>
      </c>
      <c r="AM74" s="30">
        <v>0.4234277484397504</v>
      </c>
      <c r="AN74" s="30">
        <v>-1.4040579929590793</v>
      </c>
      <c r="AO74" s="30">
        <v>0</v>
      </c>
      <c r="AP74" s="30">
        <v>0.92184241370392184</v>
      </c>
      <c r="AQ74" s="30">
        <v>-0.1428571428571429</v>
      </c>
      <c r="AR74" s="30">
        <v>0.3200253485424589</v>
      </c>
      <c r="AS74" s="30">
        <v>0.13145029875067893</v>
      </c>
      <c r="AT74" s="30">
        <v>1.4834659659777292</v>
      </c>
      <c r="AU74" s="30">
        <v>0.1117656774761879</v>
      </c>
      <c r="AV74" s="30">
        <v>-7.9727355132094058E-2</v>
      </c>
      <c r="AW74" s="30">
        <v>-0.125</v>
      </c>
      <c r="AX74" s="30">
        <v>-3.4862385321100857E-2</v>
      </c>
      <c r="AY74" s="30">
        <v>-0.15550458715596327</v>
      </c>
      <c r="AZ74" s="30">
        <v>-9.7659563638831437E-2</v>
      </c>
      <c r="BA74" s="30">
        <v>7.1889089269612256</v>
      </c>
      <c r="BB74" s="30">
        <v>0.16487094709583031</v>
      </c>
      <c r="BC74" s="30">
        <v>-0.19999999999999996</v>
      </c>
      <c r="BD74" s="30">
        <v>-6.1124694376524236E-4</v>
      </c>
      <c r="BE74" s="30">
        <v>-0.20048899755501226</v>
      </c>
      <c r="BF74" s="30">
        <v>0.75720716692007284</v>
      </c>
      <c r="BG74" s="30">
        <v>-0.74073641145528923</v>
      </c>
      <c r="BH74" s="30">
        <v>-0.1245316635465754</v>
      </c>
      <c r="BI74" s="30">
        <v>0</v>
      </c>
      <c r="BJ74" s="30">
        <v>7.1381794368041929E-2</v>
      </c>
      <c r="BK74" s="30">
        <v>7.1381794368041929E-2</v>
      </c>
      <c r="BL74" s="30">
        <v>-0.31802032133943958</v>
      </c>
      <c r="BM74" s="30">
        <v>0.17256030701754391</v>
      </c>
      <c r="BN74" s="30">
        <v>0</v>
      </c>
      <c r="BO74" s="30">
        <v>0</v>
      </c>
      <c r="BP74" s="30">
        <v>0</v>
      </c>
      <c r="BQ74" s="30">
        <v>0</v>
      </c>
      <c r="BR74" s="30">
        <v>0</v>
      </c>
      <c r="BS74" s="30">
        <v>0</v>
      </c>
    </row>
    <row r="75" spans="2:71" x14ac:dyDescent="0.2">
      <c r="B75" s="51">
        <v>32</v>
      </c>
      <c r="C75" t="str">
        <v>Spotlight LT, UAB</v>
      </c>
      <c r="D75" s="33">
        <f t="shared" si="25"/>
        <v>0.11</v>
      </c>
      <c r="E75" s="33">
        <f t="shared" si="26"/>
        <v>0.27</v>
      </c>
      <c r="F75" s="33">
        <f t="shared" si="27"/>
        <v>0.48</v>
      </c>
      <c r="G75" s="33">
        <f t="shared" si="28"/>
        <v>0</v>
      </c>
      <c r="H75" s="34">
        <f t="shared" si="29"/>
        <v>0</v>
      </c>
      <c r="I75" s="15">
        <v>32</v>
      </c>
      <c r="J75" t="str">
        <v>Bosanova, UAB</v>
      </c>
      <c r="K75" s="33">
        <f t="shared" si="15"/>
        <v>0</v>
      </c>
      <c r="L75" s="33">
        <f t="shared" si="16"/>
        <v>0.22222222222222232</v>
      </c>
      <c r="M75" s="33">
        <f t="shared" si="17"/>
        <v>0.125</v>
      </c>
      <c r="N75" s="33">
        <f t="shared" si="18"/>
        <v>0.33333333333333326</v>
      </c>
      <c r="O75" s="34">
        <f t="shared" si="19"/>
        <v>-0.1428571428571429</v>
      </c>
      <c r="P75" s="51">
        <v>32</v>
      </c>
      <c r="Q75" t="str">
        <v>SEOvoras, UAB</v>
      </c>
      <c r="R75" s="30">
        <f t="shared" si="20"/>
        <v>0.12291296625222015</v>
      </c>
      <c r="S75" s="30">
        <f t="shared" si="21"/>
        <v>0.18227635447291046</v>
      </c>
      <c r="T75" s="30">
        <f t="shared" si="22"/>
        <v>0.57473544973544977</v>
      </c>
      <c r="U75" s="30">
        <f t="shared" si="23"/>
        <v>0.6190362879238549</v>
      </c>
      <c r="V75" s="70">
        <f t="shared" si="24"/>
        <v>0.24851455733808669</v>
      </c>
      <c r="AH75" t="s">
        <v>1603</v>
      </c>
      <c r="AI75" t="s">
        <v>1728</v>
      </c>
      <c r="AJ75" s="30">
        <v>8.6584871117398654E-2</v>
      </c>
      <c r="AK75" s="30">
        <v>7.1428571428571397E-2</v>
      </c>
      <c r="AL75" s="30">
        <v>8.2077051926298106E-2</v>
      </c>
      <c r="AM75" s="30">
        <v>0.1593682699210337</v>
      </c>
      <c r="AN75" s="30">
        <v>7.7116667705930064E-2</v>
      </c>
      <c r="AO75" s="30">
        <v>-0.1825777962800518</v>
      </c>
      <c r="AP75" s="30">
        <v>-8.2485099235038439E-2</v>
      </c>
      <c r="AQ75" s="30">
        <v>-6.6666666666666652E-2</v>
      </c>
      <c r="AR75" s="30">
        <v>-2.2284122562674651E-3</v>
      </c>
      <c r="AS75" s="30">
        <v>-6.874651810584953E-2</v>
      </c>
      <c r="AT75" s="30">
        <v>-7.1741631956583674E-2</v>
      </c>
      <c r="AU75" s="30">
        <v>-0.19160827393901511</v>
      </c>
      <c r="AV75" s="30">
        <v>9.9999868768298583E-2</v>
      </c>
      <c r="AW75" s="30">
        <v>0</v>
      </c>
      <c r="AX75" s="30">
        <v>0.13035264483627201</v>
      </c>
      <c r="AY75" s="30">
        <v>0.13035264483627196</v>
      </c>
      <c r="AZ75" s="30">
        <v>8.3735845174499834E-2</v>
      </c>
      <c r="BA75" s="30">
        <v>7.1735882110469884E-2</v>
      </c>
      <c r="BB75" s="30">
        <v>0.3570625896013464</v>
      </c>
      <c r="BC75" s="30">
        <v>0</v>
      </c>
      <c r="BD75" s="30">
        <v>0.27141713370696552</v>
      </c>
      <c r="BE75" s="30">
        <v>0.27141713370696552</v>
      </c>
      <c r="BF75" s="30">
        <v>0.70833422635249543</v>
      </c>
      <c r="BG75" s="30">
        <v>-0.24923600634404861</v>
      </c>
      <c r="BH75" s="30">
        <v>-5.7226422475524667E-2</v>
      </c>
      <c r="BI75" s="30">
        <v>-0.11764705882352944</v>
      </c>
      <c r="BJ75" s="30">
        <v>-3.923076923076918E-2</v>
      </c>
      <c r="BK75" s="30">
        <v>-0.15226244343891404</v>
      </c>
      <c r="BL75" s="30">
        <v>-0.20832965705404471</v>
      </c>
      <c r="BM75" s="30">
        <v>1.8950919730100511</v>
      </c>
      <c r="BN75" s="30">
        <v>0</v>
      </c>
      <c r="BO75" s="30">
        <v>0</v>
      </c>
      <c r="BP75" s="30">
        <v>0</v>
      </c>
      <c r="BQ75" s="30">
        <v>0</v>
      </c>
      <c r="BR75" s="30">
        <v>0</v>
      </c>
      <c r="BS75" s="30">
        <v>0</v>
      </c>
    </row>
    <row r="76" spans="2:71" x14ac:dyDescent="0.2">
      <c r="B76" s="51">
        <v>33</v>
      </c>
      <c r="C76" t="str">
        <v>Verslo idėjų partneriai, UAB</v>
      </c>
      <c r="D76" s="33">
        <f t="shared" si="25"/>
        <v>0.11</v>
      </c>
      <c r="E76" s="33">
        <f t="shared" si="26"/>
        <v>0.08</v>
      </c>
      <c r="F76" s="33">
        <f t="shared" si="27"/>
        <v>0.06</v>
      </c>
      <c r="G76" s="33">
        <f t="shared" si="28"/>
        <v>0.18</v>
      </c>
      <c r="H76" s="34">
        <f t="shared" si="29"/>
        <v>0.18</v>
      </c>
      <c r="I76" s="15">
        <v>33</v>
      </c>
      <c r="J76" t="str">
        <v>Caption, UAB</v>
      </c>
      <c r="K76" s="33">
        <f t="shared" si="15"/>
        <v>0</v>
      </c>
      <c r="L76" s="33">
        <f t="shared" si="16"/>
        <v>0.25</v>
      </c>
      <c r="M76" s="33">
        <f t="shared" si="17"/>
        <v>0.19999999999999996</v>
      </c>
      <c r="N76" s="33">
        <f t="shared" si="18"/>
        <v>1.2222222222222223</v>
      </c>
      <c r="O76" s="34">
        <f t="shared" si="19"/>
        <v>0.28571428571428581</v>
      </c>
      <c r="P76" s="51">
        <v>33</v>
      </c>
      <c r="Q76" t="str">
        <v>Spotlight LT, UAB</v>
      </c>
      <c r="R76" s="30">
        <f t="shared" si="20"/>
        <v>0.10746720484359229</v>
      </c>
      <c r="S76" s="30">
        <f t="shared" si="21"/>
        <v>0.27132777421423993</v>
      </c>
      <c r="T76" s="30">
        <f t="shared" si="22"/>
        <v>0.97030015797788316</v>
      </c>
      <c r="U76" s="30">
        <f t="shared" si="23"/>
        <v>-0.25353773584905659</v>
      </c>
      <c r="V76" s="70">
        <f t="shared" si="24"/>
        <v>-1.8832391713747842E-3</v>
      </c>
      <c r="AH76" t="s">
        <v>354</v>
      </c>
      <c r="AI76" t="s">
        <v>1607</v>
      </c>
      <c r="AJ76" s="30">
        <v>9.9044148858279835E-2</v>
      </c>
      <c r="AK76" s="30">
        <v>-7.6923076923076872E-2</v>
      </c>
      <c r="AL76" s="30">
        <v>0.1227790432801823</v>
      </c>
      <c r="AM76" s="30">
        <v>3.641142456632207E-2</v>
      </c>
      <c r="AN76" s="30">
        <v>0.24647391473737645</v>
      </c>
      <c r="AO76" s="30">
        <v>-0.1741666656610622</v>
      </c>
      <c r="AP76" s="30">
        <v>8.7983952320769276E-4</v>
      </c>
      <c r="AQ76" s="30">
        <v>4.0000000000000036E-2</v>
      </c>
      <c r="AR76" s="30">
        <v>0.16600265604249681</v>
      </c>
      <c r="AS76" s="30">
        <v>0.21264276228419665</v>
      </c>
      <c r="AT76" s="30">
        <v>-0.12619955038524255</v>
      </c>
      <c r="AU76" s="30">
        <v>9.1468859731152818E-2</v>
      </c>
      <c r="AV76" s="30">
        <v>-3.3856674031662592E-5</v>
      </c>
      <c r="AW76" s="30">
        <v>0.13636363636363646</v>
      </c>
      <c r="AX76" s="30">
        <v>-3.1635802469135783E-2</v>
      </c>
      <c r="AY76" s="30">
        <v>0.10041386083052739</v>
      </c>
      <c r="AZ76" s="30">
        <v>-5.2426072938005164E-2</v>
      </c>
      <c r="BA76" s="30">
        <v>4.2375033808041751E-2</v>
      </c>
      <c r="BB76" s="30">
        <v>0.4171730390162498</v>
      </c>
      <c r="BC76" s="30">
        <v>0.10000000000000009</v>
      </c>
      <c r="BD76" s="30">
        <v>0.1567985718536149</v>
      </c>
      <c r="BE76" s="30">
        <v>0.27247842903897657</v>
      </c>
      <c r="BF76" s="30">
        <v>0.36448355302119273</v>
      </c>
      <c r="BG76" s="30">
        <v>1.0125359195402299</v>
      </c>
      <c r="BH76" s="30">
        <v>-0.1524955248806055</v>
      </c>
      <c r="BI76" s="30">
        <v>0</v>
      </c>
      <c r="BJ76" s="30">
        <v>0.1657995143947277</v>
      </c>
      <c r="BK76" s="30">
        <v>0.16579951439472773</v>
      </c>
      <c r="BL76" s="30">
        <v>-0.15586338714631465</v>
      </c>
      <c r="BM76" s="30">
        <v>-0.46625845584819509</v>
      </c>
      <c r="BN76" s="30">
        <v>0</v>
      </c>
      <c r="BO76" s="30">
        <v>0</v>
      </c>
      <c r="BP76" s="30">
        <v>0</v>
      </c>
      <c r="BQ76" s="30">
        <v>0</v>
      </c>
      <c r="BR76" s="30">
        <v>0</v>
      </c>
      <c r="BS76" s="30">
        <v>0</v>
      </c>
    </row>
    <row r="77" spans="2:71" x14ac:dyDescent="0.2">
      <c r="B77" s="51">
        <v>34</v>
      </c>
      <c r="C77" t="str">
        <v>Tarela, UAB</v>
      </c>
      <c r="D77" s="33">
        <f t="shared" si="25"/>
        <v>0.10262130507529291</v>
      </c>
      <c r="E77" s="33">
        <f t="shared" si="26"/>
        <v>8.0120481927710818E-2</v>
      </c>
      <c r="F77" s="33">
        <f t="shared" si="27"/>
        <v>9.4986807387862804E-2</v>
      </c>
      <c r="G77" s="33">
        <f t="shared" si="28"/>
        <v>0.1138868479059516</v>
      </c>
      <c r="H77" s="34">
        <f t="shared" si="29"/>
        <v>9.6439169139466152E-3</v>
      </c>
      <c r="I77" s="15">
        <v>34</v>
      </c>
      <c r="J77" t="str">
        <v>Ciklopas, UAB</v>
      </c>
      <c r="K77" s="33">
        <f t="shared" si="15"/>
        <v>0</v>
      </c>
      <c r="L77" s="33">
        <f t="shared" si="16"/>
        <v>0</v>
      </c>
      <c r="M77" s="33">
        <f t="shared" si="17"/>
        <v>0</v>
      </c>
      <c r="N77" s="33">
        <f t="shared" si="18"/>
        <v>0.16666666666666674</v>
      </c>
      <c r="O77" s="34">
        <f t="shared" si="19"/>
        <v>0</v>
      </c>
      <c r="P77" s="51">
        <v>34</v>
      </c>
      <c r="Q77" t="str">
        <v>SOMA Agency (Havas), UAB</v>
      </c>
      <c r="R77" s="30">
        <f t="shared" si="20"/>
        <v>0.10740188383045535</v>
      </c>
      <c r="S77" s="30">
        <f t="shared" si="21"/>
        <v>7.8162553738871487E-2</v>
      </c>
      <c r="T77" s="30">
        <f t="shared" si="22"/>
        <v>0.76707043517272311</v>
      </c>
      <c r="U77" s="30">
        <f t="shared" si="23"/>
        <v>0.2341281559131847</v>
      </c>
      <c r="V77" s="70">
        <f t="shared" si="24"/>
        <v>6.3145382958176288E-3</v>
      </c>
      <c r="AH77" t="s">
        <v>649</v>
      </c>
      <c r="AI77" t="s">
        <v>1611</v>
      </c>
      <c r="AJ77" s="30">
        <v>0.5616387364647013</v>
      </c>
      <c r="AK77" s="30">
        <v>0</v>
      </c>
      <c r="AL77" s="30">
        <v>0.2283333333333333</v>
      </c>
      <c r="AM77" s="30">
        <v>0.22833333333333328</v>
      </c>
      <c r="AN77" s="30">
        <v>0.77012187655854758</v>
      </c>
      <c r="AO77" s="30">
        <v>-0.17932011331444761</v>
      </c>
      <c r="AP77" s="30">
        <v>-2.815763234717128E-2</v>
      </c>
      <c r="AQ77" s="30">
        <v>0.39999999999999991</v>
      </c>
      <c r="AR77" s="30">
        <v>-0.13854989231873649</v>
      </c>
      <c r="AS77" s="30">
        <v>0.20603015075376874</v>
      </c>
      <c r="AT77" s="30">
        <v>-0.15487920608159267</v>
      </c>
      <c r="AU77" s="30">
        <v>-1.455483870967742</v>
      </c>
      <c r="AV77" s="30">
        <v>1.863948446709629E-2</v>
      </c>
      <c r="AW77" s="30">
        <v>0</v>
      </c>
      <c r="AX77" s="30">
        <v>0.28505535055350562</v>
      </c>
      <c r="AY77" s="30">
        <v>0.28505535055350562</v>
      </c>
      <c r="AZ77" s="30">
        <v>7.6794716745254066E-2</v>
      </c>
      <c r="BA77" s="30">
        <v>-1.16343315056938</v>
      </c>
      <c r="BB77" s="30">
        <v>0.13297509949401379</v>
      </c>
      <c r="BC77" s="30">
        <v>-0.375</v>
      </c>
      <c r="BD77" s="30">
        <v>0.16559139784946231</v>
      </c>
      <c r="BE77" s="30">
        <v>-0.271505376344086</v>
      </c>
      <c r="BF77" s="30">
        <v>0.10014321550195682</v>
      </c>
      <c r="BG77" s="30">
        <v>-2.501345575431376</v>
      </c>
      <c r="BH77" s="30">
        <v>0.23916327985648</v>
      </c>
      <c r="BI77" s="30">
        <v>0</v>
      </c>
      <c r="BJ77" s="30">
        <v>0.28719723183390999</v>
      </c>
      <c r="BK77" s="30">
        <v>0.28719723183390999</v>
      </c>
      <c r="BL77" s="30">
        <v>0.17059008819823607</v>
      </c>
      <c r="BM77" s="30">
        <v>-0.12075828856164569</v>
      </c>
      <c r="BN77" s="30">
        <v>0</v>
      </c>
      <c r="BO77" s="30">
        <v>0</v>
      </c>
      <c r="BP77" s="30">
        <v>0</v>
      </c>
      <c r="BQ77" s="30">
        <v>0</v>
      </c>
      <c r="BR77" s="30">
        <v>0</v>
      </c>
      <c r="BS77" s="30">
        <v>0</v>
      </c>
    </row>
    <row r="78" spans="2:71" x14ac:dyDescent="0.2">
      <c r="B78" s="51">
        <v>35</v>
      </c>
      <c r="C78" t="str">
        <v>Enternet, UAB</v>
      </c>
      <c r="D78" s="33">
        <f t="shared" si="25"/>
        <v>0.1</v>
      </c>
      <c r="E78" s="33">
        <f t="shared" si="26"/>
        <v>0.11</v>
      </c>
      <c r="F78" s="33">
        <f t="shared" si="27"/>
        <v>0.09</v>
      </c>
      <c r="G78" s="33">
        <f t="shared" si="28"/>
        <v>0.09</v>
      </c>
      <c r="H78" s="34">
        <f t="shared" si="29"/>
        <v>0.09</v>
      </c>
      <c r="I78" s="15">
        <v>35</v>
      </c>
      <c r="J78" t="str">
        <v>Convo, UAB</v>
      </c>
      <c r="K78" s="33">
        <f t="shared" si="15"/>
        <v>0</v>
      </c>
      <c r="L78" s="33">
        <f t="shared" si="16"/>
        <v>0.19999999999999996</v>
      </c>
      <c r="M78" s="33">
        <f t="shared" si="17"/>
        <v>0.25</v>
      </c>
      <c r="N78" s="33">
        <f t="shared" si="18"/>
        <v>0.33333333333333326</v>
      </c>
      <c r="O78" s="34">
        <f t="shared" si="19"/>
        <v>0.5</v>
      </c>
      <c r="P78" s="51">
        <v>35</v>
      </c>
      <c r="Q78" t="str">
        <v>Tarela, UAB</v>
      </c>
      <c r="R78" s="30">
        <f t="shared" si="20"/>
        <v>0.10262130507529288</v>
      </c>
      <c r="S78" s="30">
        <f t="shared" si="21"/>
        <v>-7.4182444061962172E-2</v>
      </c>
      <c r="T78" s="30">
        <f t="shared" si="22"/>
        <v>9.4986807387862804E-2</v>
      </c>
      <c r="U78" s="30">
        <f t="shared" si="23"/>
        <v>0.1138868479059516</v>
      </c>
      <c r="V78" s="70">
        <f t="shared" si="24"/>
        <v>-0.11656157270029677</v>
      </c>
      <c r="AH78" t="s">
        <v>191</v>
      </c>
      <c r="AI78" t="s">
        <v>1613</v>
      </c>
      <c r="AJ78" s="30">
        <v>-0.41624303938399271</v>
      </c>
      <c r="AK78" s="30">
        <v>-0.13793103448275867</v>
      </c>
      <c r="AL78" s="30">
        <v>8.1947384336256368E-2</v>
      </c>
      <c r="AM78" s="30">
        <v>-6.7286737641158223E-2</v>
      </c>
      <c r="AN78" s="30">
        <v>-0.43242650262371152</v>
      </c>
      <c r="AO78" s="30">
        <v>-0.72388403262559609</v>
      </c>
      <c r="AP78" s="30">
        <v>0.72698328680258872</v>
      </c>
      <c r="AQ78" s="30">
        <v>-3.3333333333333326E-2</v>
      </c>
      <c r="AR78" s="30">
        <v>0.1777065527065527</v>
      </c>
      <c r="AS78" s="30">
        <v>0.13844966761633426</v>
      </c>
      <c r="AT78" s="30">
        <v>0.85550188300174068</v>
      </c>
      <c r="AU78" s="30">
        <v>-0.41205000178748052</v>
      </c>
      <c r="AV78" s="30">
        <v>0.59340030533883059</v>
      </c>
      <c r="AW78" s="30">
        <v>0.11111111111111116</v>
      </c>
      <c r="AX78" s="30">
        <v>0.130890052356021</v>
      </c>
      <c r="AY78" s="30">
        <v>0.25654450261780104</v>
      </c>
      <c r="AZ78" s="30">
        <v>0.66636537082345937</v>
      </c>
      <c r="BA78" s="30">
        <v>0.25286652732158837</v>
      </c>
      <c r="BB78" s="30">
        <v>0.27272296753930192</v>
      </c>
      <c r="BC78" s="30">
        <v>0.28571428571428581</v>
      </c>
      <c r="BD78" s="30">
        <v>0.129149613460664</v>
      </c>
      <c r="BE78" s="30">
        <v>0.45176378873513934</v>
      </c>
      <c r="BF78" s="30">
        <v>0.30626797083590063</v>
      </c>
      <c r="BG78" s="30">
        <v>-0.17080210385577199</v>
      </c>
      <c r="BH78" s="30">
        <v>0.41507458734443459</v>
      </c>
      <c r="BI78" s="30">
        <v>0.23529411764705888</v>
      </c>
      <c r="BJ78" s="30">
        <v>-1.522615315718767E-2</v>
      </c>
      <c r="BK78" s="30">
        <v>0.21648534021759169</v>
      </c>
      <c r="BL78" s="30">
        <v>0.36207505166075582</v>
      </c>
      <c r="BM78" s="30">
        <v>1.6746291531067889</v>
      </c>
      <c r="BN78" s="30">
        <v>0</v>
      </c>
      <c r="BO78" s="30">
        <v>0</v>
      </c>
      <c r="BP78" s="30">
        <v>0</v>
      </c>
      <c r="BQ78" s="30">
        <v>0</v>
      </c>
      <c r="BR78" s="30">
        <v>0</v>
      </c>
      <c r="BS78" s="30">
        <v>0</v>
      </c>
    </row>
    <row r="79" spans="2:71" x14ac:dyDescent="0.2">
      <c r="B79" s="51">
        <v>36</v>
      </c>
      <c r="C79" t="str">
        <v>LoveMedia, UAB</v>
      </c>
      <c r="D79" s="33">
        <f t="shared" si="25"/>
        <v>9.3571428571428639E-2</v>
      </c>
      <c r="E79" s="33">
        <f t="shared" si="26"/>
        <v>7.1975497702909674E-2</v>
      </c>
      <c r="F79" s="33">
        <f t="shared" si="27"/>
        <v>0.1819004524886878</v>
      </c>
      <c r="G79" s="33">
        <f t="shared" si="28"/>
        <v>0</v>
      </c>
      <c r="H79" s="34">
        <f t="shared" si="29"/>
        <v>0</v>
      </c>
      <c r="I79" s="15">
        <v>36</v>
      </c>
      <c r="J79" t="str">
        <v>Dansu, UAB</v>
      </c>
      <c r="K79" s="33">
        <f t="shared" si="15"/>
        <v>0</v>
      </c>
      <c r="L79" s="33">
        <f t="shared" si="16"/>
        <v>0</v>
      </c>
      <c r="M79" s="33">
        <f t="shared" si="17"/>
        <v>0</v>
      </c>
      <c r="N79" s="33">
        <f t="shared" si="18"/>
        <v>0</v>
      </c>
      <c r="O79" s="34">
        <f t="shared" si="19"/>
        <v>-0.16666666666666663</v>
      </c>
      <c r="P79" s="51">
        <v>36</v>
      </c>
      <c r="Q79" t="str">
        <v>Indiana.lt, UAB</v>
      </c>
      <c r="R79" s="30">
        <f t="shared" si="20"/>
        <v>0.1016829533116177</v>
      </c>
      <c r="S79" s="30">
        <f t="shared" si="21"/>
        <v>0.20763128564872479</v>
      </c>
      <c r="T79" s="30">
        <f t="shared" si="22"/>
        <v>0.46734006734006739</v>
      </c>
      <c r="U79" s="30">
        <f t="shared" si="23"/>
        <v>0.19647790055248615</v>
      </c>
      <c r="V79" s="70">
        <f t="shared" si="24"/>
        <v>-0.25119586296056884</v>
      </c>
      <c r="AH79" t="s">
        <v>1614</v>
      </c>
      <c r="AI79" t="s">
        <v>1615</v>
      </c>
      <c r="AJ79" s="30">
        <v>0.19</v>
      </c>
      <c r="AK79" s="30">
        <v>0</v>
      </c>
      <c r="AL79" s="30">
        <v>0.12</v>
      </c>
      <c r="AM79" s="30">
        <v>0.12291296625222015</v>
      </c>
      <c r="AN79" s="30">
        <v>0.22362422634520285</v>
      </c>
      <c r="AO79" s="30">
        <v>0.4</v>
      </c>
      <c r="AP79" s="30">
        <v>0.03</v>
      </c>
      <c r="AQ79" s="30">
        <v>0</v>
      </c>
      <c r="AR79" s="30">
        <v>0.18</v>
      </c>
      <c r="AS79" s="30">
        <v>0.18227635447291046</v>
      </c>
      <c r="AT79" s="30">
        <v>-1.9842924781226623E-2</v>
      </c>
      <c r="AU79" s="30">
        <v>-0.28000000000000003</v>
      </c>
      <c r="AV79" s="30">
        <v>0.66</v>
      </c>
      <c r="AW79" s="30">
        <v>0.28571428571428581</v>
      </c>
      <c r="AX79" s="30">
        <v>0.22</v>
      </c>
      <c r="AY79" s="30">
        <v>0.57473544973544977</v>
      </c>
      <c r="AZ79" s="30">
        <v>0.67681937849654461</v>
      </c>
      <c r="BA79" s="30">
        <v>0.93</v>
      </c>
      <c r="BB79" s="30">
        <v>0.53</v>
      </c>
      <c r="BC79" s="30">
        <v>0.39999999999999991</v>
      </c>
      <c r="BD79" s="30">
        <v>0.16</v>
      </c>
      <c r="BE79" s="30">
        <v>0.6190362879238549</v>
      </c>
      <c r="BF79" s="30">
        <v>0.5580153999688704</v>
      </c>
      <c r="BG79" s="30">
        <v>0.22</v>
      </c>
      <c r="BH79" s="30">
        <v>0.36</v>
      </c>
      <c r="BI79" s="30">
        <v>-0.16666666666666663</v>
      </c>
      <c r="BJ79" s="30">
        <v>0.5</v>
      </c>
      <c r="BK79" s="30">
        <v>0.24851455733808669</v>
      </c>
      <c r="BL79" s="30">
        <v>0.28866733526045651</v>
      </c>
      <c r="BM79" s="30">
        <v>1.42</v>
      </c>
      <c r="BN79" s="30">
        <v>0</v>
      </c>
      <c r="BO79" s="30">
        <v>0</v>
      </c>
      <c r="BP79" s="30">
        <v>0</v>
      </c>
      <c r="BQ79" s="30">
        <v>0</v>
      </c>
      <c r="BR79" s="30">
        <v>0</v>
      </c>
      <c r="BS79" s="30">
        <v>0</v>
      </c>
    </row>
    <row r="80" spans="2:71" x14ac:dyDescent="0.2">
      <c r="B80" s="51">
        <v>37</v>
      </c>
      <c r="C80" t="str">
        <v>Lion Communications Vilnius, UAB</v>
      </c>
      <c r="D80" s="33">
        <f t="shared" si="25"/>
        <v>9.2649957758377921E-2</v>
      </c>
      <c r="E80" s="33">
        <f t="shared" si="26"/>
        <v>6.0950104571257928E-2</v>
      </c>
      <c r="F80" s="33">
        <f t="shared" si="27"/>
        <v>7.2069186418962206E-2</v>
      </c>
      <c r="G80" s="33">
        <f t="shared" si="28"/>
        <v>3.3090668431502213E-2</v>
      </c>
      <c r="H80" s="34">
        <f t="shared" si="29"/>
        <v>0.16499614494988421</v>
      </c>
      <c r="I80" s="15">
        <v>37</v>
      </c>
      <c r="J80" t="str">
        <v>Dear problem, UAB</v>
      </c>
      <c r="K80" s="33">
        <f t="shared" si="15"/>
        <v>0</v>
      </c>
      <c r="L80" s="33">
        <f t="shared" si="16"/>
        <v>-9.9999999999999978E-2</v>
      </c>
      <c r="M80" s="33">
        <f t="shared" si="17"/>
        <v>0</v>
      </c>
      <c r="N80" s="33">
        <f t="shared" si="18"/>
        <v>0</v>
      </c>
      <c r="O80" s="34">
        <f t="shared" si="19"/>
        <v>0.25</v>
      </c>
      <c r="P80" s="51">
        <v>37</v>
      </c>
      <c r="Q80" t="str">
        <v>Enternet, UAB</v>
      </c>
      <c r="R80" s="30">
        <f t="shared" si="20"/>
        <v>9.7010372178157445E-2</v>
      </c>
      <c r="S80" s="30">
        <f t="shared" si="21"/>
        <v>0.16650653001672544</v>
      </c>
      <c r="T80" s="30">
        <f t="shared" si="22"/>
        <v>3.7320044296788479E-2</v>
      </c>
      <c r="U80" s="30">
        <f t="shared" si="23"/>
        <v>0.20592948717948723</v>
      </c>
      <c r="V80" s="70">
        <f t="shared" si="24"/>
        <v>0.23157894736842111</v>
      </c>
      <c r="AH80" t="s">
        <v>1616</v>
      </c>
      <c r="AI80" t="s">
        <v>1617</v>
      </c>
      <c r="AJ80" s="30">
        <v>-0.05</v>
      </c>
      <c r="AK80" s="30">
        <v>0</v>
      </c>
      <c r="AL80" s="30">
        <v>0.16</v>
      </c>
      <c r="AM80" s="30">
        <v>0.16220998820290999</v>
      </c>
      <c r="AN80" s="30">
        <v>-0.10690795084934335</v>
      </c>
      <c r="AO80" s="30">
        <v>1.47</v>
      </c>
      <c r="AP80" s="30">
        <v>0.34</v>
      </c>
      <c r="AQ80" s="30">
        <v>-0.1428571428571429</v>
      </c>
      <c r="AR80" s="30">
        <v>0.14000000000000001</v>
      </c>
      <c r="AS80" s="30">
        <v>-2.4954468479406966E-2</v>
      </c>
      <c r="AT80" s="30">
        <v>0.48020462035382261</v>
      </c>
      <c r="AU80" s="30">
        <v>-0.63</v>
      </c>
      <c r="AV80" s="30">
        <v>0.48</v>
      </c>
      <c r="AW80" s="30">
        <v>0.16666666666666674</v>
      </c>
      <c r="AX80" s="30">
        <v>-0.04</v>
      </c>
      <c r="AY80" s="30">
        <v>0.11910891797182299</v>
      </c>
      <c r="AZ80" s="30">
        <v>0.59050251649411956</v>
      </c>
      <c r="BA80" s="30">
        <v>0.85</v>
      </c>
      <c r="BB80" s="30">
        <v>0.24</v>
      </c>
      <c r="BC80" s="30">
        <v>-0.1428571428571429</v>
      </c>
      <c r="BD80" s="30">
        <v>0.48</v>
      </c>
      <c r="BE80" s="30">
        <v>0.2727438219633187</v>
      </c>
      <c r="BF80" s="30">
        <v>0.26787898826252277</v>
      </c>
      <c r="BG80" s="30">
        <v>-0.28999999999999998</v>
      </c>
      <c r="BH80" s="30">
        <v>0.09</v>
      </c>
      <c r="BI80" s="30">
        <v>0.16666666666666674</v>
      </c>
      <c r="BJ80" s="30">
        <v>0.1</v>
      </c>
      <c r="BK80" s="30">
        <v>0.28137392115698634</v>
      </c>
      <c r="BL80" s="30">
        <v>4.9881977228547703E-2</v>
      </c>
      <c r="BM80" s="30">
        <v>0</v>
      </c>
      <c r="BN80" s="30">
        <v>0</v>
      </c>
      <c r="BO80" s="30">
        <v>0</v>
      </c>
      <c r="BP80" s="30">
        <v>0</v>
      </c>
      <c r="BQ80" s="30">
        <v>0</v>
      </c>
      <c r="BR80" s="30">
        <v>0</v>
      </c>
      <c r="BS80" s="30">
        <v>0</v>
      </c>
    </row>
    <row r="81" spans="2:71" x14ac:dyDescent="0.2">
      <c r="B81" s="51">
        <v>38</v>
      </c>
      <c r="C81" t="str">
        <v>Dentsu Lithuania, UAB</v>
      </c>
      <c r="D81" s="33">
        <f t="shared" si="25"/>
        <v>9.2434501030320915E-2</v>
      </c>
      <c r="E81" s="33">
        <f t="shared" si="26"/>
        <v>9.1580976863753216E-2</v>
      </c>
      <c r="F81" s="33">
        <f t="shared" si="27"/>
        <v>-7.2981829014000632E-2</v>
      </c>
      <c r="G81" s="33">
        <f t="shared" si="28"/>
        <v>2.6881720430107499E-3</v>
      </c>
      <c r="H81" s="34">
        <f t="shared" si="29"/>
        <v>3.9751552795030953E-2</v>
      </c>
      <c r="I81" s="15">
        <v>38</v>
      </c>
      <c r="J81" t="str">
        <v>Digitfruition, UAB</v>
      </c>
      <c r="K81" s="33">
        <f t="shared" si="15"/>
        <v>0</v>
      </c>
      <c r="L81" s="33">
        <f t="shared" si="16"/>
        <v>0</v>
      </c>
      <c r="M81" s="33">
        <f t="shared" si="17"/>
        <v>0</v>
      </c>
      <c r="N81" s="33">
        <f t="shared" si="18"/>
        <v>0</v>
      </c>
      <c r="O81" s="34">
        <f t="shared" si="19"/>
        <v>0</v>
      </c>
      <c r="P81" s="51">
        <v>38</v>
      </c>
      <c r="Q81" t="str">
        <v>Market Rats, UAB</v>
      </c>
      <c r="R81" s="30">
        <f t="shared" si="20"/>
        <v>8.2036775106081983E-2</v>
      </c>
      <c r="S81" s="30">
        <f t="shared" si="21"/>
        <v>2.1789883268482413E-2</v>
      </c>
      <c r="T81" s="30">
        <f t="shared" si="22"/>
        <v>0.35548523206751059</v>
      </c>
      <c r="U81" s="30">
        <f t="shared" si="23"/>
        <v>0.64230325028873114</v>
      </c>
      <c r="V81" s="70">
        <f t="shared" si="24"/>
        <v>0.32451923076923084</v>
      </c>
      <c r="AH81" t="s">
        <v>1618</v>
      </c>
      <c r="AI81" t="s">
        <v>1619</v>
      </c>
      <c r="AJ81" s="30">
        <v>-0.14000000000000001</v>
      </c>
      <c r="AK81" s="30">
        <v>0</v>
      </c>
      <c r="AL81" s="30">
        <v>0</v>
      </c>
      <c r="AM81" s="30">
        <v>0</v>
      </c>
      <c r="AN81" s="30">
        <v>0</v>
      </c>
      <c r="AO81" s="30">
        <v>-0.11</v>
      </c>
      <c r="AP81" s="30">
        <v>0.81</v>
      </c>
      <c r="AQ81" s="30">
        <v>0</v>
      </c>
      <c r="AR81" s="30">
        <v>0</v>
      </c>
      <c r="AS81" s="30">
        <v>0</v>
      </c>
      <c r="AT81" s="30">
        <v>0</v>
      </c>
      <c r="AU81" s="30">
        <v>1.1000000000000001</v>
      </c>
      <c r="AV81" s="30">
        <v>1.28</v>
      </c>
      <c r="AW81" s="30">
        <v>0.5</v>
      </c>
      <c r="AX81" s="30">
        <v>0</v>
      </c>
      <c r="AY81" s="30">
        <v>0</v>
      </c>
      <c r="AZ81" s="30">
        <v>0</v>
      </c>
      <c r="BA81" s="30">
        <v>0.25</v>
      </c>
      <c r="BB81" s="30">
        <v>0</v>
      </c>
      <c r="BC81" s="30">
        <v>-0.66666666666666674</v>
      </c>
      <c r="BD81" s="30">
        <v>0</v>
      </c>
      <c r="BE81" s="30">
        <v>-1</v>
      </c>
      <c r="BF81" s="30">
        <v>-1</v>
      </c>
      <c r="BG81" s="30">
        <v>0</v>
      </c>
      <c r="BH81" s="30"/>
      <c r="BI81" s="30"/>
      <c r="BJ81" s="30"/>
      <c r="BK81" s="30"/>
      <c r="BL81" s="30"/>
      <c r="BM81" s="30"/>
      <c r="BN81" s="30"/>
      <c r="BO81" s="30"/>
      <c r="BP81" s="30"/>
      <c r="BQ81" s="30"/>
      <c r="BR81" s="30"/>
      <c r="BS81" s="30"/>
    </row>
    <row r="82" spans="2:71" x14ac:dyDescent="0.2">
      <c r="B82" s="51">
        <v>39</v>
      </c>
      <c r="C82" t="str">
        <v>Astos dizainas, UAB</v>
      </c>
      <c r="D82" s="33">
        <f t="shared" si="25"/>
        <v>8.5276482345103322E-2</v>
      </c>
      <c r="E82" s="33">
        <f t="shared" si="26"/>
        <v>8.807538963392525E-2</v>
      </c>
      <c r="F82" s="33">
        <f t="shared" si="27"/>
        <v>4.1918429003021229E-2</v>
      </c>
      <c r="G82" s="33">
        <f t="shared" si="28"/>
        <v>3.5588580367618361E-2</v>
      </c>
      <c r="H82" s="34">
        <f t="shared" si="29"/>
        <v>1.9944156362185831E-2</v>
      </c>
      <c r="I82" s="51">
        <v>39</v>
      </c>
      <c r="J82" t="str">
        <v>Efcom, UAB</v>
      </c>
      <c r="K82" s="33">
        <f t="shared" si="15"/>
        <v>0</v>
      </c>
      <c r="L82" s="33">
        <f t="shared" si="16"/>
        <v>0</v>
      </c>
      <c r="M82" s="33">
        <f t="shared" si="17"/>
        <v>0</v>
      </c>
      <c r="N82" s="33">
        <f t="shared" si="18"/>
        <v>-0.5</v>
      </c>
      <c r="O82" s="34">
        <f t="shared" si="19"/>
        <v>1</v>
      </c>
      <c r="P82" s="51">
        <v>39</v>
      </c>
      <c r="Q82" t="str">
        <v>Whatabout.agency, UAB</v>
      </c>
      <c r="R82" s="30">
        <f t="shared" si="20"/>
        <v>8.1863040077024829E-2</v>
      </c>
      <c r="S82" s="30">
        <f t="shared" si="21"/>
        <v>0.42913656690746471</v>
      </c>
      <c r="T82" s="30">
        <f t="shared" si="22"/>
        <v>0.80362959516053989</v>
      </c>
      <c r="U82" s="30">
        <f t="shared" si="23"/>
        <v>0.26610369206598583</v>
      </c>
      <c r="V82" s="70">
        <f t="shared" si="24"/>
        <v>0.54078915516824022</v>
      </c>
      <c r="AH82" t="s">
        <v>318</v>
      </c>
      <c r="AI82" t="s">
        <v>1620</v>
      </c>
      <c r="AJ82" s="30">
        <v>-1.336579259193249E-2</v>
      </c>
      <c r="AK82" s="30">
        <v>7.4999999999999956E-2</v>
      </c>
      <c r="AL82" s="30">
        <v>3.014128728414445E-2</v>
      </c>
      <c r="AM82" s="30">
        <v>0.10740188383045535</v>
      </c>
      <c r="AN82" s="30">
        <v>3.6925937243115214E-4</v>
      </c>
      <c r="AO82" s="30">
        <v>-2.8964931425311868</v>
      </c>
      <c r="AP82" s="30">
        <v>-3.7784197841717833E-2</v>
      </c>
      <c r="AQ82" s="30">
        <v>-6.9767441860465129E-2</v>
      </c>
      <c r="AR82" s="30">
        <v>0.15902474526928681</v>
      </c>
      <c r="AS82" s="30">
        <v>7.8162553738871487E-2</v>
      </c>
      <c r="AT82" s="30">
        <v>-6.7108359918706117E-2</v>
      </c>
      <c r="AU82" s="30">
        <v>-0.42731546579175361</v>
      </c>
      <c r="AV82" s="30">
        <v>0.49364064503298383</v>
      </c>
      <c r="AW82" s="30">
        <v>0.43333333333333335</v>
      </c>
      <c r="AX82" s="30">
        <v>0.2328398384925976</v>
      </c>
      <c r="AY82" s="30">
        <v>0.76707043517272311</v>
      </c>
      <c r="AZ82" s="30">
        <v>0.48719766543439325</v>
      </c>
      <c r="BA82" s="30">
        <v>-0.38865830786329542</v>
      </c>
      <c r="BB82" s="30">
        <v>0.31326574614126179</v>
      </c>
      <c r="BC82" s="30">
        <v>0.15384615384615374</v>
      </c>
      <c r="BD82" s="30">
        <v>6.9577735124760176E-2</v>
      </c>
      <c r="BE82" s="30">
        <v>0.2341281559131847</v>
      </c>
      <c r="BF82" s="30">
        <v>0.24935236220570345</v>
      </c>
      <c r="BG82" s="30">
        <v>5.0059972360564258</v>
      </c>
      <c r="BH82" s="30">
        <v>6.1560678183665729E-2</v>
      </c>
      <c r="BI82" s="30">
        <v>-7.1428571428571397E-2</v>
      </c>
      <c r="BJ82" s="30">
        <v>8.3723348933957276E-2</v>
      </c>
      <c r="BK82" s="30">
        <v>6.3145382958176288E-3</v>
      </c>
      <c r="BL82" s="30">
        <v>0.20626429641396604</v>
      </c>
      <c r="BM82" s="30">
        <v>-0.83305691587767983</v>
      </c>
      <c r="BN82" s="30">
        <v>0</v>
      </c>
      <c r="BO82" s="30">
        <v>0</v>
      </c>
      <c r="BP82" s="30">
        <v>0</v>
      </c>
      <c r="BQ82" s="30">
        <v>0</v>
      </c>
      <c r="BR82" s="30">
        <v>0</v>
      </c>
      <c r="BS82" s="30">
        <v>0</v>
      </c>
    </row>
    <row r="83" spans="2:71" x14ac:dyDescent="0.2">
      <c r="B83" s="57">
        <v>40</v>
      </c>
      <c r="C83" s="58" t="str">
        <v>ALL CAPS, UAB</v>
      </c>
      <c r="D83" s="59">
        <f t="shared" si="25"/>
        <v>8.2262210796915092E-2</v>
      </c>
      <c r="E83" s="59">
        <f t="shared" si="26"/>
        <v>6.8192219679633848E-2</v>
      </c>
      <c r="F83" s="59">
        <f t="shared" si="27"/>
        <v>0.1518186610437533</v>
      </c>
      <c r="G83" s="59">
        <f t="shared" si="28"/>
        <v>0.19458438287153659</v>
      </c>
      <c r="H83" s="81">
        <f t="shared" si="29"/>
        <v>4.4049967126890133E-2</v>
      </c>
      <c r="I83" s="57">
        <v>40</v>
      </c>
      <c r="J83" s="58" t="str">
        <v>Enternet, UAB</v>
      </c>
      <c r="K83" s="59">
        <f t="shared" si="15"/>
        <v>0</v>
      </c>
      <c r="L83" s="59">
        <f t="shared" si="16"/>
        <v>5.2631578947368363E-2</v>
      </c>
      <c r="M83" s="59">
        <f t="shared" si="17"/>
        <v>-5.0000000000000044E-2</v>
      </c>
      <c r="N83" s="59">
        <f t="shared" si="18"/>
        <v>0.11111111111111116</v>
      </c>
      <c r="O83" s="81">
        <f t="shared" si="19"/>
        <v>0.125</v>
      </c>
      <c r="P83" s="57">
        <v>40</v>
      </c>
      <c r="Q83" s="58" t="str">
        <v>Berta and, UAB</v>
      </c>
      <c r="R83" s="71">
        <f t="shared" si="20"/>
        <v>7.152069410247397E-2</v>
      </c>
      <c r="S83" s="71">
        <f t="shared" si="21"/>
        <v>-0.17257102203825569</v>
      </c>
      <c r="T83" s="71">
        <f t="shared" si="22"/>
        <v>0.19372707971434089</v>
      </c>
      <c r="U83" s="71">
        <f t="shared" si="23"/>
        <v>8.9727410398788399E-2</v>
      </c>
      <c r="V83" s="72">
        <f t="shared" si="24"/>
        <v>-0.24726892751971119</v>
      </c>
      <c r="AH83" t="s">
        <v>1624</v>
      </c>
      <c r="AI83" t="s">
        <v>1625</v>
      </c>
      <c r="AJ83" s="30"/>
      <c r="AK83" s="30">
        <v>0</v>
      </c>
      <c r="AL83" s="30">
        <v>0.28033980582524265</v>
      </c>
      <c r="AM83" s="30">
        <v>0.28033980582524265</v>
      </c>
      <c r="AN83" s="30">
        <v>-1.0229124789154518</v>
      </c>
      <c r="AO83" s="30"/>
      <c r="AP83" s="30">
        <v>0.12</v>
      </c>
      <c r="AQ83" s="30">
        <v>-0.25</v>
      </c>
      <c r="AR83" s="30">
        <v>0.13</v>
      </c>
      <c r="AS83" s="30">
        <v>-0.14993122420907845</v>
      </c>
      <c r="AT83" s="30">
        <v>0.13328593111180997</v>
      </c>
      <c r="AU83" s="30">
        <v>-0.14000000000000001</v>
      </c>
      <c r="AV83" s="30">
        <v>7.0000000000000007E-2</v>
      </c>
      <c r="AW83" s="30">
        <v>0</v>
      </c>
      <c r="AX83" s="30">
        <v>0.64</v>
      </c>
      <c r="AY83" s="30">
        <v>0.64108352144469527</v>
      </c>
      <c r="AZ83" s="30">
        <v>7.2523237294648046E-2</v>
      </c>
      <c r="BA83" s="30">
        <v>-0.14000000000000001</v>
      </c>
      <c r="BB83" s="30">
        <v>-0.05</v>
      </c>
      <c r="BC83" s="30">
        <v>0.33333333333333326</v>
      </c>
      <c r="BD83" s="30">
        <v>-0.05</v>
      </c>
      <c r="BE83" s="30">
        <v>0.27298850574712641</v>
      </c>
      <c r="BF83" s="30">
        <v>-3.4644347199472181E-2</v>
      </c>
      <c r="BG83" s="30">
        <v>-0.34</v>
      </c>
      <c r="BH83" s="30">
        <v>0.02</v>
      </c>
      <c r="BI83" s="30">
        <v>0</v>
      </c>
      <c r="BJ83" s="30">
        <v>0</v>
      </c>
      <c r="BK83" s="30">
        <v>0</v>
      </c>
      <c r="BL83" s="30">
        <v>0</v>
      </c>
      <c r="BM83" s="30">
        <v>-0.02</v>
      </c>
      <c r="BN83" s="30">
        <v>0</v>
      </c>
      <c r="BO83" s="30">
        <v>0</v>
      </c>
      <c r="BP83" s="30">
        <v>0</v>
      </c>
      <c r="BQ83" s="30">
        <v>0</v>
      </c>
      <c r="BR83" s="30">
        <v>0</v>
      </c>
      <c r="BS83" s="30">
        <v>0</v>
      </c>
    </row>
    <row r="84" spans="2:71" x14ac:dyDescent="0.2">
      <c r="AH84" t="s">
        <v>549</v>
      </c>
      <c r="AI84" t="s">
        <v>1626</v>
      </c>
      <c r="AJ84" s="30">
        <v>-4.7601114709648229E-2</v>
      </c>
      <c r="AK84" s="30">
        <v>0</v>
      </c>
      <c r="AL84" s="30">
        <v>0.13430758524704259</v>
      </c>
      <c r="AM84" s="30">
        <v>0.13430758524704256</v>
      </c>
      <c r="AN84" s="30">
        <v>-0.11950599999672895</v>
      </c>
      <c r="AO84" s="30">
        <v>-0.64685012944673503</v>
      </c>
      <c r="AP84" s="30">
        <v>-5.5237719471296076E-3</v>
      </c>
      <c r="AQ84" s="30">
        <v>0.125</v>
      </c>
      <c r="AR84" s="30">
        <v>0.26663728514764218</v>
      </c>
      <c r="AS84" s="30">
        <v>0.42496694579109739</v>
      </c>
      <c r="AT84" s="30">
        <v>-0.13928086762130543</v>
      </c>
      <c r="AU84" s="30">
        <v>5.7547026314455303E-2</v>
      </c>
      <c r="AV84" s="30">
        <v>1.9532310501088099</v>
      </c>
      <c r="AW84" s="30">
        <v>6.6666666666666652E-2</v>
      </c>
      <c r="AX84" s="30">
        <v>0.1089931573802541</v>
      </c>
      <c r="AY84" s="30">
        <v>0.18292603453893785</v>
      </c>
      <c r="AZ84" s="30">
        <v>3.1387354634225924</v>
      </c>
      <c r="BA84" s="30">
        <v>-1.566679596029249</v>
      </c>
      <c r="BB84" s="30">
        <v>-0.30542262078009491</v>
      </c>
      <c r="BC84" s="30">
        <v>7.1428571428571397E-2</v>
      </c>
      <c r="BD84" s="30">
        <v>0.2347616173808087</v>
      </c>
      <c r="BE84" s="30">
        <v>0.32295887576515225</v>
      </c>
      <c r="BF84" s="30">
        <v>-0.44168980272948621</v>
      </c>
      <c r="BG84" s="30">
        <v>-3.245161914591665</v>
      </c>
      <c r="BH84" s="30">
        <v>-0.37935839391648052</v>
      </c>
      <c r="BI84" s="30">
        <v>-6.6666666666666652E-2</v>
      </c>
      <c r="BJ84" s="30">
        <v>-0.1897310513447433</v>
      </c>
      <c r="BK84" s="30">
        <v>-0.2437489812550937</v>
      </c>
      <c r="BL84" s="30">
        <v>-0.4308471739577181</v>
      </c>
      <c r="BM84" s="30">
        <v>-0.23942694534393091</v>
      </c>
      <c r="BN84" s="30">
        <v>0</v>
      </c>
      <c r="BO84" s="30">
        <v>0</v>
      </c>
      <c r="BP84" s="30">
        <v>0</v>
      </c>
      <c r="BQ84" s="30">
        <v>0</v>
      </c>
      <c r="BR84" s="30">
        <v>0</v>
      </c>
      <c r="BS84" s="30">
        <v>0</v>
      </c>
    </row>
    <row r="85" spans="2:71" x14ac:dyDescent="0.2">
      <c r="P85" s="30"/>
      <c r="Q85" s="30"/>
      <c r="R85" s="30"/>
      <c r="S85" s="30"/>
      <c r="T85" s="30"/>
      <c r="U85" s="30"/>
      <c r="V85" s="30"/>
      <c r="AH85" t="s">
        <v>1630</v>
      </c>
      <c r="AI85" t="s">
        <v>1631</v>
      </c>
      <c r="AJ85" s="30">
        <v>-0.13</v>
      </c>
      <c r="AK85" s="30">
        <v>0</v>
      </c>
      <c r="AL85" s="30">
        <v>0.11</v>
      </c>
      <c r="AM85" s="30">
        <v>0.10746720484359229</v>
      </c>
      <c r="AN85" s="30">
        <v>-0.10281750144397972</v>
      </c>
      <c r="AO85" s="30">
        <v>-0.47</v>
      </c>
      <c r="AP85" s="30">
        <v>0.32</v>
      </c>
      <c r="AQ85" s="30">
        <v>0</v>
      </c>
      <c r="AR85" s="30">
        <v>0.27</v>
      </c>
      <c r="AS85" s="30">
        <v>0.27132777421423993</v>
      </c>
      <c r="AT85" s="30">
        <v>0.39930412252946312</v>
      </c>
      <c r="AU85" s="30">
        <v>0.01</v>
      </c>
      <c r="AV85" s="30">
        <v>1.32</v>
      </c>
      <c r="AW85" s="30">
        <v>0.33333333333333326</v>
      </c>
      <c r="AX85" s="30">
        <v>0.48</v>
      </c>
      <c r="AY85" s="30">
        <v>0.97030015797788316</v>
      </c>
      <c r="AZ85" s="30">
        <v>1.0389365637299157</v>
      </c>
      <c r="BA85" s="30">
        <v>6.88</v>
      </c>
      <c r="BB85" s="30">
        <v>1.04</v>
      </c>
      <c r="BC85" s="30">
        <v>-0.25</v>
      </c>
      <c r="BD85" s="30">
        <v>0</v>
      </c>
      <c r="BE85" s="30">
        <v>-0.25353773584905659</v>
      </c>
      <c r="BF85" s="30">
        <v>1.3050175107758619</v>
      </c>
      <c r="BG85" s="30">
        <v>7.64</v>
      </c>
      <c r="BH85" s="30">
        <v>-0.7</v>
      </c>
      <c r="BI85" s="30">
        <v>0</v>
      </c>
      <c r="BJ85" s="30">
        <v>0</v>
      </c>
      <c r="BK85" s="30">
        <v>-1.8832391713747842E-3</v>
      </c>
      <c r="BL85" s="30">
        <v>-0.72627135048438984</v>
      </c>
      <c r="BM85" s="30">
        <v>-1.05</v>
      </c>
      <c r="BN85" s="30">
        <v>0</v>
      </c>
      <c r="BO85" s="30">
        <v>0</v>
      </c>
      <c r="BP85" s="30">
        <v>0</v>
      </c>
      <c r="BQ85" s="30">
        <v>0</v>
      </c>
      <c r="BR85" s="30">
        <v>0</v>
      </c>
      <c r="BS85" s="30">
        <v>0</v>
      </c>
    </row>
    <row r="86" spans="2:71" x14ac:dyDescent="0.2">
      <c r="P86" s="30"/>
      <c r="Q86" s="30"/>
      <c r="R86" s="30"/>
      <c r="S86" s="30"/>
      <c r="T86" s="30"/>
      <c r="U86" s="30"/>
      <c r="V86" s="30"/>
      <c r="AH86" t="s">
        <v>370</v>
      </c>
      <c r="AI86" t="s">
        <v>1632</v>
      </c>
      <c r="AJ86" s="30">
        <v>9.5397101192182587E-2</v>
      </c>
      <c r="AK86" s="30">
        <v>-0.1071428571428571</v>
      </c>
      <c r="AL86" s="30">
        <v>7.8220308575529307E-2</v>
      </c>
      <c r="AM86" s="30">
        <v>-3.7303295914706047E-2</v>
      </c>
      <c r="AN86" s="30">
        <v>0.28970906000382612</v>
      </c>
      <c r="AO86" s="30">
        <v>0.17707965643016821</v>
      </c>
      <c r="AP86" s="30">
        <v>-1.025482493777286E-2</v>
      </c>
      <c r="AQ86" s="30">
        <v>7.6923076923076872E-2</v>
      </c>
      <c r="AR86" s="30">
        <v>8.275058275058278E-2</v>
      </c>
      <c r="AS86" s="30">
        <v>0.16603908911601217</v>
      </c>
      <c r="AT86" s="30">
        <v>-0.17096399293846642</v>
      </c>
      <c r="AU86" s="30">
        <v>-0.81059035902921706</v>
      </c>
      <c r="AV86" s="30">
        <v>0.16180033861163401</v>
      </c>
      <c r="AW86" s="30">
        <v>0.26829268292682928</v>
      </c>
      <c r="AX86" s="30">
        <v>6.9380972164520216E-2</v>
      </c>
      <c r="AY86" s="30">
        <v>0.35628806225744025</v>
      </c>
      <c r="AZ86" s="30">
        <v>3.5602974002915122E-3</v>
      </c>
      <c r="BA86" s="30">
        <v>0.59876719161975345</v>
      </c>
      <c r="BB86" s="30">
        <v>0.45903756479850683</v>
      </c>
      <c r="BC86" s="30">
        <v>0.5185185185185186</v>
      </c>
      <c r="BD86" s="30">
        <v>0.10311640696608609</v>
      </c>
      <c r="BE86" s="30">
        <v>0.67510269205961237</v>
      </c>
      <c r="BF86" s="30">
        <v>0.39600054637344617</v>
      </c>
      <c r="BG86" s="30">
        <v>-0.63304743475759628</v>
      </c>
      <c r="BH86" s="30">
        <v>0.61973045840664698</v>
      </c>
      <c r="BI86" s="30">
        <v>0.6875</v>
      </c>
      <c r="BJ86" s="30">
        <v>-5.4694621695533518E-3</v>
      </c>
      <c r="BK86" s="30">
        <v>0.67827028258887867</v>
      </c>
      <c r="BL86" s="30">
        <v>0.51473770892042103</v>
      </c>
      <c r="BM86" s="30">
        <v>3.9501003171315769</v>
      </c>
      <c r="BN86" s="30">
        <v>0</v>
      </c>
      <c r="BO86" s="30">
        <v>0</v>
      </c>
      <c r="BP86" s="30">
        <v>0</v>
      </c>
      <c r="BQ86" s="30">
        <v>0</v>
      </c>
      <c r="BR86" s="30">
        <v>0</v>
      </c>
      <c r="BS86" s="30">
        <v>0</v>
      </c>
    </row>
    <row r="87" spans="2:71" x14ac:dyDescent="0.2">
      <c r="P87" s="30"/>
      <c r="Q87" s="30"/>
      <c r="R87" s="30"/>
      <c r="S87" s="30"/>
      <c r="T87" s="30"/>
      <c r="U87" s="30"/>
      <c r="V87" s="30"/>
      <c r="AH87" t="s">
        <v>581</v>
      </c>
      <c r="AI87" t="s">
        <v>1636</v>
      </c>
      <c r="AJ87" s="30">
        <v>0.34218873721592941</v>
      </c>
      <c r="AK87" s="30">
        <v>0.5714285714285714</v>
      </c>
      <c r="AL87" s="30">
        <v>0.42759347024749861</v>
      </c>
      <c r="AM87" s="30">
        <v>1.2433611675317837</v>
      </c>
      <c r="AN87" s="30">
        <v>0.3199939314449034</v>
      </c>
      <c r="AO87" s="30">
        <v>6.5269196368907378E-2</v>
      </c>
      <c r="AP87" s="30">
        <v>0.37571490445328082</v>
      </c>
      <c r="AQ87" s="30">
        <v>0.39999999999999991</v>
      </c>
      <c r="AR87" s="30">
        <v>0.49645390070921991</v>
      </c>
      <c r="AS87" s="30">
        <v>1.0950354609929076</v>
      </c>
      <c r="AT87" s="30">
        <v>0.25812062643733014</v>
      </c>
      <c r="AU87" s="30">
        <v>0.33038364220748129</v>
      </c>
      <c r="AV87" s="30">
        <v>0.24729237177818281</v>
      </c>
      <c r="AW87" s="30">
        <v>0.25</v>
      </c>
      <c r="AX87" s="30">
        <v>0.1971698113207547</v>
      </c>
      <c r="AY87" s="30">
        <v>0.4964622641509433</v>
      </c>
      <c r="AZ87" s="30">
        <v>0.20048415411623388</v>
      </c>
      <c r="BA87" s="30">
        <v>0.2472492792685215</v>
      </c>
      <c r="BB87" s="30">
        <v>0.35996795701637341</v>
      </c>
      <c r="BC87" s="30">
        <v>0</v>
      </c>
      <c r="BD87" s="30">
        <v>-0.11297071129707111</v>
      </c>
      <c r="BE87" s="30">
        <v>-0.11297071129707115</v>
      </c>
      <c r="BF87" s="30">
        <v>0.19124665398703855</v>
      </c>
      <c r="BG87" s="30">
        <v>0.75095730508909964</v>
      </c>
      <c r="BH87" s="30">
        <v>0.37761755963722288</v>
      </c>
      <c r="BI87" s="30">
        <v>0.33333333333333326</v>
      </c>
      <c r="BJ87" s="30">
        <v>0</v>
      </c>
      <c r="BK87" s="30">
        <v>0</v>
      </c>
      <c r="BL87" s="30">
        <v>0</v>
      </c>
      <c r="BM87" s="30">
        <v>0.55502605690717055</v>
      </c>
      <c r="BN87" s="30">
        <v>0</v>
      </c>
      <c r="BO87" s="30">
        <v>0</v>
      </c>
      <c r="BP87" s="30">
        <v>0</v>
      </c>
      <c r="BQ87" s="30">
        <v>0</v>
      </c>
      <c r="BR87" s="30">
        <v>0</v>
      </c>
      <c r="BS87" s="30">
        <v>0</v>
      </c>
    </row>
    <row r="88" spans="2:71" x14ac:dyDescent="0.2">
      <c r="P88" s="30"/>
      <c r="Q88" s="30"/>
      <c r="R88" s="30"/>
      <c r="S88" s="30"/>
      <c r="T88" s="30"/>
      <c r="U88" s="30"/>
      <c r="V88" s="30"/>
      <c r="AH88" t="s">
        <v>777</v>
      </c>
      <c r="AI88" t="s">
        <v>1640</v>
      </c>
      <c r="AJ88" s="30">
        <v>-0.53756253360450712</v>
      </c>
      <c r="AK88" s="30">
        <v>0</v>
      </c>
      <c r="AL88" s="30">
        <v>0.10262130507529291</v>
      </c>
      <c r="AM88" s="30">
        <v>0.10262130507529288</v>
      </c>
      <c r="AN88" s="30">
        <v>-0.64447973750561816</v>
      </c>
      <c r="AO88" s="30">
        <v>-1.0377368056377061</v>
      </c>
      <c r="AP88" s="30">
        <v>1.1204616218728221</v>
      </c>
      <c r="AQ88" s="30">
        <v>-0.1428571428571429</v>
      </c>
      <c r="AR88" s="30">
        <v>8.0120481927710818E-2</v>
      </c>
      <c r="AS88" s="30">
        <v>-7.4182444061962172E-2</v>
      </c>
      <c r="AT88" s="30">
        <v>1.5933671335981603</v>
      </c>
      <c r="AU88" s="30">
        <v>-8.4105197244834073</v>
      </c>
      <c r="AV88" s="30">
        <v>-8.1791725813379901E-2</v>
      </c>
      <c r="AW88" s="30">
        <v>0</v>
      </c>
      <c r="AX88" s="30">
        <v>9.4986807387862804E-2</v>
      </c>
      <c r="AY88" s="30">
        <v>9.4986807387862804E-2</v>
      </c>
      <c r="AZ88" s="30">
        <v>-7.3865204110776017E-2</v>
      </c>
      <c r="BA88" s="30">
        <v>-1.4535900931606449</v>
      </c>
      <c r="BB88" s="30">
        <v>0.38459690252241191</v>
      </c>
      <c r="BC88" s="30">
        <v>0</v>
      </c>
      <c r="BD88" s="30">
        <v>0.1138868479059516</v>
      </c>
      <c r="BE88" s="30">
        <v>0.1138868479059516</v>
      </c>
      <c r="BF88" s="30">
        <v>0.50700690842506879</v>
      </c>
      <c r="BG88" s="30">
        <v>6.0955259975816203</v>
      </c>
      <c r="BH88" s="30">
        <v>-0.18266720321931579</v>
      </c>
      <c r="BI88" s="30">
        <v>-0.125</v>
      </c>
      <c r="BJ88" s="30">
        <v>9.6439169139466152E-3</v>
      </c>
      <c r="BK88" s="30">
        <v>-0.11656157270029677</v>
      </c>
      <c r="BL88" s="30">
        <v>-0.47976227072445943</v>
      </c>
      <c r="BM88" s="30">
        <v>-1.030154601584909</v>
      </c>
      <c r="BN88" s="30">
        <v>0</v>
      </c>
      <c r="BO88" s="30">
        <v>0</v>
      </c>
      <c r="BP88" s="30">
        <v>0</v>
      </c>
      <c r="BQ88" s="30">
        <v>0</v>
      </c>
      <c r="BR88" s="30">
        <v>0</v>
      </c>
      <c r="BS88" s="30">
        <v>0</v>
      </c>
    </row>
    <row r="89" spans="2:71" x14ac:dyDescent="0.2">
      <c r="P89" s="30"/>
      <c r="Q89" s="30"/>
      <c r="R89" s="30"/>
      <c r="S89" s="30"/>
      <c r="T89" s="30"/>
      <c r="U89" s="30"/>
      <c r="V89" s="30"/>
      <c r="AH89" t="s">
        <v>1642</v>
      </c>
      <c r="AI89" t="s">
        <v>1643</v>
      </c>
      <c r="AJ89" s="30">
        <v>-0.15</v>
      </c>
      <c r="AK89" s="30">
        <v>-0.25</v>
      </c>
      <c r="AL89" s="30">
        <v>0.17</v>
      </c>
      <c r="AM89" s="30">
        <v>-0.12099125364431484</v>
      </c>
      <c r="AN89" s="30">
        <v>-0.14488619727568608</v>
      </c>
      <c r="AO89" s="30">
        <v>-0.33</v>
      </c>
      <c r="AP89" s="30">
        <v>0</v>
      </c>
      <c r="AQ89" s="30">
        <v>-0.19999999999999996</v>
      </c>
      <c r="AR89" s="30">
        <v>0.13</v>
      </c>
      <c r="AS89" s="30">
        <v>-9.2058823529411749E-2</v>
      </c>
      <c r="AT89" s="30">
        <v>5.1502985274418656E-3</v>
      </c>
      <c r="AU89" s="30">
        <v>0.28999999999999998</v>
      </c>
      <c r="AV89" s="30">
        <v>0.34</v>
      </c>
      <c r="AW89" s="30">
        <v>0.66666666666666674</v>
      </c>
      <c r="AX89" s="30">
        <v>0</v>
      </c>
      <c r="AY89" s="30">
        <v>0</v>
      </c>
      <c r="AZ89" s="30">
        <v>0</v>
      </c>
      <c r="BA89" s="30">
        <v>-0.65</v>
      </c>
      <c r="BB89" s="30">
        <v>1.47</v>
      </c>
      <c r="BC89" s="30">
        <v>-0.25</v>
      </c>
      <c r="BD89" s="30">
        <v>0</v>
      </c>
      <c r="BE89" s="30">
        <v>-1</v>
      </c>
      <c r="BF89" s="30">
        <v>-1</v>
      </c>
      <c r="BG89" s="30">
        <v>4.7699999999999996</v>
      </c>
      <c r="BH89" s="30">
        <v>-0.54</v>
      </c>
      <c r="BI89" s="30">
        <v>-0.19999999999999996</v>
      </c>
      <c r="BJ89" s="30">
        <v>-0.25</v>
      </c>
      <c r="BK89" s="30">
        <v>-0.40390977443609022</v>
      </c>
      <c r="BL89" s="30">
        <v>-0.57488104318274968</v>
      </c>
      <c r="BM89" s="30">
        <v>2.4300000000000002</v>
      </c>
      <c r="BN89" s="30">
        <v>0</v>
      </c>
      <c r="BO89" s="30">
        <v>0</v>
      </c>
      <c r="BP89" s="30">
        <v>0</v>
      </c>
      <c r="BQ89" s="30">
        <v>0</v>
      </c>
      <c r="BR89" s="30">
        <v>0</v>
      </c>
      <c r="BS89" s="30">
        <v>0</v>
      </c>
    </row>
    <row r="90" spans="2:71" x14ac:dyDescent="0.2">
      <c r="P90" s="30"/>
      <c r="Q90" s="30"/>
      <c r="R90" s="30"/>
      <c r="S90" s="30"/>
      <c r="T90" s="30"/>
      <c r="U90" s="30"/>
      <c r="V90" s="30"/>
      <c r="AH90" t="s">
        <v>1327</v>
      </c>
      <c r="AI90" t="s">
        <v>1644</v>
      </c>
      <c r="AJ90">
        <v>0.38069432355420973</v>
      </c>
      <c r="AK90" s="30">
        <v>-3.703703703703709E-2</v>
      </c>
      <c r="AL90">
        <v>-0.04</v>
      </c>
      <c r="AM90" s="30">
        <v>-7.9617031997984422E-2</v>
      </c>
      <c r="AN90" s="30">
        <v>0.54418411209295092</v>
      </c>
      <c r="AO90">
        <v>1.90824377486209</v>
      </c>
      <c r="AP90">
        <v>0.05</v>
      </c>
      <c r="AQ90" s="30">
        <v>0.17391304347826098</v>
      </c>
      <c r="AR90">
        <v>0.08</v>
      </c>
      <c r="AS90" s="30">
        <v>0.26782608695652166</v>
      </c>
      <c r="AT90" s="30">
        <v>1.5971031778930111E-2</v>
      </c>
      <c r="AU90">
        <v>-6.95</v>
      </c>
      <c r="AV90">
        <v>0.12</v>
      </c>
      <c r="AW90" s="30">
        <v>0.53333333333333344</v>
      </c>
      <c r="AX90">
        <v>0.1</v>
      </c>
      <c r="AY90" s="30">
        <v>0.68460388639760827</v>
      </c>
      <c r="AZ90" s="30">
        <v>3.4510426925646875E-3</v>
      </c>
      <c r="BA90">
        <v>-0.85</v>
      </c>
      <c r="BB90">
        <v>0.42</v>
      </c>
      <c r="BC90" s="30">
        <v>0.25</v>
      </c>
      <c r="BD90">
        <v>0.16</v>
      </c>
      <c r="BE90" s="30">
        <v>0.44504924831518933</v>
      </c>
      <c r="BF90" s="30">
        <v>0.45821876353315005</v>
      </c>
      <c r="BG90">
        <v>0</v>
      </c>
      <c r="BH90">
        <v>0.31</v>
      </c>
      <c r="BI90" s="30">
        <v>-0.29411764705882348</v>
      </c>
      <c r="BJ90">
        <v>-7.0000000000000007E-2</v>
      </c>
      <c r="BK90" s="30">
        <v>-0.34504710975299213</v>
      </c>
      <c r="BL90" s="30">
        <v>0.68888595157843713</v>
      </c>
      <c r="BM90">
        <v>17.84</v>
      </c>
      <c r="BN90">
        <v>0</v>
      </c>
      <c r="BO90" s="30">
        <v>0</v>
      </c>
      <c r="BP90">
        <v>0</v>
      </c>
      <c r="BQ90" s="30">
        <v>0</v>
      </c>
      <c r="BR90" s="30">
        <v>0</v>
      </c>
      <c r="BS90">
        <v>0</v>
      </c>
    </row>
    <row r="91" spans="2:71" x14ac:dyDescent="0.2">
      <c r="P91" s="30"/>
      <c r="Q91" s="30"/>
      <c r="R91" s="30"/>
      <c r="S91" s="30"/>
      <c r="T91" s="30"/>
      <c r="U91" s="30"/>
      <c r="V91" s="30"/>
      <c r="AH91" t="s">
        <v>1645</v>
      </c>
      <c r="AI91" t="s">
        <v>1646</v>
      </c>
      <c r="AJ91">
        <v>0.23</v>
      </c>
      <c r="AK91" s="30">
        <v>8.3333333333333259E-2</v>
      </c>
      <c r="AL91">
        <v>0.13</v>
      </c>
      <c r="AM91" s="30">
        <v>0.22670725251455792</v>
      </c>
      <c r="AN91" s="30">
        <v>0.24174306177180949</v>
      </c>
      <c r="AO91">
        <v>0.13</v>
      </c>
      <c r="AP91">
        <v>0.28999999999999998</v>
      </c>
      <c r="AQ91" s="30">
        <v>9.0909090909090828E-2</v>
      </c>
      <c r="AR91">
        <v>0.11</v>
      </c>
      <c r="AS91" s="30">
        <v>0.20580881961806474</v>
      </c>
      <c r="AT91" s="30">
        <v>0.36826517729651109</v>
      </c>
      <c r="AU91">
        <v>-0.11</v>
      </c>
      <c r="AV91">
        <v>0.27</v>
      </c>
      <c r="AW91" s="30">
        <v>0</v>
      </c>
      <c r="AX91">
        <v>0.03</v>
      </c>
      <c r="AY91" s="30">
        <v>3.3877797943133725E-2</v>
      </c>
      <c r="AZ91" s="30">
        <v>0.37937965143980734</v>
      </c>
      <c r="BA91">
        <v>0.16</v>
      </c>
      <c r="BB91">
        <v>0.11</v>
      </c>
      <c r="BC91" s="30">
        <v>-8.333333333333337E-2</v>
      </c>
      <c r="BD91">
        <v>0.28999999999999998</v>
      </c>
      <c r="BE91" s="30">
        <v>0.18564162754303593</v>
      </c>
      <c r="BF91" s="30">
        <v>5.7838860473288456E-2</v>
      </c>
      <c r="BG91">
        <v>0.34</v>
      </c>
      <c r="BH91">
        <v>-0.01</v>
      </c>
      <c r="BI91" s="30">
        <v>0</v>
      </c>
      <c r="BJ91">
        <v>0.09</v>
      </c>
      <c r="BK91" s="30">
        <v>8.6734693877551061E-2</v>
      </c>
      <c r="BL91" s="30">
        <v>-0.14476915557903114</v>
      </c>
      <c r="BM91">
        <v>81.62</v>
      </c>
      <c r="BN91">
        <v>0</v>
      </c>
      <c r="BO91" s="30">
        <v>0</v>
      </c>
      <c r="BP91">
        <v>0</v>
      </c>
      <c r="BQ91" s="30">
        <v>0</v>
      </c>
      <c r="BR91" s="30">
        <v>0</v>
      </c>
      <c r="BS91">
        <v>0</v>
      </c>
    </row>
    <row r="92" spans="2:71" x14ac:dyDescent="0.2">
      <c r="P92" s="30"/>
      <c r="Q92" s="30"/>
      <c r="R92" s="30"/>
      <c r="S92" s="30"/>
      <c r="T92" s="30"/>
      <c r="U92" s="30"/>
      <c r="V92" s="30"/>
      <c r="AH92" t="s">
        <v>262</v>
      </c>
      <c r="AI92" t="s">
        <v>1729</v>
      </c>
      <c r="AJ92">
        <v>9.6559763532628962E-2</v>
      </c>
      <c r="AK92" s="30">
        <v>0.19999999999999996</v>
      </c>
      <c r="AL92">
        <v>-0.11902406857896471</v>
      </c>
      <c r="AM92" s="30">
        <v>5.7171117705242303E-2</v>
      </c>
      <c r="AN92" s="30">
        <v>9.2172523204170131E-2</v>
      </c>
      <c r="AO92">
        <v>0.96961888782358585</v>
      </c>
      <c r="AP92">
        <v>-7.2884994740346487E-3</v>
      </c>
      <c r="AQ92" s="30">
        <v>0</v>
      </c>
      <c r="AR92">
        <v>4.0480274442538537E-2</v>
      </c>
      <c r="AS92" s="30">
        <v>4.0480274442538544E-2</v>
      </c>
      <c r="AT92" s="30">
        <v>-7.5179344755197386E-3</v>
      </c>
      <c r="AU92">
        <v>-0.32801127497860771</v>
      </c>
      <c r="AV92">
        <v>6.3965560624919426E-2</v>
      </c>
      <c r="AW92" s="30">
        <v>5.2631578947368363E-2</v>
      </c>
      <c r="AX92">
        <v>8.4449404761904656E-2</v>
      </c>
      <c r="AY92" s="30">
        <v>0.14152568922305764</v>
      </c>
      <c r="AZ92" s="30">
        <v>9.870228374856449E-2</v>
      </c>
      <c r="BA92">
        <v>-0.7079138340664769</v>
      </c>
      <c r="BB92">
        <v>0.20967882907527649</v>
      </c>
      <c r="BC92" s="30">
        <v>-5.0000000000000044E-2</v>
      </c>
      <c r="BD92">
        <v>4.510108864696738E-2</v>
      </c>
      <c r="BE92" s="30">
        <v>-7.1539657853810779E-3</v>
      </c>
      <c r="BF92" s="30">
        <v>0.22703580995207751</v>
      </c>
      <c r="BG92">
        <v>0.40034587828378498</v>
      </c>
      <c r="BH92">
        <v>-7.54012546907602E-2</v>
      </c>
      <c r="BI92" s="30">
        <v>-4.7619047619047672E-2</v>
      </c>
      <c r="BJ92">
        <v>0.18252873563218391</v>
      </c>
      <c r="BK92" s="30">
        <v>0.12621784345922271</v>
      </c>
      <c r="BL92" s="30">
        <v>-0.12740399587540396</v>
      </c>
      <c r="BM92">
        <v>3.253314418816442</v>
      </c>
      <c r="BN92">
        <v>0</v>
      </c>
      <c r="BO92" s="30">
        <v>0</v>
      </c>
      <c r="BP92">
        <v>0</v>
      </c>
      <c r="BQ92" s="30">
        <v>0</v>
      </c>
      <c r="BR92" s="30">
        <v>0</v>
      </c>
      <c r="BS92">
        <v>0</v>
      </c>
    </row>
    <row r="93" spans="2:71" x14ac:dyDescent="0.2">
      <c r="P93" s="30"/>
      <c r="Q93" s="30"/>
      <c r="R93" s="30"/>
      <c r="S93" s="30"/>
      <c r="T93" s="30"/>
      <c r="U93" s="30"/>
      <c r="V93" s="30"/>
      <c r="AH93" t="s">
        <v>1649</v>
      </c>
      <c r="AI93" t="s">
        <v>1650</v>
      </c>
      <c r="AJ93">
        <v>0.06</v>
      </c>
      <c r="AK93" s="30">
        <v>-0.11764705882352944</v>
      </c>
      <c r="AL93">
        <v>0.01</v>
      </c>
      <c r="AM93" s="30">
        <v>-0.10666861838941055</v>
      </c>
      <c r="AN93" s="30">
        <v>0.10125182427090129</v>
      </c>
      <c r="AO93">
        <v>-0.02</v>
      </c>
      <c r="AP93">
        <v>0.17</v>
      </c>
      <c r="AQ93" s="30">
        <v>6.25E-2</v>
      </c>
      <c r="AR93">
        <v>0.05</v>
      </c>
      <c r="AS93" s="30">
        <v>0.1114959092599479</v>
      </c>
      <c r="AT93" s="30">
        <v>0.19384657607158906</v>
      </c>
      <c r="AU93">
        <v>0.09</v>
      </c>
      <c r="AV93">
        <v>0.34</v>
      </c>
      <c r="AW93" s="30">
        <v>0.14285714285714279</v>
      </c>
      <c r="AX93">
        <v>0.27</v>
      </c>
      <c r="AY93" s="30">
        <v>0.44959568733153632</v>
      </c>
      <c r="AZ93" s="30">
        <v>0.33566307726144751</v>
      </c>
      <c r="BA93">
        <v>0.12</v>
      </c>
      <c r="BB93">
        <v>1.61</v>
      </c>
      <c r="BC93" s="30">
        <v>0.27272727272727271</v>
      </c>
      <c r="BD93">
        <v>0.36</v>
      </c>
      <c r="BE93" s="30">
        <v>0.72738912815737389</v>
      </c>
      <c r="BF93" s="30">
        <v>2.4416538435806516</v>
      </c>
      <c r="BG93">
        <v>-0.01</v>
      </c>
      <c r="BH93">
        <v>0.27</v>
      </c>
      <c r="BI93" s="30">
        <v>0</v>
      </c>
      <c r="BJ93">
        <v>-0.26</v>
      </c>
      <c r="BK93" s="30">
        <v>-0.26146572104018917</v>
      </c>
      <c r="BL93" s="30">
        <v>0.75230952684008501</v>
      </c>
      <c r="BM93">
        <v>0.28999999999999998</v>
      </c>
      <c r="BN93">
        <v>0</v>
      </c>
      <c r="BO93" s="30">
        <v>0</v>
      </c>
      <c r="BP93">
        <v>0</v>
      </c>
      <c r="BQ93" s="30">
        <v>0</v>
      </c>
      <c r="BR93" s="30">
        <v>0</v>
      </c>
      <c r="BS93">
        <v>0</v>
      </c>
    </row>
    <row r="94" spans="2:71" x14ac:dyDescent="0.2">
      <c r="P94" s="30"/>
      <c r="Q94" s="30"/>
      <c r="R94" s="30"/>
      <c r="S94" s="30"/>
      <c r="T94" s="30"/>
      <c r="U94" s="30"/>
      <c r="V94" s="30"/>
      <c r="AH94" t="s">
        <v>1651</v>
      </c>
      <c r="AI94" t="s">
        <v>1652</v>
      </c>
      <c r="AJ94">
        <v>-0.12</v>
      </c>
      <c r="AK94" s="30">
        <v>1</v>
      </c>
      <c r="AL94">
        <v>0</v>
      </c>
      <c r="AM94" s="30">
        <v>0</v>
      </c>
      <c r="AN94" s="30">
        <v>0</v>
      </c>
      <c r="AO94">
        <v>-0.69</v>
      </c>
      <c r="AP94">
        <v>0.87</v>
      </c>
      <c r="AQ94" s="30">
        <v>0</v>
      </c>
      <c r="AR94">
        <v>0</v>
      </c>
      <c r="AS94" s="30">
        <v>0</v>
      </c>
      <c r="AT94" s="30">
        <v>0</v>
      </c>
      <c r="AU94">
        <v>3.64</v>
      </c>
      <c r="AV94">
        <v>0.18</v>
      </c>
      <c r="AW94" s="30">
        <v>-0.5</v>
      </c>
      <c r="AX94">
        <v>0</v>
      </c>
      <c r="AY94" s="30">
        <v>0</v>
      </c>
      <c r="AZ94" s="30">
        <v>0</v>
      </c>
      <c r="BA94">
        <v>0.06</v>
      </c>
      <c r="BB94">
        <v>0.45</v>
      </c>
      <c r="BC94" s="30">
        <v>0</v>
      </c>
      <c r="BD94">
        <v>0</v>
      </c>
      <c r="BE94" s="30">
        <v>0</v>
      </c>
      <c r="BF94" s="30">
        <v>0</v>
      </c>
      <c r="BG94">
        <v>19.59</v>
      </c>
      <c r="BH94">
        <v>-0.48</v>
      </c>
      <c r="BI94" s="30">
        <v>0</v>
      </c>
      <c r="BJ94">
        <v>0</v>
      </c>
      <c r="BK94" s="30">
        <v>0</v>
      </c>
      <c r="BL94" s="30">
        <v>0</v>
      </c>
      <c r="BM94">
        <v>-1.02</v>
      </c>
      <c r="BN94">
        <v>0</v>
      </c>
      <c r="BO94" s="30">
        <v>0</v>
      </c>
      <c r="BP94">
        <v>0</v>
      </c>
      <c r="BQ94" s="30">
        <v>0</v>
      </c>
      <c r="BR94" s="30">
        <v>0</v>
      </c>
      <c r="BS94">
        <v>0</v>
      </c>
    </row>
    <row r="95" spans="2:71" x14ac:dyDescent="0.2">
      <c r="P95" s="30"/>
      <c r="Q95" s="30"/>
      <c r="R95" s="30"/>
      <c r="S95" s="30"/>
      <c r="T95" s="30"/>
      <c r="U95" s="30"/>
      <c r="V95" s="30"/>
      <c r="AH95" t="s">
        <v>1730</v>
      </c>
      <c r="AI95" t="s">
        <v>1653</v>
      </c>
      <c r="AJ95">
        <v>-0.76251370965860032</v>
      </c>
      <c r="AK95" s="30">
        <v>0</v>
      </c>
      <c r="AL95">
        <v>0</v>
      </c>
      <c r="AM95" s="30">
        <v>0</v>
      </c>
      <c r="AN95" s="30">
        <v>0</v>
      </c>
      <c r="AO95">
        <v>-0.85865586412221195</v>
      </c>
      <c r="AP95">
        <v>-1</v>
      </c>
      <c r="AQ95" s="30">
        <v>-0.66666666666666674</v>
      </c>
      <c r="AR95">
        <v>0</v>
      </c>
      <c r="AS95" s="30">
        <v>0</v>
      </c>
      <c r="AT95" s="30">
        <v>0</v>
      </c>
      <c r="AU95">
        <v>-1</v>
      </c>
      <c r="AV95">
        <v>-1</v>
      </c>
      <c r="AW95" s="30">
        <v>0</v>
      </c>
      <c r="AX95">
        <v>0</v>
      </c>
      <c r="AY95" s="30">
        <v>0</v>
      </c>
      <c r="AZ95" s="30">
        <v>0</v>
      </c>
      <c r="BA95">
        <v>-1</v>
      </c>
      <c r="BB95">
        <v>35.024530121514758</v>
      </c>
      <c r="BC95" s="30">
        <v>0</v>
      </c>
      <c r="BD95">
        <v>0</v>
      </c>
      <c r="BE95" s="30">
        <v>0</v>
      </c>
      <c r="BF95" s="30">
        <v>0</v>
      </c>
      <c r="BG95">
        <v>0.93900127190388627</v>
      </c>
      <c r="BH95">
        <v>0</v>
      </c>
      <c r="BI95" s="30">
        <v>0</v>
      </c>
      <c r="BJ95">
        <v>0</v>
      </c>
      <c r="BK95" s="30">
        <v>0</v>
      </c>
      <c r="BL95" s="30">
        <v>0</v>
      </c>
      <c r="BM95">
        <v>0</v>
      </c>
      <c r="BN95">
        <v>0</v>
      </c>
      <c r="BO95" s="30">
        <v>0</v>
      </c>
      <c r="BP95">
        <v>0</v>
      </c>
      <c r="BQ95" s="30">
        <v>0</v>
      </c>
      <c r="BR95" s="30">
        <v>0</v>
      </c>
      <c r="BS95">
        <v>0</v>
      </c>
    </row>
    <row r="96" spans="2:71" x14ac:dyDescent="0.2">
      <c r="P96" s="30"/>
      <c r="Q96" s="30"/>
      <c r="R96" s="30"/>
      <c r="S96" s="30"/>
      <c r="T96" s="30"/>
      <c r="U96" s="30"/>
      <c r="V96" s="30"/>
      <c r="AH96" t="s">
        <v>1655</v>
      </c>
      <c r="AI96" t="s">
        <v>1656</v>
      </c>
      <c r="AJ96">
        <v>0.02</v>
      </c>
      <c r="AK96" s="30">
        <v>-6.6666666666666652E-2</v>
      </c>
      <c r="AL96">
        <v>0.11</v>
      </c>
      <c r="AM96" s="30">
        <v>3.2113419057039128E-2</v>
      </c>
      <c r="AN96" s="30">
        <v>8.0629668460756365E-2</v>
      </c>
      <c r="AO96">
        <v>-0.68</v>
      </c>
      <c r="AP96">
        <v>0.04</v>
      </c>
      <c r="AQ96" s="30">
        <v>0</v>
      </c>
      <c r="AR96">
        <v>0.08</v>
      </c>
      <c r="AS96" s="30">
        <v>8.1669044222539178E-2</v>
      </c>
      <c r="AT96" s="30">
        <v>-2.3991288323002125E-2</v>
      </c>
      <c r="AU96">
        <v>1.08</v>
      </c>
      <c r="AV96">
        <v>0.06</v>
      </c>
      <c r="AW96" s="30">
        <v>0</v>
      </c>
      <c r="AX96">
        <v>0.06</v>
      </c>
      <c r="AY96" s="30">
        <v>6.011342155009447E-2</v>
      </c>
      <c r="AZ96" s="30">
        <v>5.7901169451344714E-2</v>
      </c>
      <c r="BA96">
        <v>-0.01</v>
      </c>
      <c r="BB96">
        <v>0.16</v>
      </c>
      <c r="BC96" s="30">
        <v>0</v>
      </c>
      <c r="BD96">
        <v>0.18</v>
      </c>
      <c r="BE96" s="30">
        <v>0.178698752228164</v>
      </c>
      <c r="BF96" s="30">
        <v>0.15302955373089788</v>
      </c>
      <c r="BG96">
        <v>0.1</v>
      </c>
      <c r="BH96">
        <v>0.21</v>
      </c>
      <c r="BI96" s="30">
        <v>0</v>
      </c>
      <c r="BJ96">
        <v>0.18</v>
      </c>
      <c r="BK96" s="30">
        <v>0.1816745655608214</v>
      </c>
      <c r="BL96" s="30">
        <v>0.26247000851371216</v>
      </c>
      <c r="BM96">
        <v>-0.26</v>
      </c>
      <c r="BN96">
        <v>0</v>
      </c>
      <c r="BO96" s="30">
        <v>0</v>
      </c>
      <c r="BP96">
        <v>0</v>
      </c>
      <c r="BQ96" s="30">
        <v>0</v>
      </c>
      <c r="BR96" s="30">
        <v>0</v>
      </c>
      <c r="BS96">
        <v>0</v>
      </c>
    </row>
    <row r="97" spans="16:71" x14ac:dyDescent="0.2">
      <c r="P97" s="30"/>
      <c r="Q97" s="30"/>
      <c r="R97" s="30"/>
      <c r="S97" s="30"/>
      <c r="T97" s="30"/>
      <c r="U97" s="30"/>
      <c r="V97" s="30"/>
      <c r="AH97" t="s">
        <v>246</v>
      </c>
      <c r="AI97" t="s">
        <v>1657</v>
      </c>
      <c r="AJ97">
        <v>5.3408124056702588E-2</v>
      </c>
      <c r="AK97" s="30">
        <v>-3.8461538461538436E-2</v>
      </c>
      <c r="AL97">
        <v>7.40999650471863E-2</v>
      </c>
      <c r="AM97" s="30">
        <v>3.2788427929986819E-2</v>
      </c>
      <c r="AN97" s="30">
        <v>4.9991862494729755E-2</v>
      </c>
      <c r="AO97">
        <v>0.30485206415378369</v>
      </c>
      <c r="AP97">
        <v>-0.16221886444408209</v>
      </c>
      <c r="AQ97" s="30">
        <v>-7.1428571428571397E-2</v>
      </c>
      <c r="AR97">
        <v>8.9489718202589552E-2</v>
      </c>
      <c r="AS97" s="30">
        <v>1.1669024045261711E-2</v>
      </c>
      <c r="AT97" s="30">
        <v>-0.18124283291013643</v>
      </c>
      <c r="AU97">
        <v>-7.2244694051858849E-2</v>
      </c>
      <c r="AV97">
        <v>5.4704262159162242E-2</v>
      </c>
      <c r="AW97" s="30">
        <v>0.16666666666666674</v>
      </c>
      <c r="AX97">
        <v>3.8765822784810222E-2</v>
      </c>
      <c r="AY97" s="30">
        <v>0.2118934599156117</v>
      </c>
      <c r="AZ97" s="30">
        <v>4.3256399790075228E-2</v>
      </c>
      <c r="BA97">
        <v>-3.0133946015223231E-2</v>
      </c>
      <c r="BB97">
        <v>0.96589151235325188</v>
      </c>
      <c r="BC97" s="30">
        <v>0.33333333333333326</v>
      </c>
      <c r="BD97">
        <v>-4.27868231730405E-2</v>
      </c>
      <c r="BE97" s="30">
        <v>0.27628423576927941</v>
      </c>
      <c r="BF97" s="30">
        <v>1.0592943233412706</v>
      </c>
      <c r="BG97">
        <v>1.012867300069213</v>
      </c>
      <c r="BH97">
        <v>-0.2252497082425978</v>
      </c>
      <c r="BI97" s="30">
        <v>-5.2631578947368474E-2</v>
      </c>
      <c r="BJ97">
        <v>4.3048973143759772E-2</v>
      </c>
      <c r="BK97" s="30">
        <v>-1.1848341232227444E-2</v>
      </c>
      <c r="BL97" s="30">
        <v>-0.2489835371068928</v>
      </c>
      <c r="BM97">
        <v>-0.15050822695161831</v>
      </c>
      <c r="BN97">
        <v>0</v>
      </c>
      <c r="BO97" s="30">
        <v>0</v>
      </c>
      <c r="BP97">
        <v>0</v>
      </c>
      <c r="BQ97" s="30">
        <v>0</v>
      </c>
      <c r="BR97" s="30">
        <v>0</v>
      </c>
      <c r="BS97">
        <v>0</v>
      </c>
    </row>
    <row r="98" spans="16:71" x14ac:dyDescent="0.2">
      <c r="P98" s="30"/>
      <c r="Q98" s="30"/>
      <c r="R98" s="30"/>
      <c r="S98" s="30"/>
      <c r="T98" s="30"/>
      <c r="U98" s="30"/>
      <c r="V98" s="30"/>
      <c r="AH98" t="s">
        <v>1661</v>
      </c>
      <c r="AI98" t="s">
        <v>1662</v>
      </c>
      <c r="AJ98">
        <v>-0.31363610814456738</v>
      </c>
      <c r="AK98" s="30">
        <v>0</v>
      </c>
      <c r="AL98">
        <v>0</v>
      </c>
      <c r="AM98" s="30">
        <v>0</v>
      </c>
      <c r="AN98" s="30">
        <v>0</v>
      </c>
      <c r="AO98">
        <v>-1.486434613653058</v>
      </c>
      <c r="AP98">
        <v>-0.11282319794549581</v>
      </c>
      <c r="AQ98" s="30">
        <v>0</v>
      </c>
      <c r="AR98">
        <v>0</v>
      </c>
      <c r="AS98" s="30">
        <v>0</v>
      </c>
      <c r="AT98" s="30">
        <v>0</v>
      </c>
      <c r="AU98">
        <v>2.9795379537953801</v>
      </c>
      <c r="AV98">
        <v>0.46916393154378139</v>
      </c>
      <c r="AW98" s="30">
        <v>0</v>
      </c>
      <c r="AX98">
        <v>0</v>
      </c>
      <c r="AY98" s="30">
        <v>0</v>
      </c>
      <c r="AZ98" s="30">
        <v>0</v>
      </c>
      <c r="BA98">
        <v>9.9419448476052219E-2</v>
      </c>
      <c r="BB98">
        <v>0.39364113454901872</v>
      </c>
      <c r="BC98" s="30">
        <v>0</v>
      </c>
      <c r="BD98">
        <v>0</v>
      </c>
      <c r="BE98" s="30">
        <v>0</v>
      </c>
      <c r="BF98" s="30">
        <v>0</v>
      </c>
      <c r="BG98">
        <v>-4.0304743952246307</v>
      </c>
      <c r="BH98">
        <v>-0.2044027456236546</v>
      </c>
      <c r="BI98" s="30">
        <v>-1</v>
      </c>
      <c r="BJ98">
        <v>0</v>
      </c>
      <c r="BK98" s="30">
        <v>0</v>
      </c>
      <c r="BL98" s="30">
        <v>0</v>
      </c>
      <c r="BM98">
        <v>-1.0832592205074549</v>
      </c>
      <c r="BN98">
        <v>0</v>
      </c>
      <c r="BO98" s="30">
        <v>0</v>
      </c>
      <c r="BP98">
        <v>0</v>
      </c>
      <c r="BQ98" s="30">
        <v>0</v>
      </c>
      <c r="BR98" s="30">
        <v>0</v>
      </c>
      <c r="BS98">
        <v>0</v>
      </c>
    </row>
    <row r="99" spans="16:71" x14ac:dyDescent="0.2">
      <c r="P99" s="30"/>
      <c r="Q99" s="30"/>
      <c r="R99" s="30"/>
      <c r="S99" s="30"/>
      <c r="T99" s="30"/>
      <c r="U99" s="30"/>
      <c r="V99" s="30"/>
      <c r="AH99" t="s">
        <v>1665</v>
      </c>
      <c r="AI99" t="s">
        <v>1666</v>
      </c>
      <c r="AJ99">
        <v>-0.18</v>
      </c>
      <c r="AK99" s="30">
        <v>0</v>
      </c>
      <c r="AL99">
        <v>0.19</v>
      </c>
      <c r="AM99" s="30">
        <v>0.1863254698120751</v>
      </c>
      <c r="AN99" s="30">
        <v>-0.48202158462753353</v>
      </c>
      <c r="AO99">
        <v>-0.1</v>
      </c>
      <c r="AP99">
        <v>0.19</v>
      </c>
      <c r="AQ99" s="30">
        <v>0.14285714285714279</v>
      </c>
      <c r="AR99">
        <v>0.37</v>
      </c>
      <c r="AS99" s="30">
        <v>0.56361362925914338</v>
      </c>
      <c r="AT99" s="30">
        <v>2.3609442509042067E-2</v>
      </c>
      <c r="AU99">
        <v>0.13</v>
      </c>
      <c r="AV99">
        <v>0.67</v>
      </c>
      <c r="AW99" s="30">
        <v>0.39999999999999991</v>
      </c>
      <c r="AX99">
        <v>0.25</v>
      </c>
      <c r="AY99" s="30">
        <v>0.74451261077027953</v>
      </c>
      <c r="AZ99" s="30">
        <v>0.75019279100345626</v>
      </c>
      <c r="BA99">
        <v>0.33</v>
      </c>
      <c r="BB99">
        <v>0.78</v>
      </c>
      <c r="BC99" s="30">
        <v>0.66666666666666674</v>
      </c>
      <c r="BD99">
        <v>0</v>
      </c>
      <c r="BE99" s="30">
        <v>0</v>
      </c>
      <c r="BF99" s="30">
        <v>0</v>
      </c>
      <c r="BG99">
        <v>-0.21</v>
      </c>
      <c r="BH99">
        <v>0.76</v>
      </c>
      <c r="BI99" s="30">
        <v>0.5</v>
      </c>
      <c r="BJ99">
        <v>0</v>
      </c>
      <c r="BK99" s="30">
        <v>0</v>
      </c>
      <c r="BL99" s="30">
        <v>0</v>
      </c>
      <c r="BM99">
        <v>1.35</v>
      </c>
      <c r="BN99">
        <v>0</v>
      </c>
      <c r="BO99" s="30">
        <v>0</v>
      </c>
      <c r="BP99">
        <v>0</v>
      </c>
      <c r="BQ99" s="30">
        <v>0</v>
      </c>
      <c r="BR99" s="30">
        <v>0</v>
      </c>
      <c r="BS99">
        <v>0</v>
      </c>
    </row>
    <row r="100" spans="16:71" x14ac:dyDescent="0.2">
      <c r="P100" s="30"/>
      <c r="Q100" s="30"/>
      <c r="R100" s="30"/>
      <c r="S100" s="30"/>
      <c r="T100" s="30"/>
      <c r="U100" s="30"/>
      <c r="V100" s="30"/>
      <c r="AH100" t="s">
        <v>1669</v>
      </c>
      <c r="AI100" t="s">
        <v>1667</v>
      </c>
      <c r="AJ100">
        <v>-0.39535765758931962</v>
      </c>
      <c r="AK100" s="30">
        <v>-0.16666666666666663</v>
      </c>
      <c r="AL100">
        <v>-0.87646432374866878</v>
      </c>
      <c r="AM100" s="30">
        <v>-0.89705360312389071</v>
      </c>
      <c r="AN100" s="30">
        <v>-1.141262009867567</v>
      </c>
      <c r="AO100">
        <v>1.4741753224517751</v>
      </c>
      <c r="AP100">
        <v>-0.17824761429834299</v>
      </c>
      <c r="AQ100" s="30">
        <v>0</v>
      </c>
      <c r="AR100">
        <v>-0.2617924528301887</v>
      </c>
      <c r="AS100" s="30">
        <v>-0.2617924528301887</v>
      </c>
      <c r="AT100" s="30">
        <v>-0.28544439383971798</v>
      </c>
      <c r="AU100">
        <v>0.36885277918831288</v>
      </c>
      <c r="AV100">
        <v>0.28718562175409929</v>
      </c>
      <c r="AW100" s="30">
        <v>-0.1428571428571429</v>
      </c>
      <c r="AX100">
        <v>-0.28135593220338978</v>
      </c>
      <c r="AY100" s="30">
        <v>-0.38401937046004841</v>
      </c>
      <c r="AZ100" s="30">
        <v>2.7167980594299479E-2</v>
      </c>
      <c r="BA100">
        <v>-1.36942813027605</v>
      </c>
      <c r="BB100">
        <v>-0.26001252239998268</v>
      </c>
      <c r="BC100" s="30">
        <v>-0.125</v>
      </c>
      <c r="BD100">
        <v>9.259259259259256E-2</v>
      </c>
      <c r="BE100" s="30">
        <v>-4.398148148148151E-2</v>
      </c>
      <c r="BF100" s="30">
        <v>-0.23211505967190427</v>
      </c>
      <c r="BG100">
        <v>0.52597273908352227</v>
      </c>
      <c r="BH100">
        <v>6.6669926809785904E-3</v>
      </c>
      <c r="BI100" s="30">
        <v>0.14285714285714279</v>
      </c>
      <c r="BJ100">
        <v>-6.1349693251533388E-3</v>
      </c>
      <c r="BK100" s="30">
        <v>0.1358457493426819</v>
      </c>
      <c r="BL100" s="30">
        <v>-7.5123667954618223E-2</v>
      </c>
      <c r="BM100">
        <v>0.33000439302972612</v>
      </c>
      <c r="BN100">
        <v>0</v>
      </c>
      <c r="BO100" s="30">
        <v>0</v>
      </c>
      <c r="BP100">
        <v>0</v>
      </c>
      <c r="BQ100" s="30">
        <v>0</v>
      </c>
      <c r="BR100" s="30">
        <v>0</v>
      </c>
      <c r="BS100">
        <v>0</v>
      </c>
    </row>
    <row r="101" spans="16:71" x14ac:dyDescent="0.2">
      <c r="P101" s="30"/>
      <c r="Q101" s="30"/>
      <c r="R101" s="30"/>
      <c r="S101" s="30"/>
      <c r="T101" s="30"/>
      <c r="U101" s="30"/>
      <c r="V101" s="30"/>
      <c r="AH101" t="s">
        <v>842</v>
      </c>
      <c r="AI101" t="s">
        <v>1672</v>
      </c>
      <c r="AJ101">
        <v>0.4235412474849094</v>
      </c>
      <c r="AK101" s="30">
        <v>0</v>
      </c>
      <c r="AL101">
        <v>0</v>
      </c>
      <c r="AM101" s="30">
        <v>0</v>
      </c>
      <c r="AN101" s="30">
        <v>0</v>
      </c>
      <c r="AO101">
        <v>-1.5610227272727271</v>
      </c>
      <c r="AP101">
        <v>-0.2005849022116615</v>
      </c>
      <c r="AQ101" s="30">
        <v>0</v>
      </c>
      <c r="AR101">
        <v>0</v>
      </c>
      <c r="AS101" s="30">
        <v>0</v>
      </c>
      <c r="AT101" s="30">
        <v>0</v>
      </c>
      <c r="AU101">
        <v>6.5213675213675213</v>
      </c>
      <c r="AV101">
        <v>4.3269071612871821</v>
      </c>
      <c r="AW101" s="30">
        <v>0</v>
      </c>
      <c r="AX101">
        <v>0</v>
      </c>
      <c r="AY101" s="30">
        <v>0</v>
      </c>
      <c r="AZ101" s="30">
        <v>0</v>
      </c>
      <c r="BA101">
        <v>-1.1446051167964399</v>
      </c>
      <c r="BB101">
        <v>0</v>
      </c>
      <c r="BC101" s="30">
        <v>0</v>
      </c>
      <c r="BD101">
        <v>0</v>
      </c>
      <c r="BE101" s="30">
        <v>0</v>
      </c>
      <c r="BF101" s="30">
        <v>0</v>
      </c>
      <c r="BG101">
        <v>0</v>
      </c>
      <c r="BH101">
        <v>0</v>
      </c>
      <c r="BI101" s="30">
        <v>0</v>
      </c>
      <c r="BJ101">
        <v>0</v>
      </c>
      <c r="BK101" s="30">
        <v>0</v>
      </c>
      <c r="BL101" s="30">
        <v>0</v>
      </c>
      <c r="BM101">
        <v>0</v>
      </c>
      <c r="BN101">
        <v>0</v>
      </c>
      <c r="BO101" s="30">
        <v>0</v>
      </c>
      <c r="BP101">
        <v>0</v>
      </c>
      <c r="BQ101" s="30">
        <v>0</v>
      </c>
      <c r="BR101" s="30">
        <v>0</v>
      </c>
      <c r="BS101">
        <v>0</v>
      </c>
    </row>
    <row r="102" spans="16:71" x14ac:dyDescent="0.2">
      <c r="P102" s="30"/>
      <c r="Q102" s="30"/>
      <c r="R102" s="30"/>
      <c r="S102" s="30"/>
      <c r="T102" s="30"/>
      <c r="U102" s="30"/>
      <c r="V102" s="30"/>
      <c r="AH102" t="s">
        <v>600</v>
      </c>
      <c r="AI102" t="s">
        <v>1674</v>
      </c>
      <c r="AJ102">
        <v>0.13662709353993391</v>
      </c>
      <c r="AK102" s="30">
        <v>4.5454545454545414E-2</v>
      </c>
      <c r="AL102">
        <v>0.12550607287449389</v>
      </c>
      <c r="AM102" s="30">
        <v>0.17666543982333449</v>
      </c>
      <c r="AN102" s="30">
        <v>-0.29625569760250781</v>
      </c>
      <c r="AO102">
        <v>11.332446218673759</v>
      </c>
      <c r="AP102">
        <v>0.13499172905651241</v>
      </c>
      <c r="AQ102" s="30">
        <v>4.7619047619047672E-2</v>
      </c>
      <c r="AR102">
        <v>0.114704776231666</v>
      </c>
      <c r="AS102" s="30">
        <v>0.16778595605222146</v>
      </c>
      <c r="AT102" s="30">
        <v>-6.7389088600950942E-2</v>
      </c>
      <c r="AU102">
        <v>-1.2897349397590361</v>
      </c>
      <c r="AV102">
        <v>0.29275863544692488</v>
      </c>
      <c r="AW102" s="30">
        <v>0.23529411764705888</v>
      </c>
      <c r="AX102">
        <v>0.1555845284658843</v>
      </c>
      <c r="AY102" s="30">
        <v>0.4274867704578571</v>
      </c>
      <c r="AZ102" s="30">
        <v>0.39986928048733605</v>
      </c>
      <c r="BA102">
        <v>-1.7035647279549719</v>
      </c>
      <c r="BB102">
        <v>0.45342795663811247</v>
      </c>
      <c r="BC102" s="30">
        <v>0.7</v>
      </c>
      <c r="BD102">
        <v>5.4537121906507828E-2</v>
      </c>
      <c r="BE102" s="30">
        <v>0.79271310724106314</v>
      </c>
      <c r="BF102" s="30">
        <v>0.46185022356555838</v>
      </c>
      <c r="BG102">
        <v>-0.52168365967844821</v>
      </c>
      <c r="BH102">
        <v>0.51794676604144363</v>
      </c>
      <c r="BI102" s="30">
        <v>0</v>
      </c>
      <c r="BJ102">
        <v>6.3352826510721272E-2</v>
      </c>
      <c r="BK102" s="30">
        <v>6.3352826510721272E-2</v>
      </c>
      <c r="BL102" s="30">
        <v>0.66467763062145258</v>
      </c>
      <c r="BM102">
        <v>-27.3126600284495</v>
      </c>
      <c r="BN102">
        <v>0</v>
      </c>
      <c r="BO102" s="30">
        <v>0</v>
      </c>
      <c r="BP102">
        <v>0</v>
      </c>
      <c r="BQ102" s="30">
        <v>0</v>
      </c>
      <c r="BR102" s="30">
        <v>0</v>
      </c>
      <c r="BS102">
        <v>0</v>
      </c>
    </row>
    <row r="103" spans="16:71" x14ac:dyDescent="0.2">
      <c r="P103" s="30"/>
      <c r="Q103" s="30"/>
      <c r="R103" s="30"/>
      <c r="S103" s="30"/>
      <c r="T103" s="30"/>
      <c r="U103" s="30"/>
      <c r="V103" s="30"/>
      <c r="AH103" t="s">
        <v>165</v>
      </c>
      <c r="AI103" t="s">
        <v>1677</v>
      </c>
      <c r="AJ103">
        <v>0.36110212139031977</v>
      </c>
      <c r="AK103" s="30">
        <v>2.857142857142847E-2</v>
      </c>
      <c r="AL103">
        <v>5.1811288963774287E-2</v>
      </c>
      <c r="AM103" s="30">
        <v>8.1863040077024829E-2</v>
      </c>
      <c r="AN103" s="30">
        <v>0.45558716092296647</v>
      </c>
      <c r="AO103">
        <v>-8.6659793401665599</v>
      </c>
      <c r="AP103">
        <v>0.24639479454185589</v>
      </c>
      <c r="AQ103" s="30">
        <v>0.16666666666666674</v>
      </c>
      <c r="AR103">
        <v>0.22497420020639841</v>
      </c>
      <c r="AS103" s="30">
        <v>0.42913656690746471</v>
      </c>
      <c r="AT103" s="30">
        <v>0.20220298278729887</v>
      </c>
      <c r="AU103">
        <v>-1.5856930130031539</v>
      </c>
      <c r="AV103">
        <v>6.4296028462424992E-3</v>
      </c>
      <c r="AW103" s="30">
        <v>0.4285714285714286</v>
      </c>
      <c r="AX103">
        <v>0.26254071661237788</v>
      </c>
      <c r="AY103" s="30">
        <v>0.80362959516053989</v>
      </c>
      <c r="AZ103" s="30">
        <v>-5.7816607436864675E-3</v>
      </c>
      <c r="BA103">
        <v>-1.5951556851962989</v>
      </c>
      <c r="BB103">
        <v>2.5902765647444679</v>
      </c>
      <c r="BC103" s="30">
        <v>5.0000000000000044E-2</v>
      </c>
      <c r="BD103">
        <v>0.20581304006284371</v>
      </c>
      <c r="BE103" s="30">
        <v>0.26610369206598583</v>
      </c>
      <c r="BF103" s="30">
        <v>3.2562672424133385</v>
      </c>
      <c r="BG103">
        <v>0.15942005534070119</v>
      </c>
      <c r="BH103">
        <v>0.70683311294050788</v>
      </c>
      <c r="BI103" s="30">
        <v>0.17647058823529416</v>
      </c>
      <c r="BJ103">
        <v>0.30967078189300401</v>
      </c>
      <c r="BK103" s="30">
        <v>0.54078915516824022</v>
      </c>
      <c r="BL103" s="30">
        <v>0.80255819009298301</v>
      </c>
      <c r="BM103">
        <v>0.23187784677025511</v>
      </c>
      <c r="BN103">
        <v>0</v>
      </c>
      <c r="BO103" s="30">
        <v>0</v>
      </c>
      <c r="BP103">
        <v>0</v>
      </c>
      <c r="BQ103" s="30">
        <v>0</v>
      </c>
      <c r="BR103" s="30">
        <v>0</v>
      </c>
      <c r="BS103">
        <v>0</v>
      </c>
    </row>
    <row r="104" spans="16:71" x14ac:dyDescent="0.2">
      <c r="P104" s="30"/>
      <c r="Q104" s="30"/>
      <c r="R104" s="30"/>
      <c r="S104" s="30"/>
      <c r="T104" s="30"/>
      <c r="U104" s="30"/>
      <c r="V104" s="30"/>
      <c r="AH104" t="s">
        <v>1678</v>
      </c>
      <c r="AI104" t="s">
        <v>1679</v>
      </c>
      <c r="AJ104">
        <v>0.21</v>
      </c>
      <c r="AK104" s="30">
        <v>-0.27272727272727271</v>
      </c>
      <c r="AL104">
        <v>0.04</v>
      </c>
      <c r="AM104" s="30">
        <v>-0.24623282000331181</v>
      </c>
      <c r="AN104" s="30">
        <v>0.57618020993826002</v>
      </c>
      <c r="AO104">
        <v>0.1</v>
      </c>
      <c r="AP104">
        <v>-0.02</v>
      </c>
      <c r="AQ104" s="30">
        <v>-0.15384615384615385</v>
      </c>
      <c r="AR104">
        <v>0.2</v>
      </c>
      <c r="AS104" s="30">
        <v>1.7608897126969447E-2</v>
      </c>
      <c r="AT104" s="30">
        <v>-2.4182623015540416E-2</v>
      </c>
      <c r="AU104">
        <v>-0.35</v>
      </c>
      <c r="AV104">
        <v>-0.09</v>
      </c>
      <c r="AW104" s="30">
        <v>-0.1875</v>
      </c>
      <c r="AX104">
        <v>0.27</v>
      </c>
      <c r="AY104" s="30">
        <v>3.2446068197633959E-2</v>
      </c>
      <c r="AZ104" s="30">
        <v>-0.13526058327253676</v>
      </c>
      <c r="BA104">
        <v>-0.39</v>
      </c>
      <c r="BB104">
        <v>0.14000000000000001</v>
      </c>
      <c r="BC104" s="30">
        <v>0</v>
      </c>
      <c r="BD104">
        <v>0.48</v>
      </c>
      <c r="BE104" s="30">
        <v>0.47535934291581117</v>
      </c>
      <c r="BF104" s="30">
        <v>0.12610989983252763</v>
      </c>
      <c r="BG104">
        <v>-0.46</v>
      </c>
      <c r="BH104">
        <v>0.21</v>
      </c>
      <c r="BI104" s="30">
        <v>0.14285714285714279</v>
      </c>
      <c r="BJ104">
        <v>-0.04</v>
      </c>
      <c r="BK104" s="30">
        <v>9.2387494742744991E-2</v>
      </c>
      <c r="BL104" s="30">
        <v>3.4976698552857455E-2</v>
      </c>
      <c r="BM104">
        <v>20.83</v>
      </c>
      <c r="BN104">
        <v>0</v>
      </c>
      <c r="BO104" s="30">
        <v>0</v>
      </c>
      <c r="BP104">
        <v>0</v>
      </c>
      <c r="BQ104" s="30">
        <v>0</v>
      </c>
      <c r="BR104" s="30">
        <v>0</v>
      </c>
      <c r="BS104">
        <v>0</v>
      </c>
    </row>
    <row r="105" spans="16:71" x14ac:dyDescent="0.2">
      <c r="P105" s="30"/>
      <c r="Q105" s="30"/>
      <c r="R105" s="30"/>
      <c r="S105" s="30"/>
      <c r="T105" s="30"/>
      <c r="U105" s="30"/>
      <c r="V105" s="30"/>
      <c r="AH105" t="s">
        <v>1731</v>
      </c>
      <c r="AI105" t="s">
        <v>1732</v>
      </c>
      <c r="AJ105">
        <v>7.6169556500144289</v>
      </c>
      <c r="AK105" s="30">
        <v>-0.33333333333333337</v>
      </c>
      <c r="AL105">
        <v>0</v>
      </c>
      <c r="AM105" s="30">
        <v>-1</v>
      </c>
      <c r="AN105" s="30">
        <v>-1</v>
      </c>
      <c r="AO105">
        <v>0.31691385643660075</v>
      </c>
      <c r="AP105">
        <v>15.75298479603611</v>
      </c>
      <c r="AQ105" s="30">
        <v>-0.4</v>
      </c>
      <c r="AR105">
        <v>-5.514285714285716E-2</v>
      </c>
      <c r="AS105" s="30">
        <v>-0.41114285714285714</v>
      </c>
      <c r="AT105" s="30">
        <v>0.21320879637058843</v>
      </c>
      <c r="AU105">
        <v>11.485918802646324</v>
      </c>
      <c r="AV105">
        <v>13.989576204747408</v>
      </c>
      <c r="AW105" s="30">
        <v>-0.16666666666666663</v>
      </c>
      <c r="AX105">
        <v>0</v>
      </c>
      <c r="AY105" s="30">
        <v>0</v>
      </c>
      <c r="AZ105" s="30">
        <v>0</v>
      </c>
      <c r="BA105">
        <v>-26.660449065175609</v>
      </c>
      <c r="BB105">
        <v>21.942870114880051</v>
      </c>
      <c r="BC105" s="30">
        <v>1</v>
      </c>
      <c r="BD105">
        <v>0</v>
      </c>
      <c r="BE105" s="30">
        <v>0</v>
      </c>
      <c r="BF105" s="30">
        <v>0</v>
      </c>
      <c r="BG105">
        <v>29.915205063958854</v>
      </c>
      <c r="BH105">
        <v>0</v>
      </c>
      <c r="BI105" s="30">
        <v>-0.625</v>
      </c>
      <c r="BJ105">
        <v>0</v>
      </c>
      <c r="BK105" s="30">
        <v>-1</v>
      </c>
      <c r="BL105" s="30">
        <v>-1</v>
      </c>
      <c r="BM105">
        <v>0</v>
      </c>
      <c r="BO105" s="30"/>
      <c r="BQ105" s="30"/>
      <c r="BR105" s="30"/>
    </row>
    <row r="106" spans="16:71" x14ac:dyDescent="0.2">
      <c r="P106" s="30"/>
      <c r="Q106" s="30"/>
      <c r="R106" s="30"/>
      <c r="S106" s="30"/>
      <c r="T106" s="30"/>
      <c r="U106" s="30"/>
      <c r="V106" s="30"/>
      <c r="AH106" t="s">
        <v>1417</v>
      </c>
      <c r="AI106" t="s">
        <v>1418</v>
      </c>
      <c r="AJ106">
        <v>-0.02</v>
      </c>
      <c r="AK106" s="30">
        <v>0</v>
      </c>
      <c r="AL106">
        <v>0.13</v>
      </c>
      <c r="AM106" s="30">
        <v>0.13378684807256236</v>
      </c>
      <c r="AN106" s="30">
        <v>9.4802892389011628E-2</v>
      </c>
      <c r="AO106">
        <v>-0.97</v>
      </c>
      <c r="AP106">
        <v>0.2</v>
      </c>
      <c r="AQ106" s="30">
        <v>0.25</v>
      </c>
      <c r="AR106">
        <v>0.09</v>
      </c>
      <c r="AS106" s="30">
        <v>0.36279357231149567</v>
      </c>
      <c r="AT106" s="30">
        <v>9.297462336509815</v>
      </c>
      <c r="AU106">
        <v>-0.23</v>
      </c>
      <c r="AV106">
        <v>0.39</v>
      </c>
      <c r="AW106" s="30">
        <v>0.19999999999999996</v>
      </c>
      <c r="AX106">
        <v>0.2</v>
      </c>
      <c r="AY106" s="30">
        <v>0.4457185405807893</v>
      </c>
      <c r="AZ106" s="30">
        <v>-0.85206429187661759</v>
      </c>
      <c r="BA106">
        <v>1.73</v>
      </c>
      <c r="BB106">
        <v>0.39</v>
      </c>
      <c r="BC106" s="30">
        <v>1.2222222222222223</v>
      </c>
      <c r="BD106">
        <v>7.0000000000000007E-2</v>
      </c>
      <c r="BE106" s="30">
        <v>1.3837415690450836</v>
      </c>
      <c r="BF106" s="30">
        <v>0.35408448319647845</v>
      </c>
      <c r="BG106">
        <v>-0.49</v>
      </c>
      <c r="BH106">
        <v>0.63</v>
      </c>
      <c r="BI106" s="30">
        <v>0.28571428571428581</v>
      </c>
      <c r="BJ106">
        <v>0.01</v>
      </c>
      <c r="BK106" s="30">
        <v>0.30130500057743381</v>
      </c>
      <c r="BL106" s="30">
        <v>0.53859178410482178</v>
      </c>
      <c r="BM106">
        <v>1.47</v>
      </c>
      <c r="BN106">
        <v>0</v>
      </c>
      <c r="BO106" s="30">
        <v>0</v>
      </c>
      <c r="BP106">
        <v>0</v>
      </c>
      <c r="BQ106" s="30">
        <v>0</v>
      </c>
      <c r="BR106" s="30">
        <v>0</v>
      </c>
      <c r="BS106">
        <v>0</v>
      </c>
    </row>
    <row r="107" spans="16:71" x14ac:dyDescent="0.2">
      <c r="P107" s="30"/>
      <c r="Q107" s="30"/>
      <c r="R107" s="30"/>
      <c r="S107" s="30"/>
      <c r="T107" s="30"/>
      <c r="U107" s="30"/>
      <c r="V107" s="30"/>
      <c r="AH107" t="s">
        <v>1433</v>
      </c>
      <c r="AI107" t="s">
        <v>1434</v>
      </c>
      <c r="AJ107">
        <v>0</v>
      </c>
      <c r="AK107" s="30">
        <v>0</v>
      </c>
      <c r="AL107">
        <v>0</v>
      </c>
      <c r="AM107" s="30">
        <v>0</v>
      </c>
      <c r="AN107" s="30">
        <v>0</v>
      </c>
      <c r="AO107">
        <v>0</v>
      </c>
      <c r="AP107">
        <v>-2.8260628165813869E-2</v>
      </c>
      <c r="AQ107" s="30">
        <v>0</v>
      </c>
      <c r="AR107">
        <v>0</v>
      </c>
      <c r="AS107" s="30">
        <v>0</v>
      </c>
      <c r="AT107" s="30">
        <v>0</v>
      </c>
      <c r="AU107">
        <v>-0.12889135225728121</v>
      </c>
      <c r="AV107">
        <v>-0.23990975344511359</v>
      </c>
      <c r="AW107" s="30">
        <v>0</v>
      </c>
      <c r="AX107">
        <v>0</v>
      </c>
      <c r="AY107" s="30">
        <v>0</v>
      </c>
      <c r="AZ107" s="30">
        <v>0</v>
      </c>
      <c r="BA107">
        <v>-0.56950756714993411</v>
      </c>
      <c r="BB107">
        <v>2.11109427864465</v>
      </c>
      <c r="BC107" s="30">
        <v>-0.66666666666666674</v>
      </c>
      <c r="BD107">
        <v>0</v>
      </c>
      <c r="BE107" s="30">
        <v>-1</v>
      </c>
      <c r="BF107" s="30">
        <v>0</v>
      </c>
      <c r="BG107">
        <v>6.3432063743690286</v>
      </c>
      <c r="BH107">
        <v>1.2119172257675379</v>
      </c>
      <c r="BI107" s="30">
        <v>-0.5</v>
      </c>
      <c r="BJ107">
        <v>0.2155919153031762</v>
      </c>
      <c r="BK107" s="30">
        <v>-0.39220404234841189</v>
      </c>
      <c r="BL107" s="30">
        <v>2.0514687152261057</v>
      </c>
      <c r="BM107">
        <v>-2.5870630296610169</v>
      </c>
      <c r="BN107">
        <v>0</v>
      </c>
      <c r="BO107" s="30">
        <v>0</v>
      </c>
      <c r="BP107">
        <v>0</v>
      </c>
      <c r="BQ107" s="30">
        <v>0</v>
      </c>
      <c r="BR107" s="30">
        <v>0</v>
      </c>
      <c r="BS107">
        <v>0</v>
      </c>
    </row>
    <row r="108" spans="16:71" x14ac:dyDescent="0.2">
      <c r="P108" s="30"/>
      <c r="Q108" s="30"/>
      <c r="R108" s="30"/>
      <c r="S108" s="30"/>
      <c r="T108" s="30"/>
      <c r="U108" s="30"/>
      <c r="V108" s="30"/>
      <c r="AH108" t="s">
        <v>952</v>
      </c>
      <c r="AI108" t="s">
        <v>1490</v>
      </c>
      <c r="AJ108">
        <v>-2.1350142334282229E-2</v>
      </c>
      <c r="AK108" s="30">
        <v>-0.5</v>
      </c>
      <c r="AL108">
        <v>4.0502793296089301E-2</v>
      </c>
      <c r="AM108" s="30">
        <v>-0.47974860335195535</v>
      </c>
      <c r="AN108" s="30">
        <v>-0.26357780195044522</v>
      </c>
      <c r="AO108">
        <v>2.2184655396619002</v>
      </c>
      <c r="AP108">
        <v>-0.13323933732816351</v>
      </c>
      <c r="AQ108" s="30">
        <v>5.0000000000000044E-2</v>
      </c>
      <c r="AR108">
        <v>8.8145896656534939E-2</v>
      </c>
      <c r="AS108" s="30">
        <v>0.14255319148936163</v>
      </c>
      <c r="AT108" s="30">
        <v>3.0501295312292953E-3</v>
      </c>
      <c r="AU108">
        <v>-5.2722222222222221</v>
      </c>
      <c r="AV108">
        <v>0.45898688608896898</v>
      </c>
      <c r="AW108" s="30">
        <v>8.1081081081081141E-2</v>
      </c>
      <c r="AX108">
        <v>0.15034965034965039</v>
      </c>
      <c r="AY108" s="30">
        <v>0.24362124362124371</v>
      </c>
      <c r="AZ108" s="30">
        <v>0.54395707061859877</v>
      </c>
      <c r="BA108">
        <v>0.35338345864661652</v>
      </c>
      <c r="BB108">
        <v>1.222285714285714</v>
      </c>
      <c r="BC108" s="30">
        <v>8.8235294117646967E-2</v>
      </c>
      <c r="BD108">
        <v>0.18120805369127521</v>
      </c>
      <c r="BE108" s="30">
        <v>0.28543229372285817</v>
      </c>
      <c r="BF108" s="30">
        <v>2.8555122807807471</v>
      </c>
      <c r="BG108">
        <v>-0.46586345381526112</v>
      </c>
      <c r="BH108">
        <v>-0.18490917559385189</v>
      </c>
      <c r="BI108" s="30">
        <v>-0.20930232558139539</v>
      </c>
      <c r="BJ108">
        <v>6.3701263042284406E-2</v>
      </c>
      <c r="BK108" s="30">
        <v>-0.15893388503633321</v>
      </c>
      <c r="BL108" s="30">
        <v>-0.20535263047260399</v>
      </c>
      <c r="BM108">
        <v>-0.2044728434504792</v>
      </c>
      <c r="BN108">
        <v>0</v>
      </c>
      <c r="BO108" s="30">
        <v>0</v>
      </c>
      <c r="BP108">
        <v>0</v>
      </c>
      <c r="BQ108" s="30">
        <v>0</v>
      </c>
      <c r="BR108" s="30">
        <v>0</v>
      </c>
      <c r="BS108">
        <v>0</v>
      </c>
    </row>
    <row r="109" spans="16:71" x14ac:dyDescent="0.2">
      <c r="P109" s="30"/>
      <c r="Q109" s="30"/>
      <c r="R109" s="30"/>
      <c r="S109" s="30"/>
      <c r="T109" s="30"/>
      <c r="U109" s="30"/>
      <c r="V109" s="30"/>
      <c r="AH109" t="s">
        <v>1680</v>
      </c>
      <c r="AI109" t="s">
        <v>1681</v>
      </c>
      <c r="AJ109">
        <v>-0.12195061318107059</v>
      </c>
      <c r="AK109" s="30">
        <v>0</v>
      </c>
      <c r="AL109">
        <v>3.6363636363636376E-2</v>
      </c>
      <c r="AM109" s="30">
        <v>3.6363636363636376E-2</v>
      </c>
      <c r="AN109" s="30">
        <v>-0.22850707200303633</v>
      </c>
      <c r="AO109">
        <v>-0.3869530446703987</v>
      </c>
      <c r="AP109">
        <v>0.17797749137662633</v>
      </c>
      <c r="AQ109" s="30">
        <v>-9.9999999999999978E-2</v>
      </c>
      <c r="AR109">
        <v>0</v>
      </c>
      <c r="AS109" s="30">
        <v>0</v>
      </c>
      <c r="AT109" s="30">
        <v>0</v>
      </c>
      <c r="AU109">
        <v>-0.60657137720244514</v>
      </c>
      <c r="AV109">
        <v>-4.263604210041716E-2</v>
      </c>
      <c r="AW109" s="30">
        <v>0.25</v>
      </c>
      <c r="AX109">
        <v>0</v>
      </c>
      <c r="AY109" s="30">
        <v>0</v>
      </c>
      <c r="AZ109" s="30">
        <v>0</v>
      </c>
      <c r="BA109">
        <v>-1.4591666150702742</v>
      </c>
      <c r="BB109">
        <v>0.26429085780591821</v>
      </c>
      <c r="BC109" s="30">
        <v>0.14285714285714279</v>
      </c>
      <c r="BD109">
        <v>0</v>
      </c>
      <c r="BE109" s="30">
        <v>0</v>
      </c>
      <c r="BF109" s="30">
        <v>0</v>
      </c>
      <c r="BG109">
        <v>-1.234240753386262E-2</v>
      </c>
      <c r="BH109">
        <v>0</v>
      </c>
      <c r="BI109" s="30">
        <v>0</v>
      </c>
      <c r="BJ109">
        <v>0</v>
      </c>
      <c r="BK109" s="30">
        <v>0</v>
      </c>
      <c r="BL109" s="30">
        <v>0</v>
      </c>
      <c r="BM109">
        <v>0</v>
      </c>
      <c r="BO109" s="30"/>
      <c r="BQ109" s="30"/>
      <c r="BR109" s="30"/>
    </row>
    <row r="110" spans="16:71" x14ac:dyDescent="0.2">
      <c r="P110" s="30"/>
      <c r="Q110" s="30"/>
      <c r="R110" s="30"/>
      <c r="S110" s="30"/>
      <c r="T110" s="30"/>
      <c r="U110" s="30"/>
      <c r="V110" s="30"/>
      <c r="AH110" t="s">
        <v>1682</v>
      </c>
      <c r="AI110" t="s">
        <v>1683</v>
      </c>
      <c r="AJ110">
        <v>0.10079089655599804</v>
      </c>
      <c r="AK110" s="30">
        <v>-0.25</v>
      </c>
      <c r="AL110">
        <v>0.16666666666666674</v>
      </c>
      <c r="AM110" s="30">
        <v>-0.125</v>
      </c>
      <c r="AN110" s="30">
        <v>0.21360971780725824</v>
      </c>
      <c r="AO110">
        <v>-1.1352906793759221E-2</v>
      </c>
      <c r="AP110">
        <v>-8.9277525767377575E-2</v>
      </c>
      <c r="AQ110" s="30">
        <v>-0.19999999999999996</v>
      </c>
      <c r="AR110">
        <v>0</v>
      </c>
      <c r="AS110" s="30">
        <v>0</v>
      </c>
      <c r="AT110" s="30">
        <v>0</v>
      </c>
      <c r="AU110">
        <v>-5.2554290634267673</v>
      </c>
      <c r="AV110">
        <v>-0.14447723720026318</v>
      </c>
      <c r="AW110" s="30">
        <v>0.11111111111111116</v>
      </c>
      <c r="AX110">
        <v>0</v>
      </c>
      <c r="AY110" s="30">
        <v>0</v>
      </c>
      <c r="AZ110" s="30">
        <v>0</v>
      </c>
      <c r="BA110">
        <v>-0.66016450469781196</v>
      </c>
      <c r="BB110">
        <v>7.3935257429256218E-2</v>
      </c>
      <c r="BC110" s="30">
        <v>0</v>
      </c>
      <c r="BD110">
        <v>0</v>
      </c>
      <c r="BE110" s="30">
        <v>0</v>
      </c>
      <c r="BF110" s="30">
        <v>0</v>
      </c>
      <c r="BG110">
        <v>2.07335031580417</v>
      </c>
      <c r="BH110">
        <v>0</v>
      </c>
      <c r="BI110" s="30">
        <v>0</v>
      </c>
      <c r="BJ110">
        <v>0</v>
      </c>
      <c r="BK110" s="30">
        <v>-1</v>
      </c>
      <c r="BL110" s="30">
        <v>-1</v>
      </c>
      <c r="BM110">
        <v>0</v>
      </c>
      <c r="BO110" s="30"/>
      <c r="BQ110" s="30"/>
      <c r="BR110" s="30"/>
    </row>
    <row r="111" spans="16:71" x14ac:dyDescent="0.2">
      <c r="P111" s="30"/>
      <c r="Q111" s="30"/>
      <c r="R111" s="30"/>
      <c r="S111" s="30"/>
      <c r="T111" s="30"/>
      <c r="U111" s="30"/>
      <c r="V111" s="30"/>
      <c r="AH111" t="s">
        <v>1684</v>
      </c>
      <c r="AI111" t="s">
        <v>1685</v>
      </c>
      <c r="AJ111">
        <v>-4.5628635141037766E-2</v>
      </c>
      <c r="AK111" s="30">
        <v>-9.0909090909090939E-2</v>
      </c>
      <c r="AL111">
        <v>0.30612244897959173</v>
      </c>
      <c r="AM111" s="30">
        <v>0.18738404452690172</v>
      </c>
      <c r="AN111" s="30">
        <v>-0.6542580431377274</v>
      </c>
      <c r="AO111">
        <v>-0.30324620175521377</v>
      </c>
      <c r="AP111">
        <v>-7.1621263990028772E-2</v>
      </c>
      <c r="AQ111" s="30">
        <v>-0.2142857142857143</v>
      </c>
      <c r="AR111">
        <v>0</v>
      </c>
      <c r="AS111" s="30">
        <v>0</v>
      </c>
      <c r="AT111" s="30">
        <v>0</v>
      </c>
      <c r="AU111">
        <v>0.44383132365964983</v>
      </c>
      <c r="AV111">
        <v>0.17372037505103965</v>
      </c>
      <c r="AW111" s="30">
        <v>0</v>
      </c>
      <c r="AX111">
        <v>0</v>
      </c>
      <c r="AY111" s="30">
        <v>0</v>
      </c>
      <c r="AZ111" s="30">
        <v>0</v>
      </c>
      <c r="BA111">
        <v>9.0740358836873813E-3</v>
      </c>
      <c r="BB111">
        <v>-4.6996192272342086E-2</v>
      </c>
      <c r="BC111" s="30">
        <v>0</v>
      </c>
      <c r="BD111">
        <v>0</v>
      </c>
      <c r="BE111" s="30">
        <v>0</v>
      </c>
      <c r="BF111" s="30">
        <v>0</v>
      </c>
      <c r="BG111">
        <v>-1.2542648395441516</v>
      </c>
      <c r="BH111">
        <v>0</v>
      </c>
      <c r="BI111" s="30">
        <v>0</v>
      </c>
      <c r="BJ111">
        <v>0</v>
      </c>
      <c r="BK111" s="30">
        <v>0</v>
      </c>
      <c r="BL111" s="30">
        <v>0</v>
      </c>
      <c r="BM111">
        <v>0</v>
      </c>
      <c r="BO111" s="30"/>
      <c r="BQ111" s="30"/>
      <c r="BR111" s="30"/>
    </row>
    <row r="112" spans="16:71" x14ac:dyDescent="0.2">
      <c r="P112" s="30"/>
      <c r="Q112" s="30"/>
      <c r="R112" s="30"/>
      <c r="S112" s="30"/>
      <c r="T112" s="30"/>
      <c r="U112" s="30"/>
      <c r="V112" s="30"/>
      <c r="AH112" t="s">
        <v>1686</v>
      </c>
      <c r="AI112" t="s">
        <v>1687</v>
      </c>
      <c r="AJ112">
        <v>8.0794131186397555E-2</v>
      </c>
      <c r="AK112" s="30">
        <v>0</v>
      </c>
      <c r="AL112">
        <v>0</v>
      </c>
      <c r="AM112" s="30">
        <v>0</v>
      </c>
      <c r="AN112" s="30">
        <v>5.3848571471332152E-2</v>
      </c>
      <c r="AO112">
        <v>0.10698202867781825</v>
      </c>
      <c r="AP112">
        <v>0.32225186489846669</v>
      </c>
      <c r="AQ112" s="30">
        <v>0</v>
      </c>
      <c r="AR112">
        <v>0</v>
      </c>
      <c r="AS112" s="30">
        <v>0</v>
      </c>
      <c r="AT112" s="30">
        <v>0.25709286574352808</v>
      </c>
      <c r="AU112">
        <v>0.4273319128787878</v>
      </c>
      <c r="AV112">
        <v>-0.17943486254131202</v>
      </c>
      <c r="AW112" s="30">
        <v>0</v>
      </c>
      <c r="AX112">
        <v>0</v>
      </c>
      <c r="AY112" s="30">
        <v>0</v>
      </c>
      <c r="AZ112" s="30">
        <v>0.1859785349309413</v>
      </c>
      <c r="BA112">
        <v>-0.33262234861950468</v>
      </c>
      <c r="BB112">
        <v>0.12504483393510446</v>
      </c>
      <c r="BC112" s="30">
        <v>0</v>
      </c>
      <c r="BD112">
        <v>0</v>
      </c>
      <c r="BE112" s="30">
        <v>0</v>
      </c>
      <c r="BF112" s="30">
        <v>7.2921404802374745E-2</v>
      </c>
      <c r="BG112">
        <v>0.16439616237248544</v>
      </c>
      <c r="BH112">
        <v>0</v>
      </c>
      <c r="BI112" s="30">
        <v>0</v>
      </c>
      <c r="BJ112">
        <v>0</v>
      </c>
      <c r="BK112" s="30">
        <v>-0.95625000000000004</v>
      </c>
      <c r="BL112" s="30">
        <v>-9.0134831950162253E-2</v>
      </c>
      <c r="BM112">
        <v>0</v>
      </c>
      <c r="BO112" s="30"/>
      <c r="BQ112" s="30"/>
      <c r="BR112" s="30"/>
    </row>
    <row r="113" spans="16:70" x14ac:dyDescent="0.2">
      <c r="P113" s="30"/>
      <c r="Q113" s="30"/>
      <c r="R113" s="30"/>
      <c r="S113" s="30"/>
      <c r="T113" s="30"/>
      <c r="U113" s="30"/>
      <c r="V113" s="30"/>
      <c r="AH113" t="s">
        <v>1688</v>
      </c>
      <c r="AI113" t="s">
        <v>1689</v>
      </c>
      <c r="AJ113">
        <v>4.4321514976341847E-2</v>
      </c>
      <c r="AK113" s="30">
        <v>0</v>
      </c>
      <c r="AL113">
        <v>0</v>
      </c>
      <c r="AM113" s="30">
        <v>0</v>
      </c>
      <c r="AN113" s="30">
        <v>0</v>
      </c>
      <c r="AO113">
        <v>0.83595371109337591</v>
      </c>
      <c r="AP113">
        <v>0.11521793632033228</v>
      </c>
      <c r="AQ113" s="30">
        <v>0</v>
      </c>
      <c r="AR113">
        <v>0</v>
      </c>
      <c r="AS113" s="30">
        <v>0</v>
      </c>
      <c r="AT113" s="30">
        <v>0</v>
      </c>
      <c r="AU113">
        <v>-5.9768131167223237E-2</v>
      </c>
      <c r="AV113">
        <v>0.57768789230066542</v>
      </c>
      <c r="AW113" s="30">
        <v>0</v>
      </c>
      <c r="AX113">
        <v>0</v>
      </c>
      <c r="AY113" s="30">
        <v>0</v>
      </c>
      <c r="AZ113" s="30">
        <v>0</v>
      </c>
      <c r="BA113">
        <v>0.91969173148948435</v>
      </c>
      <c r="BB113">
        <v>2.094810626484604</v>
      </c>
      <c r="BC113" s="30">
        <v>0</v>
      </c>
      <c r="BD113">
        <v>0</v>
      </c>
      <c r="BE113" s="30">
        <v>0</v>
      </c>
      <c r="BF113" s="30">
        <v>0</v>
      </c>
      <c r="BG113">
        <v>0.34684968715137998</v>
      </c>
      <c r="BH113">
        <v>0</v>
      </c>
      <c r="BI113" s="30">
        <v>-1</v>
      </c>
      <c r="BJ113">
        <v>0</v>
      </c>
      <c r="BK113" s="30">
        <v>-1</v>
      </c>
      <c r="BL113" s="30">
        <v>-1</v>
      </c>
      <c r="BM113">
        <v>0</v>
      </c>
      <c r="BO113" s="30"/>
      <c r="BQ113" s="30"/>
      <c r="BR113" s="30"/>
    </row>
    <row r="114" spans="16:70" x14ac:dyDescent="0.2">
      <c r="P114" s="30"/>
      <c r="Q114" s="30"/>
      <c r="R114" s="30"/>
      <c r="S114" s="30"/>
      <c r="T114" s="30"/>
      <c r="U114" s="30"/>
      <c r="V114" s="30"/>
      <c r="AH114" t="s">
        <v>1690</v>
      </c>
      <c r="AI114" t="s">
        <v>1691</v>
      </c>
      <c r="AJ114">
        <v>-0.14926866358524926</v>
      </c>
      <c r="AK114" s="30">
        <v>0</v>
      </c>
      <c r="AL114">
        <v>0</v>
      </c>
      <c r="AM114" s="30">
        <v>0</v>
      </c>
      <c r="AN114" s="30">
        <v>0</v>
      </c>
      <c r="AO114">
        <v>100.02205882352941</v>
      </c>
      <c r="AP114">
        <v>-0.23864758144126352</v>
      </c>
      <c r="AQ114" s="30">
        <v>0</v>
      </c>
      <c r="AR114">
        <v>0</v>
      </c>
      <c r="AS114" s="30">
        <v>0</v>
      </c>
      <c r="AT114" s="30">
        <v>0</v>
      </c>
      <c r="AU114">
        <v>-0.99663107830265796</v>
      </c>
      <c r="AV114">
        <v>1.4505502710290141</v>
      </c>
      <c r="AW114" s="30">
        <v>-1</v>
      </c>
      <c r="AX114">
        <v>0</v>
      </c>
      <c r="AY114" s="30">
        <v>-1</v>
      </c>
      <c r="AZ114" s="30">
        <v>-1</v>
      </c>
      <c r="BA114">
        <v>2.4566939247334845</v>
      </c>
      <c r="BB114">
        <v>0.10651762625887096</v>
      </c>
      <c r="BC114" s="30">
        <v>-0.33333333333333337</v>
      </c>
      <c r="BD114">
        <v>0.75</v>
      </c>
      <c r="BE114" s="30">
        <v>0.16666666666666674</v>
      </c>
      <c r="BF114" s="30">
        <v>-3.8280381304581446E-2</v>
      </c>
      <c r="BG114">
        <v>0.91450819672131156</v>
      </c>
      <c r="BH114">
        <v>0</v>
      </c>
      <c r="BI114" s="30">
        <v>0</v>
      </c>
      <c r="BJ114">
        <v>0</v>
      </c>
      <c r="BK114" s="30">
        <v>0</v>
      </c>
      <c r="BL114" s="30">
        <v>0</v>
      </c>
      <c r="BM114">
        <v>0</v>
      </c>
      <c r="BO114" s="30"/>
      <c r="BQ114" s="30"/>
      <c r="BR114" s="30"/>
    </row>
    <row r="115" spans="16:70" x14ac:dyDescent="0.2">
      <c r="P115" s="30"/>
      <c r="Q115" s="30"/>
      <c r="R115" s="30"/>
      <c r="S115" s="30"/>
      <c r="T115" s="30"/>
      <c r="U115" s="30"/>
      <c r="V115" s="30"/>
      <c r="AH115" t="s">
        <v>1692</v>
      </c>
      <c r="AI115" t="s">
        <v>1693</v>
      </c>
      <c r="AJ115">
        <v>-0.67710725982853148</v>
      </c>
      <c r="AK115" s="30">
        <v>0</v>
      </c>
      <c r="AL115">
        <v>0</v>
      </c>
      <c r="AM115" s="30">
        <v>0</v>
      </c>
      <c r="AN115" s="30">
        <v>0</v>
      </c>
      <c r="AO115">
        <v>-0.64311795523098902</v>
      </c>
      <c r="AP115">
        <v>1.2753088343312484</v>
      </c>
      <c r="AQ115" s="30">
        <v>0</v>
      </c>
      <c r="AR115">
        <v>0</v>
      </c>
      <c r="AS115" s="30">
        <v>0</v>
      </c>
      <c r="AT115" s="30">
        <v>0</v>
      </c>
      <c r="AU115">
        <v>-0.50522347026942116</v>
      </c>
      <c r="AV115">
        <v>0.20566671676077197</v>
      </c>
      <c r="AW115" s="30">
        <v>0</v>
      </c>
      <c r="AX115">
        <v>0</v>
      </c>
      <c r="AY115" s="30">
        <v>0</v>
      </c>
      <c r="AZ115" s="30">
        <v>0</v>
      </c>
      <c r="BA115">
        <v>3.138816644993498</v>
      </c>
      <c r="BB115">
        <v>0.61950541092615929</v>
      </c>
      <c r="BC115" s="30">
        <v>0</v>
      </c>
      <c r="BD115">
        <v>0</v>
      </c>
      <c r="BE115" s="30">
        <v>0</v>
      </c>
      <c r="BF115" s="30">
        <v>0</v>
      </c>
      <c r="BG115">
        <v>-0.61736534394825227</v>
      </c>
      <c r="BH115">
        <v>0</v>
      </c>
      <c r="BI115" s="30">
        <v>0</v>
      </c>
      <c r="BJ115">
        <v>0</v>
      </c>
      <c r="BK115" s="30">
        <v>0</v>
      </c>
      <c r="BL115" s="30">
        <v>0</v>
      </c>
      <c r="BM115">
        <v>0</v>
      </c>
      <c r="BO115" s="30"/>
      <c r="BQ115" s="30"/>
      <c r="BR115" s="30"/>
    </row>
    <row r="116" spans="16:70" x14ac:dyDescent="0.2">
      <c r="P116" s="30"/>
      <c r="Q116" s="30"/>
      <c r="R116" s="30"/>
      <c r="S116" s="30"/>
      <c r="T116" s="30"/>
      <c r="U116" s="30"/>
      <c r="V116" s="30"/>
      <c r="AH116" t="s">
        <v>1694</v>
      </c>
      <c r="AI116" t="s">
        <v>1695</v>
      </c>
      <c r="AJ116">
        <v>0</v>
      </c>
      <c r="AK116" s="30">
        <v>0</v>
      </c>
      <c r="AL116">
        <v>0</v>
      </c>
      <c r="AM116" s="30">
        <v>0</v>
      </c>
      <c r="AN116" s="30">
        <v>0</v>
      </c>
      <c r="AO116">
        <v>-1.2339886624050176</v>
      </c>
      <c r="AP116">
        <v>0</v>
      </c>
      <c r="AQ116" s="30">
        <v>0</v>
      </c>
      <c r="AR116">
        <v>0</v>
      </c>
      <c r="AS116" s="30">
        <v>0</v>
      </c>
      <c r="AT116" s="30">
        <v>0</v>
      </c>
      <c r="AU116">
        <v>7.547422680412371</v>
      </c>
      <c r="AV116">
        <v>0</v>
      </c>
      <c r="AW116" s="30">
        <v>0</v>
      </c>
      <c r="AX116">
        <v>0</v>
      </c>
      <c r="AY116" s="30">
        <v>0</v>
      </c>
      <c r="AZ116" s="30">
        <v>0</v>
      </c>
      <c r="BA116">
        <v>-0.99875380122744151</v>
      </c>
      <c r="BB116">
        <v>0</v>
      </c>
      <c r="BC116" s="30">
        <v>0</v>
      </c>
      <c r="BD116">
        <v>0</v>
      </c>
      <c r="BE116" s="30">
        <v>0</v>
      </c>
      <c r="BF116" s="30">
        <v>0</v>
      </c>
      <c r="BG116">
        <v>105.633284043554</v>
      </c>
      <c r="BH116">
        <v>0</v>
      </c>
      <c r="BI116" s="30">
        <v>0</v>
      </c>
      <c r="BJ116">
        <v>0</v>
      </c>
      <c r="BK116" s="30">
        <v>0</v>
      </c>
      <c r="BL116" s="30">
        <v>0</v>
      </c>
      <c r="BM116">
        <v>0</v>
      </c>
      <c r="BO116" s="30"/>
      <c r="BQ116" s="30"/>
      <c r="BR116" s="30"/>
    </row>
    <row r="117" spans="16:70" x14ac:dyDescent="0.2">
      <c r="P117" s="30"/>
      <c r="Q117" s="30"/>
      <c r="R117" s="30"/>
      <c r="S117" s="30"/>
      <c r="T117" s="30"/>
      <c r="U117" s="30"/>
      <c r="V117" s="30"/>
      <c r="AH117" t="s">
        <v>1696</v>
      </c>
      <c r="AI117" t="s">
        <v>1697</v>
      </c>
      <c r="AJ117">
        <v>-0.4616052968927371</v>
      </c>
      <c r="AK117" s="30">
        <v>-0.22222222222222221</v>
      </c>
      <c r="AL117">
        <v>-0.13043478260869568</v>
      </c>
      <c r="AM117" s="30">
        <v>-0.32367149758454106</v>
      </c>
      <c r="AN117" s="30">
        <v>-0.46126084842598125</v>
      </c>
      <c r="AO117">
        <v>-0.89553496208930072</v>
      </c>
      <c r="AP117">
        <v>0.10489973384126516</v>
      </c>
      <c r="AQ117" s="30">
        <v>-0.18181818181818177</v>
      </c>
      <c r="AR117">
        <v>0</v>
      </c>
      <c r="AS117" s="30">
        <v>0</v>
      </c>
      <c r="AT117" s="30">
        <v>0</v>
      </c>
      <c r="AU117">
        <v>-0.15651537644319058</v>
      </c>
      <c r="AV117">
        <v>0.25085916187796897</v>
      </c>
      <c r="AW117" s="30">
        <v>-0.15384615384615385</v>
      </c>
      <c r="AX117">
        <v>0</v>
      </c>
      <c r="AY117" s="30">
        <v>0</v>
      </c>
      <c r="AZ117" s="30">
        <v>0</v>
      </c>
      <c r="BA117">
        <v>0.26369649874637702</v>
      </c>
      <c r="BB117">
        <v>0.52240639933739841</v>
      </c>
      <c r="BC117" s="30">
        <v>8.3333333333333259E-2</v>
      </c>
      <c r="BD117">
        <v>0</v>
      </c>
      <c r="BE117" s="30">
        <v>0</v>
      </c>
      <c r="BF117" s="30">
        <v>0</v>
      </c>
      <c r="BG117">
        <v>-0.23889373853847351</v>
      </c>
      <c r="BH117">
        <v>0</v>
      </c>
      <c r="BI117" s="30">
        <v>11</v>
      </c>
      <c r="BJ117">
        <v>0</v>
      </c>
      <c r="BK117" s="30">
        <v>0</v>
      </c>
      <c r="BL117" s="30">
        <v>0</v>
      </c>
      <c r="BM117">
        <v>0</v>
      </c>
      <c r="BO117" s="30"/>
      <c r="BQ117" s="30"/>
      <c r="BR117" s="30"/>
    </row>
    <row r="118" spans="16:70" x14ac:dyDescent="0.2">
      <c r="P118" s="30"/>
      <c r="Q118" s="30"/>
      <c r="R118" s="30"/>
      <c r="S118" s="30"/>
      <c r="T118" s="30"/>
      <c r="U118" s="30"/>
      <c r="V118" s="30"/>
      <c r="AH118" t="s">
        <v>1698</v>
      </c>
      <c r="AI118" t="s">
        <v>1699</v>
      </c>
      <c r="AJ118">
        <v>8.2712185997241061E-2</v>
      </c>
      <c r="AK118" s="30">
        <v>0</v>
      </c>
      <c r="AL118">
        <v>0.38095238095238093</v>
      </c>
      <c r="AM118" s="30">
        <v>0.38095238095238093</v>
      </c>
      <c r="AN118" s="30">
        <v>-5.9419849842277772E-2</v>
      </c>
      <c r="AO118">
        <v>-0.68613253580985356</v>
      </c>
      <c r="AP118">
        <v>-0.12372493754121694</v>
      </c>
      <c r="AQ118" s="30">
        <v>-0.11111111111111116</v>
      </c>
      <c r="AR118">
        <v>0</v>
      </c>
      <c r="AS118" s="30">
        <v>0</v>
      </c>
      <c r="AT118" s="30">
        <v>0</v>
      </c>
      <c r="AU118">
        <v>-0.89242049649473365</v>
      </c>
      <c r="AV118">
        <v>0.56545801526717554</v>
      </c>
      <c r="AW118" s="30">
        <v>-9.9999999999999978E-2</v>
      </c>
      <c r="AX118">
        <v>0</v>
      </c>
      <c r="AY118" s="30">
        <v>0</v>
      </c>
      <c r="AZ118" s="30">
        <v>0</v>
      </c>
      <c r="BA118">
        <v>-0.1968174090445427</v>
      </c>
      <c r="BB118">
        <v>-1.1740860329889302E-2</v>
      </c>
      <c r="BC118" s="30">
        <v>0</v>
      </c>
      <c r="BD118">
        <v>0</v>
      </c>
      <c r="BE118" s="30">
        <v>0</v>
      </c>
      <c r="BF118" s="30">
        <v>0</v>
      </c>
      <c r="BG118">
        <v>2.018019867005993</v>
      </c>
      <c r="BH118">
        <v>0</v>
      </c>
      <c r="BI118" s="30">
        <v>0</v>
      </c>
      <c r="BJ118">
        <v>0</v>
      </c>
      <c r="BK118" s="30">
        <v>-1</v>
      </c>
      <c r="BL118" s="30">
        <v>-1</v>
      </c>
      <c r="BM118">
        <v>0</v>
      </c>
      <c r="BO118" s="30"/>
      <c r="BQ118" s="30"/>
      <c r="BR118" s="30"/>
    </row>
    <row r="119" spans="16:70" x14ac:dyDescent="0.2">
      <c r="P119" s="30"/>
      <c r="Q119" s="30"/>
      <c r="R119" s="30"/>
      <c r="S119" s="30"/>
      <c r="T119" s="30"/>
      <c r="U119" s="30"/>
      <c r="V119" s="30"/>
    </row>
    <row r="120" spans="16:70" x14ac:dyDescent="0.2">
      <c r="P120" s="30"/>
      <c r="Q120" s="30"/>
      <c r="R120" s="30"/>
      <c r="S120" s="30"/>
      <c r="T120" s="30"/>
      <c r="U120" s="30"/>
      <c r="V120" s="30"/>
    </row>
    <row r="121" spans="16:70" x14ac:dyDescent="0.2">
      <c r="P121" s="30"/>
      <c r="Q121" s="30"/>
      <c r="R121" s="30"/>
      <c r="S121" s="30"/>
      <c r="T121" s="30"/>
      <c r="U121" s="30"/>
      <c r="V121" s="30"/>
    </row>
    <row r="122" spans="16:70" x14ac:dyDescent="0.2">
      <c r="P122" s="30"/>
      <c r="Q122" s="30"/>
      <c r="R122" s="30"/>
      <c r="S122" s="30"/>
      <c r="T122" s="30"/>
      <c r="U122" s="30"/>
      <c r="V122" s="30"/>
    </row>
    <row r="123" spans="16:70" x14ac:dyDescent="0.2">
      <c r="P123" s="30"/>
      <c r="Q123" s="30"/>
      <c r="R123" s="30"/>
      <c r="S123" s="30"/>
      <c r="T123" s="30"/>
      <c r="U123" s="30"/>
      <c r="V123" s="30"/>
    </row>
    <row r="124" spans="16:70" x14ac:dyDescent="0.2">
      <c r="P124" s="30"/>
      <c r="Q124" s="30"/>
      <c r="R124" s="30"/>
      <c r="S124" s="30"/>
      <c r="T124" s="30"/>
      <c r="U124" s="30"/>
      <c r="V124" s="30"/>
    </row>
  </sheetData>
  <sortState xmlns:xlrd2="http://schemas.microsoft.com/office/spreadsheetml/2017/richdata2" columnSort="1" ref="AH3:BG110">
    <sortCondition descending="1" ref="AJ4"/>
  </sortState>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9a36411-8266-4832-9cd9-8afa6991111e">
      <Terms xmlns="http://schemas.microsoft.com/office/infopath/2007/PartnerControls"/>
    </lcf76f155ced4ddcb4097134ff3c332f>
    <TaxCatchAll xmlns="6078598c-14c1-4f90-8a5f-4e3168f7f274"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D9F6B53D8F0224D8EA3D894E8C7893A" ma:contentTypeVersion="16" ma:contentTypeDescription="Create a new document." ma:contentTypeScope="" ma:versionID="42aadf9b4e33dca35119e5f657471e64">
  <xsd:schema xmlns:xsd="http://www.w3.org/2001/XMLSchema" xmlns:xs="http://www.w3.org/2001/XMLSchema" xmlns:p="http://schemas.microsoft.com/office/2006/metadata/properties" xmlns:ns2="6078598c-14c1-4f90-8a5f-4e3168f7f274" xmlns:ns3="c9a36411-8266-4832-9cd9-8afa6991111e" targetNamespace="http://schemas.microsoft.com/office/2006/metadata/properties" ma:root="true" ma:fieldsID="b7213ade9e5b7e0c107fac1ba41b062e" ns2:_="" ns3:_="">
    <xsd:import namespace="6078598c-14c1-4f90-8a5f-4e3168f7f274"/>
    <xsd:import namespace="c9a36411-8266-4832-9cd9-8afa699111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78598c-14c1-4f90-8a5f-4e3168f7f27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0" nillable="true" ma:displayName="Taxonomy Catch All Column" ma:hidden="true" ma:list="{0c14d24c-3ab5-4ceb-b655-819b013f8442}" ma:internalName="TaxCatchAll" ma:showField="CatchAllData" ma:web="6078598c-14c1-4f90-8a5f-4e3168f7f27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a36411-8266-4832-9cd9-8afa6991111e"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82dacf4-7a6f-4d7a-a489-47a8915adf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6ACC83-05AC-4B0C-A771-6BF015F89BD0}">
  <ds:schemaRefs>
    <ds:schemaRef ds:uri="http://schemas.microsoft.com/sharepoint/v3/contenttype/forms"/>
  </ds:schemaRefs>
</ds:datastoreItem>
</file>

<file path=customXml/itemProps2.xml><?xml version="1.0" encoding="utf-8"?>
<ds:datastoreItem xmlns:ds="http://schemas.openxmlformats.org/officeDocument/2006/customXml" ds:itemID="{9F13F280-52D6-478C-97D4-60BB258FB82F}">
  <ds:schemaRefs>
    <ds:schemaRef ds:uri="http://schemas.microsoft.com/office/2006/metadata/properties"/>
    <ds:schemaRef ds:uri="http://schemas.microsoft.com/office/infopath/2007/PartnerControls"/>
    <ds:schemaRef ds:uri="c9a36411-8266-4832-9cd9-8afa6991111e"/>
    <ds:schemaRef ds:uri="6078598c-14c1-4f90-8a5f-4e3168f7f274"/>
  </ds:schemaRefs>
</ds:datastoreItem>
</file>

<file path=customXml/itemProps3.xml><?xml version="1.0" encoding="utf-8"?>
<ds:datastoreItem xmlns:ds="http://schemas.openxmlformats.org/officeDocument/2006/customXml" ds:itemID="{23CE7AEC-BC43-4A5C-A0EA-B1DCC054F125}">
  <ds:schemaRefs>
    <ds:schemaRef ds:uri="http://schemas.microsoft.com/DataMashup"/>
  </ds:schemaRefs>
</ds:datastoreItem>
</file>

<file path=customXml/itemProps4.xml><?xml version="1.0" encoding="utf-8"?>
<ds:datastoreItem xmlns:ds="http://schemas.openxmlformats.org/officeDocument/2006/customXml" ds:itemID="{C97B3E73-E9A6-4DCB-AD42-431B81AB14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78598c-14c1-4f90-8a5f-4e3168f7f274"/>
    <ds:schemaRef ds:uri="c9a36411-8266-4832-9cd9-8afa699111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Raw</vt:lpstr>
      <vt:lpstr>Įmonės</vt:lpstr>
      <vt:lpstr>Įmonės-analizei</vt:lpstr>
      <vt:lpstr>Kuryba</vt:lpstr>
      <vt:lpstr>PR</vt:lpstr>
      <vt:lpstr>Analizė-bendra</vt:lpstr>
      <vt:lpstr>Analizė-pokyčiai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Žilvinas Adomaitis</dc:creator>
  <cp:keywords/>
  <dc:description/>
  <cp:lastModifiedBy>Zydrunas Gaudiesius | FABULA</cp:lastModifiedBy>
  <cp:revision/>
  <dcterms:created xsi:type="dcterms:W3CDTF">2025-06-09T12:14:42Z</dcterms:created>
  <dcterms:modified xsi:type="dcterms:W3CDTF">2026-01-26T18:18:53Z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4f187-5e78-4ccc-ba06-bd72f8c5cc80_Enabled">
    <vt:lpwstr>true</vt:lpwstr>
  </property>
  <property fmtid="{D5CDD505-2E9C-101B-9397-08002B2CF9AE}" pid="3" name="MSIP_Label_97c4f187-5e78-4ccc-ba06-bd72f8c5cc80_SetDate">
    <vt:lpwstr>2025-06-11T08:32:19Z</vt:lpwstr>
  </property>
  <property fmtid="{D5CDD505-2E9C-101B-9397-08002B2CF9AE}" pid="4" name="MSIP_Label_97c4f187-5e78-4ccc-ba06-bd72f8c5cc80_Method">
    <vt:lpwstr>Standard</vt:lpwstr>
  </property>
  <property fmtid="{D5CDD505-2E9C-101B-9397-08002B2CF9AE}" pid="5" name="MSIP_Label_97c4f187-5e78-4ccc-ba06-bd72f8c5cc80_Name">
    <vt:lpwstr>Strictly confidential Personal data</vt:lpwstr>
  </property>
  <property fmtid="{D5CDD505-2E9C-101B-9397-08002B2CF9AE}" pid="6" name="MSIP_Label_97c4f187-5e78-4ccc-ba06-bd72f8c5cc80_SiteId">
    <vt:lpwstr>34f1fd88-d36a-47a9-8619-30213cb4f586</vt:lpwstr>
  </property>
  <property fmtid="{D5CDD505-2E9C-101B-9397-08002B2CF9AE}" pid="7" name="MSIP_Label_97c4f187-5e78-4ccc-ba06-bd72f8c5cc80_ActionId">
    <vt:lpwstr>fa4c4b16-e894-4892-8e97-235aebd8b712</vt:lpwstr>
  </property>
  <property fmtid="{D5CDD505-2E9C-101B-9397-08002B2CF9AE}" pid="8" name="MSIP_Label_97c4f187-5e78-4ccc-ba06-bd72f8c5cc80_ContentBits">
    <vt:lpwstr>0</vt:lpwstr>
  </property>
  <property fmtid="{D5CDD505-2E9C-101B-9397-08002B2CF9AE}" pid="9" name="MSIP_Label_97c4f187-5e78-4ccc-ba06-bd72f8c5cc80_Tag">
    <vt:lpwstr>50, 3, 0, 1</vt:lpwstr>
  </property>
  <property fmtid="{D5CDD505-2E9C-101B-9397-08002B2CF9AE}" pid="10" name="ContentTypeId">
    <vt:lpwstr>0x0101000D9F6B53D8F0224D8EA3D894E8C7893A</vt:lpwstr>
  </property>
  <property fmtid="{D5CDD505-2E9C-101B-9397-08002B2CF9AE}" pid="11" name="MediaServiceImageTags">
    <vt:lpwstr/>
  </property>
</Properties>
</file>